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nestle.sharepoint.com/teams/ProjectPandora2/Shared Documents/Toolbox - SBL_SML/"/>
    </mc:Choice>
  </mc:AlternateContent>
  <xr:revisionPtr revIDLastSave="88" documentId="8_{44AC82D8-CA9E-45B4-BC4F-5444629699A9}" xr6:coauthVersionLast="47" xr6:coauthVersionMax="47" xr10:uidLastSave="{F7A41FF4-8750-46B3-A9C8-5DC336D95A8E}"/>
  <bookViews>
    <workbookView xWindow="28680" yWindow="-120" windowWidth="29040" windowHeight="17520" xr2:uid="{697BCCF9-E810-4E95-9CE4-FBFBB07E9E8E}"/>
  </bookViews>
  <sheets>
    <sheet name="Final_draft" sheetId="9" r:id="rId1"/>
    <sheet name="Match with RA_TEMPLATE" sheetId="8" r:id="rId2"/>
    <sheet name="table insert statement" sheetId="7" r:id="rId3"/>
    <sheet name="List of all columns" sheetId="6" r:id="rId4"/>
    <sheet name="Sheet1" sheetId="5" r:id="rId5"/>
    <sheet name="version" sheetId="3" r:id="rId6"/>
    <sheet name="Discussion with Dotmatics" sheetId="4" r:id="rId7"/>
    <sheet name="old with versions" sheetId="2" r:id="rId8"/>
    <sheet name="Sheet3" sheetId="11" r:id="rId9"/>
    <sheet name="Sheet2" sheetId="10" r:id="rId10"/>
  </sheets>
  <externalReferences>
    <externalReference r:id="rId11"/>
  </externalReferences>
  <definedNames>
    <definedName name="_xlnm._FilterDatabase" localSheetId="0" hidden="1">Final_draft!$A$5:$IK$465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0" l="1"/>
  <c r="G4" i="10"/>
  <c r="FZ418" i="9"/>
  <c r="FT418" i="9"/>
  <c r="FZ318" i="9"/>
  <c r="FT318" i="9"/>
  <c r="FZ297" i="9"/>
  <c r="FT297" i="9"/>
  <c r="FZ296" i="9"/>
  <c r="FT296" i="9"/>
  <c r="FZ295" i="9"/>
  <c r="FT295" i="9"/>
  <c r="FZ294" i="9"/>
  <c r="FT294" i="9"/>
  <c r="FZ293" i="9"/>
  <c r="FT293" i="9"/>
  <c r="FZ292" i="9"/>
  <c r="FT292" i="9"/>
  <c r="FZ291" i="9"/>
  <c r="FT291" i="9"/>
  <c r="FZ290" i="9"/>
  <c r="FT290" i="9"/>
  <c r="FZ289" i="9"/>
  <c r="FT289" i="9"/>
  <c r="FZ288" i="9"/>
  <c r="FT288" i="9"/>
  <c r="FZ218" i="9"/>
  <c r="FZ130" i="9"/>
  <c r="FZ30" i="9"/>
  <c r="GB4" i="8"/>
  <c r="GD4" i="8" l="1"/>
  <c r="GR4" i="8" l="1"/>
  <c r="GM4" i="8"/>
  <c r="DJ4" i="8"/>
  <c r="DI4" i="8"/>
  <c r="DH4" i="8"/>
  <c r="DC4" i="8"/>
  <c r="DD4" i="8"/>
  <c r="DE4" i="8"/>
  <c r="DL4" i="8"/>
  <c r="DM4" i="8"/>
  <c r="DN4" i="8"/>
  <c r="DF4" i="8"/>
  <c r="DG4" i="8"/>
  <c r="DO4" i="8"/>
  <c r="DP4" i="8"/>
  <c r="DZ4" i="8"/>
  <c r="DY4" i="8"/>
  <c r="DX4" i="8"/>
  <c r="DW4" i="8"/>
  <c r="DV4" i="8"/>
  <c r="DT4" i="8"/>
  <c r="DS4" i="8"/>
  <c r="DU4" i="8"/>
  <c r="DR4" i="8"/>
  <c r="DQ4" i="8"/>
  <c r="EB4" i="8" l="1"/>
  <c r="ED4" i="8"/>
  <c r="EE4" i="8"/>
  <c r="EG4" i="8"/>
  <c r="EI4" i="8"/>
  <c r="EK4" i="8"/>
  <c r="EM4" i="8"/>
  <c r="EN4" i="8"/>
  <c r="EU4" i="8"/>
  <c r="EQ4" i="8"/>
  <c r="ES4" i="8"/>
  <c r="EW4" i="8"/>
  <c r="EY4" i="8"/>
  <c r="FA4" i="8"/>
  <c r="FB4" i="8"/>
  <c r="FD4" i="8"/>
  <c r="FC4" i="8"/>
  <c r="FE4" i="8"/>
  <c r="FF4" i="8"/>
  <c r="FN4" i="8"/>
  <c r="FM4" i="8" l="1"/>
  <c r="FL4" i="8"/>
  <c r="FK4" i="8"/>
  <c r="FJ4" i="8"/>
  <c r="FI4" i="8"/>
  <c r="FH4" i="8"/>
  <c r="FT280" i="9"/>
  <c r="FT281" i="9"/>
  <c r="FT282" i="9"/>
  <c r="FT283" i="9"/>
  <c r="FT284" i="9"/>
  <c r="FT285" i="9"/>
  <c r="FT286" i="9"/>
  <c r="FT287" i="9"/>
  <c r="FT299" i="9"/>
  <c r="FT300" i="9"/>
  <c r="FT301" i="9"/>
  <c r="FT302" i="9"/>
  <c r="FT303" i="9"/>
  <c r="FT304" i="9"/>
  <c r="FT305" i="9"/>
  <c r="FT306" i="9"/>
  <c r="FT307" i="9"/>
  <c r="FT308" i="9"/>
  <c r="FT309" i="9"/>
  <c r="FT311" i="9"/>
  <c r="FT312" i="9"/>
  <c r="FT313" i="9"/>
  <c r="FT314" i="9"/>
  <c r="FT315" i="9"/>
  <c r="FT316" i="9"/>
  <c r="FT317" i="9"/>
  <c r="FT319" i="9"/>
  <c r="FT320" i="9"/>
  <c r="FT321" i="9"/>
  <c r="FT322" i="9"/>
  <c r="FT323" i="9"/>
  <c r="FT324" i="9"/>
  <c r="FT325" i="9"/>
  <c r="FT326" i="9"/>
  <c r="FT327" i="9"/>
  <c r="FT328" i="9"/>
  <c r="FT329" i="9"/>
  <c r="FT330" i="9"/>
  <c r="FT332" i="9"/>
  <c r="FT334" i="9"/>
  <c r="FT337" i="9"/>
  <c r="FT339" i="9"/>
  <c r="FT340" i="9"/>
  <c r="FT341" i="9"/>
  <c r="FT342" i="9"/>
  <c r="FT343" i="9"/>
  <c r="FT345" i="9"/>
  <c r="FT346" i="9"/>
  <c r="FT347" i="9"/>
  <c r="FT348" i="9"/>
  <c r="FT351" i="9"/>
  <c r="FT352" i="9"/>
  <c r="FT353" i="9"/>
  <c r="FT354" i="9"/>
  <c r="FT355" i="9"/>
  <c r="FT356" i="9"/>
  <c r="FT357" i="9"/>
  <c r="FT358" i="9"/>
  <c r="FT359" i="9"/>
  <c r="FT360" i="9"/>
  <c r="FT361" i="9"/>
  <c r="FT362" i="9"/>
  <c r="FT363" i="9"/>
  <c r="FT364" i="9"/>
  <c r="FT365" i="9"/>
  <c r="FT366" i="9"/>
  <c r="FT367" i="9"/>
  <c r="FT368" i="9"/>
  <c r="FT369" i="9"/>
  <c r="FT370" i="9"/>
  <c r="FT371" i="9"/>
  <c r="FT372" i="9"/>
  <c r="FT373" i="9"/>
  <c r="FT374" i="9"/>
  <c r="FT375" i="9"/>
  <c r="FT376" i="9"/>
  <c r="FT377" i="9"/>
  <c r="FT378" i="9"/>
  <c r="FT380" i="9"/>
  <c r="FT381" i="9"/>
  <c r="FT382" i="9"/>
  <c r="FT383" i="9"/>
  <c r="FT384" i="9"/>
  <c r="FT385" i="9"/>
  <c r="FT386" i="9"/>
  <c r="FT387" i="9"/>
  <c r="FT388" i="9"/>
  <c r="FT389" i="9"/>
  <c r="FT390" i="9"/>
  <c r="FT391" i="9"/>
  <c r="FT392" i="9"/>
  <c r="FT393" i="9"/>
  <c r="FT394" i="9"/>
  <c r="FT395" i="9"/>
  <c r="FT396" i="9"/>
  <c r="FT397" i="9"/>
  <c r="FT398" i="9"/>
  <c r="FT399" i="9"/>
  <c r="FT400" i="9"/>
  <c r="FT401" i="9"/>
  <c r="FT404" i="9"/>
  <c r="FT405" i="9"/>
  <c r="FT406" i="9"/>
  <c r="FT408" i="9"/>
  <c r="FT409" i="9"/>
  <c r="FT410" i="9"/>
  <c r="FT411" i="9"/>
  <c r="FT412" i="9"/>
  <c r="FT413" i="9"/>
  <c r="FT414" i="9"/>
  <c r="FT415" i="9"/>
  <c r="FT416" i="9"/>
  <c r="FT417" i="9"/>
  <c r="FT419" i="9"/>
  <c r="FT420" i="9"/>
  <c r="FT421" i="9"/>
  <c r="FT422" i="9"/>
  <c r="FT423" i="9"/>
  <c r="FT424" i="9"/>
  <c r="FT425" i="9"/>
  <c r="FT427" i="9"/>
  <c r="FT428" i="9"/>
  <c r="FT429" i="9"/>
  <c r="FQ4" i="8"/>
  <c r="FP4" i="8"/>
  <c r="FS4" i="8"/>
  <c r="FZ4" i="8"/>
  <c r="FY4" i="8"/>
  <c r="FX4" i="8"/>
  <c r="FU4" i="8"/>
  <c r="FZ7" i="9"/>
  <c r="FZ8" i="9"/>
  <c r="FZ9" i="9"/>
  <c r="FZ10" i="9"/>
  <c r="FZ11" i="9"/>
  <c r="FZ12" i="9"/>
  <c r="FZ13" i="9"/>
  <c r="FZ14" i="9"/>
  <c r="FZ15" i="9"/>
  <c r="FZ16" i="9"/>
  <c r="FZ17" i="9"/>
  <c r="FZ18" i="9"/>
  <c r="FZ19" i="9"/>
  <c r="FZ20" i="9"/>
  <c r="FZ21" i="9"/>
  <c r="FZ22" i="9"/>
  <c r="FZ23" i="9"/>
  <c r="FZ24" i="9"/>
  <c r="FZ26" i="9"/>
  <c r="FZ27" i="9"/>
  <c r="FZ28" i="9"/>
  <c r="FZ29" i="9"/>
  <c r="FZ31" i="9"/>
  <c r="FZ32" i="9"/>
  <c r="FZ33" i="9"/>
  <c r="FZ34" i="9"/>
  <c r="FZ35" i="9"/>
  <c r="FZ36" i="9"/>
  <c r="FZ37" i="9"/>
  <c r="FZ38" i="9"/>
  <c r="FZ39" i="9"/>
  <c r="FZ40" i="9"/>
  <c r="FZ41" i="9"/>
  <c r="FZ42" i="9"/>
  <c r="FZ43" i="9"/>
  <c r="FZ44" i="9"/>
  <c r="FZ45" i="9"/>
  <c r="FZ46" i="9"/>
  <c r="FZ48" i="9"/>
  <c r="FZ49" i="9"/>
  <c r="FZ50" i="9"/>
  <c r="FZ51" i="9"/>
  <c r="FZ52" i="9"/>
  <c r="FZ53" i="9"/>
  <c r="FZ54" i="9"/>
  <c r="FZ55" i="9"/>
  <c r="FZ56" i="9"/>
  <c r="FZ57" i="9"/>
  <c r="FZ58" i="9"/>
  <c r="FZ59" i="9"/>
  <c r="FZ60" i="9"/>
  <c r="FZ61" i="9"/>
  <c r="FZ62" i="9"/>
  <c r="FZ63" i="9"/>
  <c r="FZ64" i="9"/>
  <c r="FZ65" i="9"/>
  <c r="FZ66" i="9"/>
  <c r="FZ67" i="9"/>
  <c r="FZ68" i="9"/>
  <c r="FZ69" i="9"/>
  <c r="FZ70" i="9"/>
  <c r="FZ71" i="9"/>
  <c r="FZ72" i="9"/>
  <c r="FZ73" i="9"/>
  <c r="FZ74" i="9"/>
  <c r="FZ75" i="9"/>
  <c r="FZ76" i="9"/>
  <c r="FZ78" i="9"/>
  <c r="FZ79" i="9"/>
  <c r="FZ80" i="9"/>
  <c r="FZ82" i="9"/>
  <c r="FZ83" i="9"/>
  <c r="FZ84" i="9"/>
  <c r="FZ85" i="9"/>
  <c r="FZ86" i="9"/>
  <c r="FZ87" i="9"/>
  <c r="FZ88" i="9"/>
  <c r="FZ90" i="9"/>
  <c r="FZ91" i="9"/>
  <c r="FZ92" i="9"/>
  <c r="FZ93" i="9"/>
  <c r="FZ94" i="9"/>
  <c r="FZ95" i="9"/>
  <c r="FZ97" i="9"/>
  <c r="FZ98" i="9"/>
  <c r="FZ100" i="9"/>
  <c r="FZ101" i="9"/>
  <c r="FZ102" i="9"/>
  <c r="FZ103" i="9"/>
  <c r="FZ104" i="9"/>
  <c r="FZ105" i="9"/>
  <c r="FZ106" i="9"/>
  <c r="FZ107" i="9"/>
  <c r="FZ108" i="9"/>
  <c r="FZ109" i="9"/>
  <c r="FZ110" i="9"/>
  <c r="FZ111" i="9"/>
  <c r="FZ112" i="9"/>
  <c r="FZ113" i="9"/>
  <c r="FZ114" i="9"/>
  <c r="FZ115" i="9"/>
  <c r="FZ116" i="9"/>
  <c r="FZ117" i="9"/>
  <c r="FZ118" i="9"/>
  <c r="FZ120" i="9"/>
  <c r="FZ121" i="9"/>
  <c r="FZ122" i="9"/>
  <c r="FZ123" i="9"/>
  <c r="FZ124" i="9"/>
  <c r="FZ125" i="9"/>
  <c r="FZ126" i="9"/>
  <c r="FZ127" i="9"/>
  <c r="FZ128" i="9"/>
  <c r="FZ129" i="9"/>
  <c r="FZ131" i="9"/>
  <c r="FZ132" i="9"/>
  <c r="FZ133" i="9"/>
  <c r="FZ134" i="9"/>
  <c r="FZ135" i="9"/>
  <c r="FZ137" i="9"/>
  <c r="FZ138" i="9"/>
  <c r="FZ141" i="9"/>
  <c r="FZ142" i="9"/>
  <c r="FZ143" i="9"/>
  <c r="FZ144" i="9"/>
  <c r="FZ146" i="9"/>
  <c r="FZ147" i="9"/>
  <c r="FZ149" i="9"/>
  <c r="FZ150" i="9"/>
  <c r="FZ151" i="9"/>
  <c r="FZ152" i="9"/>
  <c r="FZ153" i="9"/>
  <c r="FZ154" i="9"/>
  <c r="FZ155" i="9"/>
  <c r="FZ157" i="9"/>
  <c r="FZ158" i="9"/>
  <c r="FZ159" i="9"/>
  <c r="FZ161" i="9"/>
  <c r="FZ162" i="9"/>
  <c r="FZ163" i="9"/>
  <c r="FZ164" i="9"/>
  <c r="FZ166" i="9"/>
  <c r="FZ167" i="9"/>
  <c r="FZ168" i="9"/>
  <c r="FZ169" i="9"/>
  <c r="FZ170" i="9"/>
  <c r="FZ172" i="9"/>
  <c r="FZ173" i="9"/>
  <c r="FZ175" i="9"/>
  <c r="FZ176" i="9"/>
  <c r="FZ178" i="9"/>
  <c r="FZ179" i="9"/>
  <c r="FZ180" i="9"/>
  <c r="FZ181" i="9"/>
  <c r="FZ182" i="9"/>
  <c r="FZ183" i="9"/>
  <c r="FZ184" i="9"/>
  <c r="FZ185" i="9"/>
  <c r="FZ186" i="9"/>
  <c r="FZ187" i="9"/>
  <c r="FZ188" i="9"/>
  <c r="FZ189" i="9"/>
  <c r="FZ190" i="9"/>
  <c r="FZ191" i="9"/>
  <c r="FZ192" i="9"/>
  <c r="FZ193" i="9"/>
  <c r="FZ194" i="9"/>
  <c r="FZ195" i="9"/>
  <c r="FZ196" i="9"/>
  <c r="FZ197" i="9"/>
  <c r="FZ198" i="9"/>
  <c r="FZ199" i="9"/>
  <c r="FZ200" i="9"/>
  <c r="FZ201" i="9"/>
  <c r="FZ202" i="9"/>
  <c r="FZ203" i="9"/>
  <c r="FZ204" i="9"/>
  <c r="FZ205" i="9"/>
  <c r="FZ206" i="9"/>
  <c r="FZ207" i="9"/>
  <c r="FZ208" i="9"/>
  <c r="FZ209" i="9"/>
  <c r="FZ210" i="9"/>
  <c r="FZ212" i="9"/>
  <c r="FZ213" i="9"/>
  <c r="FZ215" i="9"/>
  <c r="FZ216" i="9"/>
  <c r="FZ219" i="9"/>
  <c r="FZ222" i="9"/>
  <c r="FZ223" i="9"/>
  <c r="FZ224" i="9"/>
  <c r="FZ225" i="9"/>
  <c r="FZ227" i="9"/>
  <c r="FZ228" i="9"/>
  <c r="FZ229" i="9"/>
  <c r="FZ230" i="9"/>
  <c r="FZ231" i="9"/>
  <c r="FZ232" i="9"/>
  <c r="FZ233" i="9"/>
  <c r="FZ234" i="9"/>
  <c r="FZ235" i="9"/>
  <c r="FZ236" i="9"/>
  <c r="FZ237" i="9"/>
  <c r="FZ239" i="9"/>
  <c r="FZ240" i="9"/>
  <c r="FZ241" i="9"/>
  <c r="FZ242" i="9"/>
  <c r="FZ244" i="9"/>
  <c r="FZ245" i="9"/>
  <c r="FZ246" i="9"/>
  <c r="FZ247" i="9"/>
  <c r="FZ248" i="9"/>
  <c r="FZ249" i="9"/>
  <c r="FZ250" i="9"/>
  <c r="FZ251" i="9"/>
  <c r="FZ252" i="9"/>
  <c r="FZ253" i="9"/>
  <c r="FZ254" i="9"/>
  <c r="FZ255" i="9"/>
  <c r="FZ256" i="9"/>
  <c r="FZ257" i="9"/>
  <c r="FZ258" i="9"/>
  <c r="FZ259" i="9"/>
  <c r="FZ260" i="9"/>
  <c r="FZ261" i="9"/>
  <c r="FZ262" i="9"/>
  <c r="FZ263" i="9"/>
  <c r="FZ264" i="9"/>
  <c r="FZ265" i="9"/>
  <c r="FZ266" i="9"/>
  <c r="FZ267" i="9"/>
  <c r="FZ268" i="9"/>
  <c r="FZ269" i="9"/>
  <c r="FZ270" i="9"/>
  <c r="FZ271" i="9"/>
  <c r="FZ272" i="9"/>
  <c r="FZ273" i="9"/>
  <c r="FZ274" i="9"/>
  <c r="FZ275" i="9"/>
  <c r="FZ276" i="9"/>
  <c r="FZ277" i="9"/>
  <c r="FZ278" i="9"/>
  <c r="FZ279" i="9"/>
  <c r="FZ280" i="9"/>
  <c r="FZ281" i="9"/>
  <c r="FZ282" i="9"/>
  <c r="FZ283" i="9"/>
  <c r="FZ284" i="9"/>
  <c r="FZ285" i="9"/>
  <c r="FZ286" i="9"/>
  <c r="FZ287" i="9"/>
  <c r="FZ299" i="9"/>
  <c r="FZ300" i="9"/>
  <c r="FZ301" i="9"/>
  <c r="FZ302" i="9"/>
  <c r="FZ303" i="9"/>
  <c r="FZ304" i="9"/>
  <c r="FZ305" i="9"/>
  <c r="FZ306" i="9"/>
  <c r="FZ307" i="9"/>
  <c r="FZ308" i="9"/>
  <c r="FZ309" i="9"/>
  <c r="FZ311" i="9"/>
  <c r="FZ312" i="9"/>
  <c r="FZ313" i="9"/>
  <c r="FZ314" i="9"/>
  <c r="FZ315" i="9"/>
  <c r="FZ316" i="9"/>
  <c r="FZ317" i="9"/>
  <c r="FZ319" i="9"/>
  <c r="FZ320" i="9"/>
  <c r="FZ321" i="9"/>
  <c r="FZ322" i="9"/>
  <c r="FZ323" i="9"/>
  <c r="FZ324" i="9"/>
  <c r="FZ325" i="9"/>
  <c r="FZ326" i="9"/>
  <c r="FZ327" i="9"/>
  <c r="FZ328" i="9"/>
  <c r="FZ329" i="9"/>
  <c r="FZ330" i="9"/>
  <c r="FZ332" i="9"/>
  <c r="FZ334" i="9"/>
  <c r="FZ337" i="9"/>
  <c r="FZ339" i="9"/>
  <c r="FZ340" i="9"/>
  <c r="FZ341" i="9"/>
  <c r="FZ342" i="9"/>
  <c r="FZ343" i="9"/>
  <c r="FZ345" i="9"/>
  <c r="FZ346" i="9"/>
  <c r="FZ347" i="9"/>
  <c r="FZ348" i="9"/>
  <c r="FZ351" i="9"/>
  <c r="FZ352" i="9"/>
  <c r="FZ353" i="9"/>
  <c r="FZ354" i="9"/>
  <c r="FZ355" i="9"/>
  <c r="FZ356" i="9"/>
  <c r="FZ357" i="9"/>
  <c r="FZ358" i="9"/>
  <c r="FZ359" i="9"/>
  <c r="FZ360" i="9"/>
  <c r="FZ361" i="9"/>
  <c r="FZ362" i="9"/>
  <c r="FZ363" i="9"/>
  <c r="FZ364" i="9"/>
  <c r="FZ365" i="9"/>
  <c r="FZ366" i="9"/>
  <c r="FZ367" i="9"/>
  <c r="FZ368" i="9"/>
  <c r="FZ369" i="9"/>
  <c r="FZ370" i="9"/>
  <c r="FZ371" i="9"/>
  <c r="FZ372" i="9"/>
  <c r="FZ373" i="9"/>
  <c r="FZ374" i="9"/>
  <c r="FZ375" i="9"/>
  <c r="FZ376" i="9"/>
  <c r="FZ377" i="9"/>
  <c r="FZ378" i="9"/>
  <c r="FZ380" i="9"/>
  <c r="FZ381" i="9"/>
  <c r="FZ382" i="9"/>
  <c r="FZ383" i="9"/>
  <c r="FZ384" i="9"/>
  <c r="FZ385" i="9"/>
  <c r="FZ386" i="9"/>
  <c r="FZ387" i="9"/>
  <c r="FZ388" i="9"/>
  <c r="FZ389" i="9"/>
  <c r="FZ390" i="9"/>
  <c r="FZ391" i="9"/>
  <c r="FZ392" i="9"/>
  <c r="FZ393" i="9"/>
  <c r="FZ394" i="9"/>
  <c r="FZ395" i="9"/>
  <c r="FZ396" i="9"/>
  <c r="FZ397" i="9"/>
  <c r="FZ398" i="9"/>
  <c r="FZ399" i="9"/>
  <c r="FZ400" i="9"/>
  <c r="FZ401" i="9"/>
  <c r="FZ404" i="9"/>
  <c r="FZ405" i="9"/>
  <c r="FZ406" i="9"/>
  <c r="FZ407" i="9"/>
  <c r="FZ408" i="9"/>
  <c r="FZ409" i="9"/>
  <c r="FZ410" i="9"/>
  <c r="FZ411" i="9"/>
  <c r="FZ412" i="9"/>
  <c r="FZ413" i="9"/>
  <c r="FZ414" i="9"/>
  <c r="FZ415" i="9"/>
  <c r="FZ416" i="9"/>
  <c r="FZ417" i="9"/>
  <c r="FZ419" i="9"/>
  <c r="FZ420" i="9"/>
  <c r="FZ421" i="9"/>
  <c r="FZ422" i="9"/>
  <c r="FZ423" i="9"/>
  <c r="FZ424" i="9"/>
  <c r="FZ425" i="9"/>
  <c r="FZ427" i="9"/>
  <c r="FZ428" i="9"/>
  <c r="FZ429" i="9"/>
  <c r="FZ6" i="9"/>
  <c r="IA4" i="8"/>
  <c r="HY4" i="8"/>
  <c r="HX4" i="8"/>
  <c r="HW4" i="8"/>
  <c r="HV4" i="8"/>
  <c r="HU4" i="8"/>
  <c r="HT4" i="8"/>
  <c r="HS4" i="8"/>
  <c r="HQ4" i="8"/>
  <c r="HR4" i="8"/>
  <c r="HP4" i="8"/>
  <c r="HO4" i="8"/>
  <c r="HM4" i="8"/>
  <c r="HL4" i="8"/>
  <c r="HK4" i="8"/>
  <c r="HJ4" i="8"/>
  <c r="HI4" i="8"/>
  <c r="HB4" i="8"/>
  <c r="HH4" i="8"/>
  <c r="HG4" i="8"/>
  <c r="HF4" i="8"/>
  <c r="HE4" i="8"/>
  <c r="HA4" i="8"/>
  <c r="GZ4" i="8"/>
  <c r="GY4" i="8"/>
  <c r="GX4" i="8"/>
  <c r="GW4" i="8"/>
  <c r="GV4" i="8"/>
  <c r="GU4" i="8"/>
  <c r="GT4" i="8"/>
  <c r="GS4" i="8"/>
  <c r="GQ4" i="8" l="1"/>
  <c r="GP4" i="8"/>
  <c r="GO4" i="8"/>
  <c r="GN4" i="8"/>
  <c r="GL4" i="8"/>
  <c r="GK4" i="8"/>
  <c r="GJ4" i="8"/>
  <c r="GI4" i="8"/>
  <c r="GF4" i="8"/>
  <c r="GE4" i="8"/>
  <c r="GC4" i="8"/>
  <c r="GA4" i="8"/>
  <c r="EA4" i="8"/>
  <c r="DB4" i="8"/>
  <c r="DA4" i="8"/>
  <c r="CZ4" i="8"/>
  <c r="CY4" i="8"/>
  <c r="CX4" i="8"/>
  <c r="CW4" i="8"/>
  <c r="CS4" i="8"/>
  <c r="CR4" i="8"/>
  <c r="CQ4" i="8"/>
  <c r="CP4" i="8"/>
  <c r="CN4" i="8"/>
  <c r="CM4" i="8"/>
  <c r="CL4" i="8"/>
  <c r="CK4" i="8"/>
  <c r="CI4" i="8"/>
  <c r="CH4" i="8"/>
  <c r="CG4" i="8"/>
  <c r="CF4" i="8"/>
  <c r="CD4" i="8"/>
  <c r="CC4" i="8"/>
  <c r="CA4" i="8"/>
  <c r="BZ4" i="8"/>
  <c r="BY4" i="8"/>
  <c r="BX4" i="8"/>
  <c r="BW4" i="8"/>
  <c r="BV4" i="8"/>
  <c r="BU4" i="8"/>
  <c r="BS4" i="8"/>
  <c r="BR4" i="8"/>
  <c r="BQ4" i="8"/>
  <c r="BP4" i="8"/>
  <c r="BO4" i="8"/>
  <c r="BM4" i="8"/>
  <c r="BK4" i="8"/>
  <c r="BL4" i="8"/>
  <c r="BI4" i="8"/>
  <c r="BH4" i="8"/>
  <c r="BG4" i="8"/>
  <c r="BF4" i="8"/>
  <c r="BE4" i="8"/>
  <c r="BD4" i="8"/>
  <c r="BC4" i="8"/>
  <c r="BB4" i="8"/>
  <c r="AX4" i="8"/>
  <c r="AW4" i="8"/>
  <c r="AZ4" i="8"/>
  <c r="AY4" i="8"/>
  <c r="AU4" i="8"/>
  <c r="AF4" i="8"/>
  <c r="AH4" i="8"/>
  <c r="AT4" i="8"/>
  <c r="AS4" i="8"/>
  <c r="AR4" i="8"/>
  <c r="AQ4" i="8"/>
  <c r="AP4" i="8"/>
  <c r="AO4" i="8"/>
  <c r="AN4" i="8"/>
  <c r="AM4" i="8"/>
  <c r="AL4" i="8"/>
  <c r="AK4" i="8"/>
  <c r="AJ4" i="8"/>
  <c r="AD4" i="8"/>
  <c r="AB4" i="8"/>
  <c r="Z4" i="8"/>
  <c r="X4" i="8"/>
  <c r="W4" i="8"/>
  <c r="U4" i="8"/>
  <c r="S4" i="8"/>
  <c r="Q4" i="8"/>
  <c r="O4" i="8"/>
  <c r="M4" i="8"/>
  <c r="K4" i="8"/>
  <c r="I4" i="8"/>
  <c r="A4" i="8"/>
  <c r="B4" i="8"/>
  <c r="F4" i="8"/>
  <c r="H6" i="7" l="1"/>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5" i="7"/>
  <c r="F5" i="7"/>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6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tc={C0D385B1-4E9F-4CB9-8C48-078EEAC7CD71}</author>
    <author>tc={237E9085-10E9-440D-8110-D9E31BDC8613}</author>
    <author>tc={48688769-9C0F-4835-8338-B4EB3122470F}</author>
    <author>tc={2967A14A-75EB-43C2-BB8A-09DCB7B97072}</author>
    <author>tc={B64DB481-AC47-43FE-BACB-BA80CE04FBBA}</author>
    <author>tc={2D9CEEB9-159F-4F41-99E0-F1C5D7700B78}</author>
    <author>tc={79F7F839-8176-4DD8-94A1-1A7AD5300C36}</author>
    <author>tc={57BF31DA-877A-43B5-A541-F7355B7784E8}</author>
    <author>tc={31E8BCD8-8F2C-4C98-8518-5FBCCBBC1954}</author>
    <author>tc={D2A6C2A1-5D84-4A38-84A8-B4AB11B8584C}</author>
    <author>tc={23C1ABFF-742B-441D-92F4-FC3972B2A92A}</author>
    <author>tc={2AE1702F-BAC6-4540-8F1B-9489A5FB8F56}</author>
    <author>tc={45D5FF6C-F801-487E-9426-E20D7419F621}</author>
    <author>tc={59192954-151B-426A-8508-A03D6CF6E1C0}</author>
    <author>tc={64844C79-F608-4F42-86C1-4E86B4C80764}</author>
    <author>tc={F5F0BE0B-9F3C-4E06-9D0B-F65F9E3AD544}</author>
    <author>tc={5F20D980-003D-4D80-A39A-799F4E201673}</author>
    <author>tc={B6E9B448-FE9A-4EAA-AF46-8B13181B1C2B}</author>
    <author>tc={E05BC6A3-6186-4E17-A719-0116697D1F57}</author>
    <author>tc={62896E9E-E055-4F66-A9C0-37581D720E63}</author>
  </authors>
  <commentList>
    <comment ref="AD4" authorId="0" shapeId="0" xr:uid="{C0D385B1-4E9F-4CB9-8C48-078EEAC7CD71}">
      <text>
        <t>[Threaded comment]
Your version of Excel allows you to read this threaded comment; however, any edits to it will get removed if the file is opened in a newer version of Excel. Learn more: https://go.microsoft.com/fwlink/?linkid=870924
Comment:
    perchènon c'è ECVAM? more curated than ICE</t>
      </text>
    </comment>
    <comment ref="ED4" authorId="1" shapeId="0" xr:uid="{237E9085-10E9-440D-8110-D9E31BDC8613}">
      <text>
        <t>[Threaded comment]
Your version of Excel allows you to read this threaded comment; however, any edits to it will get removed if the file is opened in a newer version of Excel. Learn more: https://go.microsoft.com/fwlink/?linkid=870924
Comment:
    it is not specified if NOAEL or BMDL (See phenol for example). This need to be clarified</t>
      </text>
    </comment>
    <comment ref="J5" authorId="2" shapeId="0" xr:uid="{48688769-9C0F-4835-8338-B4EB3122470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@Beneventi,Elisa,CH-Konolfingen questo l'ho cambiato, faceva parte delle modifiche in Dotmatics, listate già cambiate nel software</t>
      </text>
    </comment>
    <comment ref="AD5" authorId="3" shapeId="0" xr:uid="{2967A14A-75EB-43C2-BB8A-09DCB7B97072}">
      <text>
        <t>[Threaded comment]
Your version of Excel allows you to read this threaded comment; however, any edits to it will get removed if the file is opened in a newer version of Excel. Learn more: https://go.microsoft.com/fwlink/?linkid=870924
Comment:
    come inserisco i dati? Stessa cosa per ICE</t>
      </text>
    </comment>
    <comment ref="BI5" authorId="4" shapeId="0" xr:uid="{B64DB481-AC47-43FE-BACB-BA80CE04FBBA}">
      <text>
        <t>[Threaded comment]
Your version of Excel allows you to read this threaded comment; however, any edits to it will get removed if the file is opened in a newer version of Excel. Learn more: https://go.microsoft.com/fwlink/?linkid=870924
Comment:
    There's a mistake in the prediction source</t>
      </text>
    </comment>
    <comment ref="GC5" authorId="5" shapeId="0" xr:uid="{2D9CEEB9-159F-4F41-99E0-F1C5D7700B7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@Beneventi,Elisa,CH-Konolfingen Qui nota in file di testo sarebbe riportare il valore per ogni Cramer Class?</t>
      </text>
    </comment>
    <comment ref="GD5" authorId="6" shapeId="0" xr:uid="{79F7F839-8176-4DD8-94A1-1A7AD5300C3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@Beneventi,Elisa,CH-Konolfingen -Eli, qui manca la TTC-source, se viene da Cramer Class, Cramer class extended e quale software.
-Poi serve una nota in file di testo con testo esplicativo: cosa va riportato dentro? o è sufficiente il contenuto della colonna?
Reply:
    il contenuto della colonna direi che sia giéà esplicativo. TTC source viene da extended xché è il worst case scenario. Si puo aggiungere in una nota ma cmq gli end-user vedono solo Cramer Class extension.</t>
      </text>
    </comment>
    <comment ref="GM5" authorId="7" shapeId="0" xr:uid="{57BF31DA-877A-43B5-A541-F7355B7784E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@Beneventi,Elisa,CH-Konolfingengood confidence va tolto, questa colonna vuoi tenerla solo per noi? Se è il caso va comunicato a Dotmatics. Qui abbiamo detto che serve la nota di testo per spiegare cosa è ND almeno.
Reply:
    Io la renderei visibile con spiegazione</t>
      </text>
    </comment>
    <comment ref="GR5" authorId="8" shapeId="0" xr:uid="{31E8BCD8-8F2C-4C98-8518-5FBCCBBC195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@Beneventi,Elisa,CH-Konolfingenqui aggiungere a parte un po' di testo in un file di testo per spiegare contenuto dove hai scritto "exclusion class" </t>
      </text>
    </comment>
    <comment ref="GE12" authorId="9" shapeId="0" xr:uid="{D2A6C2A1-5D84-4A38-84A8-B4AB11B8584C}">
      <text>
        <t>[Threaded comment]
Your version of Excel allows you to read this threaded comment; however, any edits to it will get removed if the file is opened in a newer version of Excel. Learn more: https://go.microsoft.com/fwlink/?linkid=870924
Comment:
    mg/Kg-day was not specified</t>
      </text>
    </comment>
    <comment ref="L33" authorId="10" shapeId="0" xr:uid="{23C1ABFF-742B-441D-92F4-FC3972B2A92A}">
      <text>
        <t>[Threaded comment]
Your version of Excel allows you to read this threaded comment; however, any edits to it will get removed if the file is opened in a newer version of Excel. Learn more: https://go.microsoft.com/fwlink/?linkid=870924
Comment:
    @Beneventi,Elisa,CH-Konolfingen Eli per questo hai tenuto i nostri, giusto?</t>
      </text>
    </comment>
    <comment ref="EK54" authorId="11" shapeId="0" xr:uid="{2AE1702F-BAC6-4540-8F1B-9489A5FB8F56}">
      <text>
        <t>[Threaded comment]
Your version of Excel allows you to read this threaded comment; however, any edits to it will get removed if the file is opened in a newer version of Excel. Learn more: https://go.microsoft.com/fwlink/?linkid=870924
Comment:
    EFSA considera l'altro come rilevante, giusto (450)? 1125 si riferisce a devtox study e 450 a chronic?
Reply:
    nell'opinion di 450 (subchronic) il test matiarial è coriander seed oil che  contiene dal 2 al 5% di palmitic acid. 1125 invece si riferisce  al palmitic acid ma è uno studio devtox di 28 giorni.
Reply:
    Ok, i punti che non sono chiari li guardiamo lunedi' nelle opinion che hai scaricato, è piu' facile di persona</t>
      </text>
    </comment>
    <comment ref="EK59" authorId="12" shapeId="0" xr:uid="{45D5FF6C-F801-487E-9426-E20D7419F621}">
      <text>
        <t>[Threaded comment]
Your version of Excel allows you to read this threaded comment; however, any edits to it will get removed if the file is opened in a newer version of Excel. Learn more: https://go.microsoft.com/fwlink/?linkid=870924
Comment:
    se c'è 25 come piu' basso nel dossier considererei quello o entrambi</t>
      </text>
    </comment>
    <comment ref="EK79" authorId="13" shapeId="0" xr:uid="{59192954-151B-426A-8508-A03D6CF6E1C0}">
      <text>
        <t>[Threaded comment]
Your version of Excel allows you to read this threaded comment; however, any edits to it will get removed if the file is opened in a newer version of Excel. Learn more: https://go.microsoft.com/fwlink/?linkid=870924
Comment:
    terrei quello di EFSA, questo 1000 a cosa si riferisce?
Reply:
    si riferisce a male fertility ma è un supporting study</t>
      </text>
    </comment>
    <comment ref="EK85" authorId="14" shapeId="0" xr:uid="{64844C79-F608-4F42-86C1-4E86B4C80764}">
      <text>
        <t>[Threaded comment]
Your version of Excel allows you to read this threaded comment; however, any edits to it will get removed if the file is opened in a newer version of Excel. Learn more: https://go.microsoft.com/fwlink/?linkid=870924
Comment:
    qui deve esserci qualcosa in EFSA, lo guardiamo meglio lunedi'</t>
      </text>
    </comment>
    <comment ref="EK100" authorId="15" shapeId="0" xr:uid="{F5F0BE0B-9F3C-4E06-9D0B-F65F9E3AD544}">
      <text>
        <t>[Threaded comment]
Your version of Excel allows you to read this threaded comment; however, any edits to it will get removed if the file is opened in a newer version of Excel. Learn more: https://go.microsoft.com/fwlink/?linkid=870924
Comment:
    quindi quello riportato da EFSA si riferisce ad acetaldeide? quelli di ECHA sono dati specifici?
Reply:
    si efsa è basato su acetaldehyde. ECHA è specifico maè sempre 28 day study</t>
      </text>
    </comment>
    <comment ref="L105" authorId="16" shapeId="0" xr:uid="{5F20D980-003D-4D80-A39A-799F4E201673}">
      <text>
        <t>[Threaded comment]
Your version of Excel allows you to read this threaded comment; however, any edits to it will get removed if the file is opened in a newer version of Excel. Learn more: https://go.microsoft.com/fwlink/?linkid=870924
Comment:
    @Beneventi,Elisa,CH-Konolfingen per questo hai tenuto i nostri? Mi sembra siano gli stessi vlaori di Thomas</t>
      </text>
    </comment>
    <comment ref="ED334" authorId="17" shapeId="0" xr:uid="{B6E9B448-FE9A-4EAA-AF46-8B13181B1C2B}">
      <text>
        <t>[Threaded comment]
Your version of Excel allows you to read this threaded comment; however, any edits to it will get removed if the file is opened in a newer version of Excel. Learn more: https://go.microsoft.com/fwlink/?linkid=870924
Comment:
    @Beneventi,Elisa,CH-Lausanne questo 10 non è colorato e non è incluso nei calcoli, prima il piu' basso era 16, non so se è un errore
Reply:
    10 è un NOAEC (mg/m3), non lo abbiamo considerato perchè inhalation</t>
      </text>
    </comment>
    <comment ref="EI334" authorId="18" shapeId="0" xr:uid="{E05BC6A3-6186-4E17-A719-0116697D1F57}">
      <text>
        <t>[Threaded comment]
Your version of Excel allows you to read this threaded comment; however, any edits to it will get removed if the file is opened in a newer version of Excel. Learn more: https://go.microsoft.com/fwlink/?linkid=870924
Comment:
    @Beneventi,Elisa,CH-Lausanne questo lo possiamo togliere? non è colorato
Reply:
    è un subchronic</t>
      </text>
    </comment>
    <comment ref="EK380" authorId="19" shapeId="0" xr:uid="{62896E9E-E055-4F66-A9C0-37581D720E63}">
      <text>
        <t>[Threaded comment]
Your version of Excel allows you to read this threaded comment; however, any edits to it will get removed if the file is opened in a newer version of Excel. Learn more: https://go.microsoft.com/fwlink/?linkid=870924
Comment:
    il valore è lo stesso, non importa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tc={0C6F7EE6-410A-436B-88EF-F9F1DA57AD2C}</author>
    <author>tc={124B7418-C62B-4F12-B2CA-D54D1CA9EFA4}</author>
    <author>tc={C55D3ABC-8FD8-4F8D-9BA7-CD741FA06411}</author>
    <author>tc={E05A0F32-89B7-4E2D-B8B3-2402CEE09973}</author>
  </authors>
  <commentList>
    <comment ref="AD2" authorId="0" shapeId="0" xr:uid="{0C6F7EE6-410A-436B-88EF-F9F1DA57AD2C}">
      <text>
        <t>[Threaded comment]
Your version of Excel allows you to read this threaded comment; however, any edits to it will get removed if the file is opened in a newer version of Excel. Learn more: https://go.microsoft.com/fwlink/?linkid=870924
Comment:
    perchènon c'è ECVAM? more curated than ICE</t>
      </text>
    </comment>
    <comment ref="AD3" authorId="1" shapeId="0" xr:uid="{124B7418-C62B-4F12-B2CA-D54D1CA9EFA4}">
      <text>
        <t>[Threaded comment]
Your version of Excel allows you to read this threaded comment; however, any edits to it will get removed if the file is opened in a newer version of Excel. Learn more: https://go.microsoft.com/fwlink/?linkid=870924
Comment:
    come inserisco i dati? Stessa cosa per ICE</t>
      </text>
    </comment>
    <comment ref="BH3" authorId="2" shapeId="0" xr:uid="{C55D3ABC-8FD8-4F8D-9BA7-CD741FA06411}">
      <text>
        <t>[Threaded comment]
Your version of Excel allows you to read this threaded comment; however, any edits to it will get removed if the file is opened in a newer version of Excel. Learn more: https://go.microsoft.com/fwlink/?linkid=870924
Comment:
    qui mettiamo una funzione?</t>
      </text>
    </comment>
    <comment ref="BI3" authorId="3" shapeId="0" xr:uid="{E05A0F32-89B7-4E2D-B8B3-2402CEE09973}">
      <text>
        <t>[Threaded comment]
Your version of Excel allows you to read this threaded comment; however, any edits to it will get removed if the file is opened in a newer version of Excel. Learn more: https://go.microsoft.com/fwlink/?linkid=870924
Comment:
    anche qui?</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tc={717149E8-9A49-4EAA-8909-678E550B9E32}</author>
    <author>tc={5042406D-5F01-4F6F-BDE5-56B3B6C87906}</author>
  </authors>
  <commentList>
    <comment ref="A2" authorId="0" shapeId="0" xr:uid="{717149E8-9A49-4EAA-8909-678E550B9E32}">
      <text>
        <t>[Threaded comment]
Your version of Excel allows you to read this threaded comment; however, any edits to it will get removed if the file is opened in a newer version of Excel. Learn more: https://go.microsoft.com/fwlink/?linkid=870924
Comment:
    @Manganelli,Serena,CH-Lausanne qui ti riferisci a MUTA consesus vero?
Reply:
    si brava, devo cambiarlo con la versione di VEGA
Reply:
    1.2?
Reply:
    1.2.0</t>
      </text>
    </comment>
    <comment ref="G2" authorId="1" shapeId="0" xr:uid="{5042406D-5F01-4F6F-BDE5-56B3B6C87906}">
      <text>
        <t>[Threaded comment]
Your version of Excel allows you to read this threaded comment; however, any edits to it will get removed if the file is opened in a newer version of Excel. Learn more: https://go.microsoft.com/fwlink/?linkid=870924
Comment:
    @Manganelli,Serena,CH-Lausanne a questo link ci sono tutte e due le liste
Reply:
    Grande, possiamo anche inserire latest update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tc={BE4A102A-B974-422C-8B0C-B7312DC3232D}</author>
  </authors>
  <commentList>
    <comment ref="ED5" authorId="0" shapeId="0" xr:uid="{BE4A102A-B974-422C-8B0C-B7312DC3232D}">
      <text>
        <t>[Threaded comment]
Your version of Excel allows you to read this threaded comment; however, any edits to it will get removed if the file is opened in a newer version of Excel. Learn more: https://go.microsoft.com/fwlink/?linkid=870924
Comment:
    @Manganelli,Serena,CH-Lausanne questo non dovrebbe essere liver LOAEL (CORAL) (version 1.0.1)? Sono tutti e 3 VEGA</t>
      </text>
    </comment>
  </commentList>
</comments>
</file>

<file path=xl/sharedStrings.xml><?xml version="1.0" encoding="utf-8"?>
<sst xmlns="http://schemas.openxmlformats.org/spreadsheetml/2006/main" count="40669" uniqueCount="2881">
  <si>
    <t>name (to be refine)</t>
  </si>
  <si>
    <t>Key toxicological data summary</t>
  </si>
  <si>
    <t>Mutagenicity Ames details experimental</t>
  </si>
  <si>
    <t>Mutagenicity  Ames details predictions</t>
  </si>
  <si>
    <t>NOAEL details + final call</t>
  </si>
  <si>
    <t>Gene mutation (other endpoints)</t>
  </si>
  <si>
    <t>Genotoxicity (Clastogenicity/aneugenicity)</t>
  </si>
  <si>
    <t>DART</t>
  </si>
  <si>
    <t>Endocrine</t>
  </si>
  <si>
    <t xml:space="preserve">LOAEL details </t>
  </si>
  <si>
    <t xml:space="preserve">TD50 </t>
  </si>
  <si>
    <t>UFs + sBHGV</t>
  </si>
  <si>
    <t>NOAEL details + (N)LOAEL final call</t>
  </si>
  <si>
    <t>N.columns</t>
  </si>
  <si>
    <t>all values are in mg/kg bw/day</t>
  </si>
  <si>
    <t>Available evaluations</t>
  </si>
  <si>
    <t>Genotoxicity EFSA final call</t>
  </si>
  <si>
    <t>EXPERIMENTAL Ames Mutagenicity</t>
  </si>
  <si>
    <t>PREDICTION Ames Mutagenicity</t>
  </si>
  <si>
    <t>(Ames) Mutagenicity final call</t>
  </si>
  <si>
    <t>Experimental Micronucleus (MN)</t>
  </si>
  <si>
    <t>Prediction Micronucleus (MN)</t>
  </si>
  <si>
    <t>Experimental Mouse Lymphoma</t>
  </si>
  <si>
    <t>Prediction Mouse Lymphoma</t>
  </si>
  <si>
    <t>Experimental Chromosomal Aberration (CA)</t>
  </si>
  <si>
    <t>Prediction Chromosomal Aberration (CA)</t>
  </si>
  <si>
    <t>Experimental other genotoxicity endpoint</t>
  </si>
  <si>
    <t>Prediction other genotoxicity endpoint</t>
  </si>
  <si>
    <t>Experimental TD50 (mg/kg bw/day)</t>
  </si>
  <si>
    <t>Prediction TD50 (mg/kg bw/day)</t>
  </si>
  <si>
    <t>Experimental NOAEL (mg/kg bw/day)</t>
  </si>
  <si>
    <t>Experimental LOAEL (mg/kg bw/day)</t>
  </si>
  <si>
    <t>Predicted NOAEL (mg/kg bw/day)</t>
  </si>
  <si>
    <t>Predicted LOAEL (mg/kg bw/day)</t>
  </si>
  <si>
    <t>(N)LOAEL final call</t>
  </si>
  <si>
    <t>UFs</t>
  </si>
  <si>
    <t>Cramer Class</t>
  </si>
  <si>
    <t xml:space="preserve">TTC </t>
  </si>
  <si>
    <t>(s)HBGV</t>
  </si>
  <si>
    <t>chemical-specific SBL  (mg/kg)</t>
  </si>
  <si>
    <t>TTC-derived-SBL (mg/kg)</t>
  </si>
  <si>
    <t>DART experimental</t>
  </si>
  <si>
    <t>DART prediction</t>
  </si>
  <si>
    <t>ER/AR experimental</t>
  </si>
  <si>
    <t>ER/AR prediction</t>
  </si>
  <si>
    <t xml:space="preserve">Thyroid receptor Experimental </t>
  </si>
  <si>
    <t>Thyroid receptor prediction</t>
  </si>
  <si>
    <t xml:space="preserve">Experimental Aromatase activity </t>
  </si>
  <si>
    <t xml:space="preserve">Prediction Aromatase activity </t>
  </si>
  <si>
    <t xml:space="preserve">Experimental Endocrine disruptor activity </t>
  </si>
  <si>
    <t xml:space="preserve">  Prediction Endocrine disruptor activity</t>
  </si>
  <si>
    <t>EFSA OFT</t>
  </si>
  <si>
    <t>VEGA databases</t>
  </si>
  <si>
    <t>Leadscope databases</t>
  </si>
  <si>
    <t xml:space="preserve">Other data sources </t>
  </si>
  <si>
    <t>VEGA Consensus &amp; single models</t>
  </si>
  <si>
    <t>Leadscope Bacterial Consensus &amp; single models</t>
  </si>
  <si>
    <t xml:space="preserve">Leadscope Ames additional models </t>
  </si>
  <si>
    <t>in vitro MN</t>
  </si>
  <si>
    <t>in vivo MN</t>
  </si>
  <si>
    <t>in vitro</t>
  </si>
  <si>
    <t>in vitro CA</t>
  </si>
  <si>
    <t>in vivo CA</t>
  </si>
  <si>
    <t>in vivo</t>
  </si>
  <si>
    <t>(Q)SAR models' database  subchronic toxicity</t>
  </si>
  <si>
    <t>EFSA OFT db</t>
  </si>
  <si>
    <t>OECD QSAR Toolbox</t>
  </si>
  <si>
    <t>(Q)SAR models' database  (sub)chronic toxicity</t>
  </si>
  <si>
    <t xml:space="preserve">subchronic </t>
  </si>
  <si>
    <t>(sub)chronic</t>
  </si>
  <si>
    <t>CAS number</t>
  </si>
  <si>
    <t>Nestle ID code</t>
  </si>
  <si>
    <t>SMILES (original)</t>
  </si>
  <si>
    <t>SMILES (neutralized)</t>
  </si>
  <si>
    <t>Reliability (neutralized)</t>
  </si>
  <si>
    <t>SMILES (VEGA CDK)</t>
  </si>
  <si>
    <t>Duplicate (VEGA CDK)</t>
  </si>
  <si>
    <t>Reliability (VEGA CDK)</t>
  </si>
  <si>
    <t>Chemical name</t>
  </si>
  <si>
    <t>CFSG/CRA ref no</t>
  </si>
  <si>
    <t>"manually generated" SBL (Y/N)</t>
  </si>
  <si>
    <t>Expert review</t>
  </si>
  <si>
    <t>Call</t>
  </si>
  <si>
    <t>doi</t>
  </si>
  <si>
    <t>CAESAR</t>
  </si>
  <si>
    <t xml:space="preserve">Reliability </t>
  </si>
  <si>
    <t xml:space="preserve">SarPy </t>
  </si>
  <si>
    <t>ISS</t>
  </si>
  <si>
    <t>KNN</t>
  </si>
  <si>
    <t xml:space="preserve">Bacterial Mutation Alerts </t>
  </si>
  <si>
    <t>Bacterial Mutation</t>
  </si>
  <si>
    <t>Reliability</t>
  </si>
  <si>
    <t xml:space="preserve">Salmonella Mut </t>
  </si>
  <si>
    <t>E Coli-Sal 102A-T Mut</t>
  </si>
  <si>
    <t>ECHA REACH db (OECD QSAR Toolbox)</t>
  </si>
  <si>
    <t>ICE dataset (nih.gov)</t>
  </si>
  <si>
    <t>ECVAM</t>
  </si>
  <si>
    <t xml:space="preserve">Consensus </t>
  </si>
  <si>
    <t>Mutagenic score</t>
  </si>
  <si>
    <t>Non-Mutagenic Score</t>
  </si>
  <si>
    <t>SarPy</t>
  </si>
  <si>
    <t>Bacterial Mutation Consensus</t>
  </si>
  <si>
    <t>Bacterial Mutation Alerts identified</t>
  </si>
  <si>
    <t xml:space="preserve">Bacterial Mutation </t>
  </si>
  <si>
    <t>Bacterial Mutation Probability</t>
  </si>
  <si>
    <t>Salmonella Mut</t>
  </si>
  <si>
    <t>Salmonella Mut Positive Prediction Probability</t>
  </si>
  <si>
    <t>E Coli - Sal 102 A-T Mut Positive Prediction Probability</t>
  </si>
  <si>
    <t>Final call</t>
  </si>
  <si>
    <t>Reliability VEGA</t>
  </si>
  <si>
    <t>Exp/pred</t>
  </si>
  <si>
    <t>Source</t>
  </si>
  <si>
    <t>Remarks</t>
  </si>
  <si>
    <t>ECHA REACH db (OECD QSAR Toolbox )</t>
  </si>
  <si>
    <t xml:space="preserve">VEGA  (IRFMN-VERMEER) </t>
  </si>
  <si>
    <t>LS</t>
  </si>
  <si>
    <t>ICE</t>
  </si>
  <si>
    <t>ECHA REACH db (OECD QSAR Toolbox  )</t>
  </si>
  <si>
    <t xml:space="preserve">VEGA (IRFMN) </t>
  </si>
  <si>
    <t>VEGA  (IRFMN-VERMEER)</t>
  </si>
  <si>
    <r>
      <t>VEGA (IRFMN)</t>
    </r>
    <r>
      <rPr>
        <b/>
        <sz val="11"/>
        <color rgb="FFFFFF00"/>
        <rFont val="Calibri"/>
        <family val="2"/>
        <scheme val="minor"/>
      </rPr>
      <t xml:space="preserve"> </t>
    </r>
  </si>
  <si>
    <t>Reliability and Consensus status</t>
  </si>
  <si>
    <t>LS In Vivo Micronuc Mouse</t>
  </si>
  <si>
    <t>In Vivo Micronuc Mouse Positive Prediction Probability</t>
  </si>
  <si>
    <t>Toxtree Structure Alerts  in vivo MN in rodents</t>
  </si>
  <si>
    <t>LS Mouse Lymphoma Act Experimental Value</t>
  </si>
  <si>
    <t>LS Mouse Lymphoma Unact Experimental Value</t>
  </si>
  <si>
    <t>LS Mouse Lymphoma Act Prediction</t>
  </si>
  <si>
    <t>LS Mouse Lymphoma ActPositive Prediction Probability</t>
  </si>
  <si>
    <t>LS Mouse Lymphoma Unact v2 Prediction</t>
  </si>
  <si>
    <t>LS Mouse Lymphoma Unact v2 Positive Prediction Probability</t>
  </si>
  <si>
    <t xml:space="preserve">LS In Vitro Chrom Ab CHO v2 </t>
  </si>
  <si>
    <t>LS In Vitro Chrom Ab CHL v2</t>
  </si>
  <si>
    <t>VEGA Chromosomal aberration model (CORAL)</t>
  </si>
  <si>
    <t xml:space="preserve">LS chrom ab(A7P) </t>
  </si>
  <si>
    <t>LS chrom ab other rodent(A7R)</t>
  </si>
  <si>
    <t xml:space="preserve">LS chrom ab rat (A7Q) </t>
  </si>
  <si>
    <t>LS In Vitro Chrom Ab CHO</t>
  </si>
  <si>
    <t>LS In Vitro Chrom Ab CHL</t>
  </si>
  <si>
    <t xml:space="preserve">VEGA Chromosomal aberration model (CORAL) </t>
  </si>
  <si>
    <t>LS chrom ab(A7P)</t>
  </si>
  <si>
    <t>LS chrom ab rat (A7Q)</t>
  </si>
  <si>
    <t>LS In Vitro SCE CHO</t>
  </si>
  <si>
    <t>LS In Vitro SCE Comp</t>
  </si>
  <si>
    <t xml:space="preserve">LS SCE in vitro other (A8I) </t>
  </si>
  <si>
    <t>LS In Vivo Rodent Mut  Experimental Value</t>
  </si>
  <si>
    <t>LS In Vivo Rodent DL Mut</t>
  </si>
  <si>
    <t>ECVAM TGR Overall</t>
  </si>
  <si>
    <t>ECVAM in vivo UDS Overall</t>
  </si>
  <si>
    <t>in vivo DNA damage Overall</t>
  </si>
  <si>
    <t xml:space="preserve">LS In Vitro SCE CHO </t>
  </si>
  <si>
    <t>LS In Vivo Rodent Mut</t>
  </si>
  <si>
    <t xml:space="preserve">LS In Vivo Rodent DL Mut </t>
  </si>
  <si>
    <t>CPDB rat</t>
  </si>
  <si>
    <t>CPDB mouse</t>
  </si>
  <si>
    <t>ADMET rat</t>
  </si>
  <si>
    <r>
      <t>AD info</t>
    </r>
    <r>
      <rPr>
        <b/>
        <sz val="11"/>
        <color rgb="FFFFFF00"/>
        <rFont val="Calibri"/>
        <family val="2"/>
        <scheme val="minor"/>
      </rPr>
      <t xml:space="preserve"> </t>
    </r>
  </si>
  <si>
    <t>ADMET mouse</t>
  </si>
  <si>
    <t>AD info</t>
  </si>
  <si>
    <t>Lazar rat</t>
  </si>
  <si>
    <t>Lazar mouse</t>
  </si>
  <si>
    <t>VEGA NOAEL (IRFMN-CORAL)</t>
  </si>
  <si>
    <t>VEGA Liver NOAEL (CORAL)</t>
  </si>
  <si>
    <t>CORAL Gadaleta 2021 (confidential)</t>
  </si>
  <si>
    <t>EFSA human</t>
  </si>
  <si>
    <t>EFSA animal</t>
  </si>
  <si>
    <t>Chronic/Subchronic/devtox</t>
  </si>
  <si>
    <t>EFSA ToolBox</t>
  </si>
  <si>
    <t>Munro Toolbox</t>
  </si>
  <si>
    <t>ECHA</t>
  </si>
  <si>
    <t xml:space="preserve">VEGA Liver LOAEL (CORAL) </t>
  </si>
  <si>
    <t>Helma 2018</t>
  </si>
  <si>
    <t xml:space="preserve">Mazzatorta 2008 </t>
  </si>
  <si>
    <t>Gadaleta 2021 NOAEL</t>
  </si>
  <si>
    <t>Mazzatorta 2008</t>
  </si>
  <si>
    <t xml:space="preserve">Gadaleta 2021 LOAEL </t>
  </si>
  <si>
    <t>Min (N)LOAEL</t>
  </si>
  <si>
    <t>"internal" reliability</t>
  </si>
  <si>
    <t>Subchronic-to-Chronic (UF=2)</t>
  </si>
  <si>
    <t>Inter-species (UF=10)</t>
  </si>
  <si>
    <t>Intra-species (UF=10)</t>
  </si>
  <si>
    <t>LOAEL to NOAEL (UF=10)</t>
  </si>
  <si>
    <t>DB UF (3-10)</t>
  </si>
  <si>
    <t>SF applied</t>
  </si>
  <si>
    <t>Cramer Class with Extension</t>
  </si>
  <si>
    <t>TTC value (ug /kg bw/d)</t>
  </si>
  <si>
    <t>TTC-source</t>
  </si>
  <si>
    <t>HBGV EFSA OFT</t>
  </si>
  <si>
    <t>sHBGV</t>
  </si>
  <si>
    <t>HBGV</t>
  </si>
  <si>
    <t>SBL1</t>
  </si>
  <si>
    <t>SBL2</t>
  </si>
  <si>
    <t>SBL3</t>
  </si>
  <si>
    <t>SBL4</t>
  </si>
  <si>
    <t>chemical-specific-SBL remarks</t>
  </si>
  <si>
    <t>TTC-derived-SBL remarks</t>
  </si>
  <si>
    <t>VEGA-Developmental Toxicity model (CAESAR)</t>
  </si>
  <si>
    <t>VEGA-Developmental/Reproductive Toxicity library (PG)</t>
  </si>
  <si>
    <t>P&amp;G DART scheme QSAR Toolbox</t>
  </si>
  <si>
    <t>Estrogen Receptor-mediated effect (IRFMN-CERAPP)</t>
  </si>
  <si>
    <t>Estrogen Receptor Relative Binding Affinity model (IRFMN)</t>
  </si>
  <si>
    <t>Androgen Receptor-mediated effect (IRFMN-COMPARA)</t>
  </si>
  <si>
    <t>other</t>
  </si>
  <si>
    <t>source</t>
  </si>
  <si>
    <t>Estrogen Receptor Binding  QSAR Toolbox</t>
  </si>
  <si>
    <t>VEGA-Thyroid receptor alpha effect</t>
  </si>
  <si>
    <t>VEGA-Thyroid receptor beta effect</t>
  </si>
  <si>
    <t>Other</t>
  </si>
  <si>
    <t>VEGA-Aromatase activity model (IRFMN)</t>
  </si>
  <si>
    <t>VEGA-Aromatase activity model (TOX21)</t>
  </si>
  <si>
    <t>VEGA-Endocrine disruptor activity screening (IRFMN)</t>
  </si>
  <si>
    <t>SBL 1</t>
  </si>
  <si>
    <t>SBL 2</t>
  </si>
  <si>
    <t>SBL 3</t>
  </si>
  <si>
    <t>SBL 4</t>
  </si>
  <si>
    <t>SBL TO BE CHECKED</t>
  </si>
  <si>
    <t>110-82-7</t>
  </si>
  <si>
    <t>N-00001</t>
  </si>
  <si>
    <t>C1CCCCC1</t>
  </si>
  <si>
    <t>Cyclohexane</t>
  </si>
  <si>
    <t>Negative</t>
  </si>
  <si>
    <t>NON-Mutagenic</t>
  </si>
  <si>
    <t xml:space="preserve">Negative, </t>
  </si>
  <si>
    <t>GOOD</t>
  </si>
  <si>
    <t>Possible NON-Mutagenic</t>
  </si>
  <si>
    <t>MODERATE</t>
  </si>
  <si>
    <t>[No Alerts]</t>
  </si>
  <si>
    <t>Not In Domain</t>
  </si>
  <si>
    <t>Experimental</t>
  </si>
  <si>
    <t>VEGA, Leadscope, ECHA REACH, ICE</t>
  </si>
  <si>
    <t/>
  </si>
  <si>
    <t>Inactive</t>
  </si>
  <si>
    <t xml:space="preserve">NON-genotoxic </t>
  </si>
  <si>
    <t>MODERATE-Predictions NOT in agreement</t>
  </si>
  <si>
    <t>No alerts for the  micronucleus assay (Class II)</t>
  </si>
  <si>
    <t>no</t>
  </si>
  <si>
    <t>LOW</t>
  </si>
  <si>
    <t>YES</t>
  </si>
  <si>
    <t>maybe</t>
  </si>
  <si>
    <t>Mazzatorta</t>
  </si>
  <si>
    <t>PRED</t>
  </si>
  <si>
    <t>Low (Class I)</t>
  </si>
  <si>
    <t xml:space="preserve">ToxTree, Nestlé Lazar, QSAR ToolBox v 4.4 </t>
  </si>
  <si>
    <t>NON-Toxicant</t>
  </si>
  <si>
    <t xml:space="preserve">NON-Toxicant </t>
  </si>
  <si>
    <t>Not known precedent reproductive and developmental toxic potential</t>
  </si>
  <si>
    <t xml:space="preserve">Not predicted </t>
  </si>
  <si>
    <t xml:space="preserve">NON-active </t>
  </si>
  <si>
    <t>Non binder, without OH or NH2 group</t>
  </si>
  <si>
    <t>EXPERIMENTAL</t>
  </si>
  <si>
    <t>[Model ]Unable to perform Applicability Domain check.</t>
  </si>
  <si>
    <t>110-54-3</t>
  </si>
  <si>
    <t>N-00002</t>
  </si>
  <si>
    <t>CCCCCC</t>
  </si>
  <si>
    <t>n-Hexane</t>
  </si>
  <si>
    <t>NON-genotoxic</t>
  </si>
  <si>
    <t>EXPERIMENTAL-Both predictions in agreement</t>
  </si>
  <si>
    <t>Positive</t>
  </si>
  <si>
    <t>I</t>
  </si>
  <si>
    <t>subchronic</t>
  </si>
  <si>
    <t>ECHA-exp</t>
  </si>
  <si>
    <t>exp</t>
  </si>
  <si>
    <t xml:space="preserve"> ∆log&lt;1 </t>
  </si>
  <si>
    <t>Reproductive toxicant, developmental NON-toxicant</t>
  </si>
  <si>
    <t xml:space="preserve">Reproductive toxicant, developmental NON-toxicant </t>
  </si>
  <si>
    <t>Known precedent reproductive and developmental toxic potential;Miscellaneous non-cyclic chemicals (20)</t>
  </si>
  <si>
    <t>Non binder, non cyclic structure</t>
  </si>
  <si>
    <t>yes</t>
  </si>
  <si>
    <t>107-83-5</t>
  </si>
  <si>
    <t>N-00003</t>
  </si>
  <si>
    <t>CCCC(C)C</t>
  </si>
  <si>
    <t>2-Methylpentane</t>
  </si>
  <si>
    <t>Inconclusive</t>
  </si>
  <si>
    <t>Reliable (consensus score &gt; = 0.5)</t>
  </si>
  <si>
    <t>Predicted</t>
  </si>
  <si>
    <t>VEGA</t>
  </si>
  <si>
    <t>MODERATE-Both predictions in agreement</t>
  </si>
  <si>
    <t>CORAL LOAEL</t>
  </si>
  <si>
    <t>This substance is authorised to be used as it is covered by the SML for FCM substance 3 and 13 as mixture of alcohols.</t>
  </si>
  <si>
    <t>19549-87-2</t>
  </si>
  <si>
    <t>N-00004</t>
  </si>
  <si>
    <t>CCC[C@H](CC(C)=C)C</t>
  </si>
  <si>
    <t>C=C(C)CC(C)CCC</t>
  </si>
  <si>
    <t>2,4-dimethyl-1-heptene</t>
  </si>
  <si>
    <t>GOOD-Both predictions in agreement</t>
  </si>
  <si>
    <t>This molecule is also known as analytical artefact formed in the GC injector from Erucamide.</t>
  </si>
  <si>
    <t>67-64-1</t>
  </si>
  <si>
    <t>N-00005</t>
  </si>
  <si>
    <t>CC(C)=O</t>
  </si>
  <si>
    <t>O=C(C)C</t>
  </si>
  <si>
    <t>Acetone</t>
  </si>
  <si>
    <t xml:space="preserve">Negative, Ambiguous, </t>
  </si>
  <si>
    <t>VEGA, Leadscope, ICE</t>
  </si>
  <si>
    <t>Not predicted</t>
  </si>
  <si>
    <t>Munro Toolbox-exp</t>
  </si>
  <si>
    <t>Nitriles may be analytical artefacts from amide slip agents formed in the GC injector.</t>
  </si>
  <si>
    <t>1126-79-0</t>
  </si>
  <si>
    <t>N-00006</t>
  </si>
  <si>
    <t>CCCCOC1=CC=CC=C1</t>
  </si>
  <si>
    <t>O(c1ccccc1)CCCC</t>
  </si>
  <si>
    <t>Benzene, butoxy-</t>
  </si>
  <si>
    <t>No Call Data Present</t>
  </si>
  <si>
    <t xml:space="preserve">ECHA REACH, </t>
  </si>
  <si>
    <t>Intermediate (Class II)</t>
  </si>
  <si>
    <t xml:space="preserve">  Nestlé Lazar,  QSAR ToolBox v 4.4, </t>
  </si>
  <si>
    <t>This substance is authorised to be used as it is covered by the SML for FCM substance 9 or 10 as mixture of acids.</t>
  </si>
  <si>
    <t>108-95-2</t>
  </si>
  <si>
    <t>N-00007</t>
  </si>
  <si>
    <t>OC1=CC=CC=C1</t>
  </si>
  <si>
    <t>Oc1ccccc1</t>
  </si>
  <si>
    <t>Phenol</t>
  </si>
  <si>
    <t>doi:10.2903/j.efsa.2013.3189</t>
  </si>
  <si>
    <t>[-]</t>
  </si>
  <si>
    <t>Negative-ambiguous</t>
  </si>
  <si>
    <t>ECHA REACH</t>
  </si>
  <si>
    <t>positive</t>
  </si>
  <si>
    <t>[+]</t>
  </si>
  <si>
    <t>Active</t>
  </si>
  <si>
    <t>[+] (hypothermia)</t>
  </si>
  <si>
    <t xml:space="preserve">Positive, </t>
  </si>
  <si>
    <t>Genotoxic</t>
  </si>
  <si>
    <t xml:space="preserve">Genotoxic </t>
  </si>
  <si>
    <t>52 (BMDL10)</t>
  </si>
  <si>
    <t>devtox</t>
  </si>
  <si>
    <t>chronic</t>
  </si>
  <si>
    <t>Lazar-exp</t>
  </si>
  <si>
    <t>High (Class III)</t>
  </si>
  <si>
    <t>0.5 mg/kg-day (TDI)-applicable only to Phenol</t>
  </si>
  <si>
    <t>3E-1 mg/kg-day (US EPA RfD only for Phenol)</t>
  </si>
  <si>
    <t>This molecule is present in paraffinic waxes and is therefore covered by its SML.</t>
  </si>
  <si>
    <t>80-56-8</t>
  </si>
  <si>
    <t>N-00008</t>
  </si>
  <si>
    <t>CC1=CC[C@H]2C[C@@H]1C2(C)C</t>
  </si>
  <si>
    <t>C1=C(C)C2CC(C1)C2(C)(C)</t>
  </si>
  <si>
    <t>alpha-Pinene</t>
  </si>
  <si>
    <t>Negative (3)</t>
  </si>
  <si>
    <t>VEGA, ICE</t>
  </si>
  <si>
    <t>NO, reject prediction</t>
  </si>
  <si>
    <t>Molecule is difficult to identify by GC-MS as it could be another saturated hydrocarbon as well. Note that this molecule may be part of POSH and should be assessed by its restriction.</t>
  </si>
  <si>
    <t>108-88-3</t>
  </si>
  <si>
    <t>N-00009</t>
  </si>
  <si>
    <t>CC1=CC=CC=C1</t>
  </si>
  <si>
    <t>c1ccc(cc1)C</t>
  </si>
  <si>
    <t>Toluene</t>
  </si>
  <si>
    <t>equivocal</t>
  </si>
  <si>
    <t>[E]</t>
  </si>
  <si>
    <r>
      <t>3060</t>
    </r>
    <r>
      <rPr>
        <vertAlign val="superscript"/>
        <sz val="13"/>
        <color indexed="10"/>
        <rFont val="Calibri"/>
        <family val="2"/>
        <scheme val="minor"/>
      </rPr>
      <t>m</t>
    </r>
  </si>
  <si>
    <t>100-51-6</t>
  </si>
  <si>
    <t>N-00010</t>
  </si>
  <si>
    <t>OCC1=CC=CC=C1</t>
  </si>
  <si>
    <t>OCc1ccccc1</t>
  </si>
  <si>
    <t>Benzyl alcohol</t>
  </si>
  <si>
    <t>negative</t>
  </si>
  <si>
    <t>Munro ToolBox-exp</t>
  </si>
  <si>
    <t>75-85-4</t>
  </si>
  <si>
    <t>N-00011</t>
  </si>
  <si>
    <t>CCC(C)(O)C</t>
  </si>
  <si>
    <t>OC(C)(C)CC</t>
  </si>
  <si>
    <t>2-methyl-2-butanol</t>
  </si>
  <si>
    <t xml:space="preserve">Toxicant </t>
  </si>
  <si>
    <t>763-32-6</t>
  </si>
  <si>
    <t>N-00012</t>
  </si>
  <si>
    <t>CC(CCO)=C</t>
  </si>
  <si>
    <t>OCCC(=C)C</t>
  </si>
  <si>
    <t>3-buten-1-ol, 3-methyl</t>
  </si>
  <si>
    <t>Toxicant</t>
  </si>
  <si>
    <t>109-86-4</t>
  </si>
  <si>
    <t>N-00013</t>
  </si>
  <si>
    <t>COCCO</t>
  </si>
  <si>
    <t>OCCOC</t>
  </si>
  <si>
    <t>Ethanol, 2-methoxy-</t>
  </si>
  <si>
    <t xml:space="preserve"> [-]</t>
  </si>
  <si>
    <t>At least one positive structural alerts for the  micronucleus assay (Class I)</t>
  </si>
  <si>
    <t>Reproductive and developmental toxicant</t>
  </si>
  <si>
    <t xml:space="preserve">Reproductive and developmental toxicant </t>
  </si>
  <si>
    <t>Alkoxy propanol derivatives;Di-substituted hydrocarbons (24a);Known precedent reproductive and developmental toxic potential</t>
  </si>
  <si>
    <t>NON-active</t>
  </si>
  <si>
    <t>637-92-3</t>
  </si>
  <si>
    <t>N-00014</t>
  </si>
  <si>
    <t>CCOC(C)(C)C</t>
  </si>
  <si>
    <t>O(CC)C(C)(C)C</t>
  </si>
  <si>
    <t>Propane, 2-ethoxy-2-methyl-</t>
  </si>
  <si>
    <t>EFSA OFT db-exp</t>
  </si>
  <si>
    <t xml:space="preserve">  QSAR ToolBox v 4.4, </t>
  </si>
  <si>
    <t xml:space="preserve">Possible NON-active </t>
  </si>
  <si>
    <t>556-67-2</t>
  </si>
  <si>
    <t>N-00015</t>
  </si>
  <si>
    <t>C[Si]1(O[Si](C)(O[Si](C)(O[Si](C)(O1)C)C)C)C</t>
  </si>
  <si>
    <t>O1[Si](O[Si](O[Si](O[Si]1(C)C)(C)C)(C)C)(C)C</t>
  </si>
  <si>
    <t>Cyclotetrasiloxane, octamethyl</t>
  </si>
  <si>
    <t>2021-063</t>
  </si>
  <si>
    <t>Y</t>
  </si>
  <si>
    <t xml:space="preserve">Leadscope, ECHA REACH, </t>
  </si>
  <si>
    <t>-Not available</t>
  </si>
  <si>
    <t>out of AD</t>
  </si>
  <si>
    <t>Not derived</t>
  </si>
  <si>
    <t>not applied</t>
  </si>
  <si>
    <t>111-77-3</t>
  </si>
  <si>
    <t>N-00016</t>
  </si>
  <si>
    <t>COCCOCCO</t>
  </si>
  <si>
    <t>OCCOCCOC</t>
  </si>
  <si>
    <t>Diethyleneglycol methyl ether</t>
  </si>
  <si>
    <t>Leadscope, ECHA REACH, ICE</t>
  </si>
  <si>
    <t>Di-substituted hydrocarbons (24b);Known precedent reproductive and developmental toxic potential</t>
  </si>
  <si>
    <t>13466-78-9</t>
  </si>
  <si>
    <t>N-00017</t>
  </si>
  <si>
    <t>CC1=CC[C@H]2[C@H](C2(C)C)C1</t>
  </si>
  <si>
    <t>C1=C(C)CC2C(C1)C2(C)(C)</t>
  </si>
  <si>
    <t>3-Carene</t>
  </si>
  <si>
    <t>22347-47-3</t>
  </si>
  <si>
    <t>N-00018</t>
  </si>
  <si>
    <t>O[C@H]1OCCOC1</t>
  </si>
  <si>
    <t>OC1OCCOC1</t>
  </si>
  <si>
    <t>1,4-Dioxan-2-ol</t>
  </si>
  <si>
    <t>Mutagenic</t>
  </si>
  <si>
    <t>muta probability &gt;0.2</t>
  </si>
  <si>
    <t>moderate (consensus score &gt; = 0.5 &amp; 1 single positive low rel prediction )</t>
  </si>
  <si>
    <t>Known precedent reproductive and developmental toxic potential;Piperazine-, dioxane-, morpholine-, tetrahydrothiopyran-like derivatives and cyclohexanamine (17c)</t>
  </si>
  <si>
    <t>Non binder, impaired OH or NH2 group</t>
  </si>
  <si>
    <t>127-91-3</t>
  </si>
  <si>
    <t>N-00019</t>
  </si>
  <si>
    <t>CC1(C)[C@@H]2CCC([C@H]1C2)=C</t>
  </si>
  <si>
    <t>C=C1CCC2CC1C2(C)(C)</t>
  </si>
  <si>
    <t>beta-Pinene</t>
  </si>
  <si>
    <t xml:space="preserve">VEGA, Leadscope, </t>
  </si>
  <si>
    <t>558-42-9</t>
  </si>
  <si>
    <t>N-00020</t>
  </si>
  <si>
    <t>CC(CCl)(O)C</t>
  </si>
  <si>
    <t>OC(C)(C)CCl</t>
  </si>
  <si>
    <t>1-Chloro-2-methyl-2-propanol</t>
  </si>
  <si>
    <t>Suspect Mutagenic</t>
  </si>
  <si>
    <t>Indeterminate</t>
  </si>
  <si>
    <t>Leadscope</t>
  </si>
  <si>
    <t>104-76-7</t>
  </si>
  <si>
    <t>N-00021</t>
  </si>
  <si>
    <t>CCCCC(CO)CC</t>
  </si>
  <si>
    <t>OCC(CC)CCCC</t>
  </si>
  <si>
    <t>2-Ethyl-1-hexanol</t>
  </si>
  <si>
    <t>110-13-4</t>
  </si>
  <si>
    <t>N-00022</t>
  </si>
  <si>
    <t>CC(CCC(C)=O)=O</t>
  </si>
  <si>
    <t>O=C(C)CCC(=O)C</t>
  </si>
  <si>
    <t>2,5-Hexanedione</t>
  </si>
  <si>
    <t>Reproductive toxicant (no data on developmental toxicity)</t>
  </si>
  <si>
    <t xml:space="preserve">Reproductive toxicant no data on developmental toxicity) </t>
  </si>
  <si>
    <t>629-96-9</t>
  </si>
  <si>
    <t>N-00023</t>
  </si>
  <si>
    <t>[H]O[C@]([H])([H])[C@]([H])([H])[C@]([H])([H])[C@]([H])([H])[C@]([H])([H])[C@]([H])([H])[C@]([H])([H])[C@]([H])([H])[C@]([H])([H])[C@]([H])([H])[C@@]([H])([H])[C@@]([H])([H])[C@@]([H])([H])[C@@]([H])([H])[C@@]([H])([H])[C@@]([H])([H])[C@@]([H])([H])[C@@]([H])([H])[C@@]([H])([H])[C@@]([H])([H])[H]</t>
  </si>
  <si>
    <t>OCCCCCCCCCCCCCCCCCCCC</t>
  </si>
  <si>
    <t>1-Eicosanol</t>
  </si>
  <si>
    <t>Lazar</t>
  </si>
  <si>
    <t xml:space="preserve">  --&gt; add sentence in remark fields</t>
  </si>
  <si>
    <t>108-67-8</t>
  </si>
  <si>
    <t>N-00024</t>
  </si>
  <si>
    <t>CC1=CC(C)=CC(C)=C1</t>
  </si>
  <si>
    <t>c1c(cc(cc1C)C)C</t>
  </si>
  <si>
    <t>1,3,5-trimethyl benzene</t>
  </si>
  <si>
    <t xml:space="preserve">VEGA, Leadscope, ECHA REACH, </t>
  </si>
  <si>
    <t>-Predictions NOT in agreement</t>
  </si>
  <si>
    <t>301-02-0</t>
  </si>
  <si>
    <t>N-00025</t>
  </si>
  <si>
    <t>CCCCCCCC/C=C/CCCCCCCC(N)=O</t>
  </si>
  <si>
    <t>O=C(N)CCCCCCCC=CCCCCCCCC</t>
  </si>
  <si>
    <t>Oleamide</t>
  </si>
  <si>
    <t>112-84-5</t>
  </si>
  <si>
    <t>N-00026</t>
  </si>
  <si>
    <t>CCCCCCCC/C=C\CCCCCCCCCCCC(N)=O</t>
  </si>
  <si>
    <t>O=C(N)CCCCCCCCCCCC=CCCCCCCCC</t>
  </si>
  <si>
    <t>Erucamide</t>
  </si>
  <si>
    <t>31570-04-4</t>
  </si>
  <si>
    <t>N-00027</t>
  </si>
  <si>
    <t>CC(C)(C1=CC=C(C(C(C)(C)C)=C1)OP(OC2=CC=C(C(C)(C)C)C=C2C(C)(C)C)OC3=CC=C(C(C)(C)C)C=C3C(C)(C)C)C</t>
  </si>
  <si>
    <t>CC(C)(C)c3ccc(OP(Oc1ccc(cc1C(C)(C)C)C(C)(C)C)Oc2ccc(cc2C(C)(C)C)C(C)(C)C)c(c3)C(C)(C)C</t>
  </si>
  <si>
    <t>Phosphorous acid, tris(2,4-di-tert-butylphenyl) ester</t>
  </si>
  <si>
    <t>LOW-Based only on ONE available prediction</t>
  </si>
  <si>
    <t>73170-89-5</t>
  </si>
  <si>
    <t>N-00028</t>
  </si>
  <si>
    <t>CCCCCCCC/C=C\CCCCCCCCCCCC#N</t>
  </si>
  <si>
    <t>N#CCCCCCCCCCCCC=CCCCCCCCC</t>
  </si>
  <si>
    <t>13Z-Docosenenitrile</t>
  </si>
  <si>
    <t>2017-042</t>
  </si>
  <si>
    <t>predicted values updated with new workflow</t>
  </si>
  <si>
    <t>Active (inconclusive)</t>
  </si>
  <si>
    <t>95906-11-9</t>
  </si>
  <si>
    <t>N-00029</t>
  </si>
  <si>
    <t>CC(C)(C1=CC(C(C)(C)C)=C(OP(OC2=C(C(C)(C)C)C=C(C(C)(C)C)C=C2)(OC3=C(C(C)(C)C)C=C(C(C)(C)C)C=C3)=O)C=C1)C</t>
  </si>
  <si>
    <t>CC(C)(C)c3ccc(OP(=O)(Oc1ccc(cc1C(C)(C)C)C(C)(C)C)Oc2ccc(cc2C(C)(C)C)C(C)(C)C)c(c3)C(C)(C)C</t>
  </si>
  <si>
    <t>Phosphoric acid, tris(2,4-di-tert-butylphenyl) ester</t>
  </si>
  <si>
    <t>2021-149;2021-089_x000D_; 2022-063</t>
  </si>
  <si>
    <t>2082-79-3</t>
  </si>
  <si>
    <t>N-00030</t>
  </si>
  <si>
    <t>CCCCCCCCCCCCCCCCCCOC(CCC1=CC(C(C)(C)C)=C(C(C(C)(C)C)=C1)O)=O</t>
  </si>
  <si>
    <t>O=C(OCCCCCCCCCCCCCCCCCC)CCc1cc(c(O)c(c1)C(C)(C)C)C(C)(C)C</t>
  </si>
  <si>
    <t>Benzenepropanoic acid, 3,5-di-tert-butyl ?4-?hydroxy?,  octadecyl ester</t>
  </si>
  <si>
    <t>High (Class III);Intermediate (Class II)</t>
  </si>
  <si>
    <t>112-91-4</t>
  </si>
  <si>
    <t>N-00031</t>
  </si>
  <si>
    <t>CCCCCCCC/C=C\CCCCCCCC#N</t>
  </si>
  <si>
    <t>N#CCCCCCCCC=CCCCCCCCC</t>
  </si>
  <si>
    <t>9Z-Octadecenenitrile</t>
  </si>
  <si>
    <t>MODERATE-Based only on ONE available prediction</t>
  </si>
  <si>
    <t>6386-38-5</t>
  </si>
  <si>
    <t>N-00032</t>
  </si>
  <si>
    <t>COC(CCC1=CC(C(C)(C)C)=C(C(C(C)(C)C)=C1)O)=O</t>
  </si>
  <si>
    <t>O=C(OC)CCc1cc(c(O)c(c1)C(C)(C)C)C(C)(C)C</t>
  </si>
  <si>
    <t>Benzenepropanoic acid, 3,5-di-tert-butyl 4-hydroxy, methyl ester</t>
  </si>
  <si>
    <t xml:space="preserve">Inactive </t>
  </si>
  <si>
    <t>10436-08-5</t>
  </si>
  <si>
    <t>N-00033-1</t>
  </si>
  <si>
    <t>CCCCCCCC/C=C\CCCCCCCCCC(N)=O</t>
  </si>
  <si>
    <t>O=C(N)CCCCCCCCCC=CCCCCCCCC</t>
  </si>
  <si>
    <t>11Z-Eicosenamide</t>
  </si>
  <si>
    <t>10586-57-9</t>
  </si>
  <si>
    <t>N-00033-2</t>
  </si>
  <si>
    <t>O=C(C([H])([H])C([H])([H])C([H])([H])C([H])([H])C([H])([H])C([H])([H])C([H])([H])C([H])([H])C([H])([H])/C([H])=C([H])/C([H])([H])C([H])([H])C([H])([H])C([H])([H])C([H])([H])C([H])([H])C([H])([H])C([H])([H])[H])N([H])[H]</t>
  </si>
  <si>
    <t>11E-Eicosenamide</t>
  </si>
  <si>
    <t>This compound is most probably an impurity of its isomer 11Z-eicosenamide (CAS 10436-08-5) which has no restriction.</t>
  </si>
  <si>
    <t xml:space="preserve">  --&gt; add sentence in remark fields + in reg form in Source field</t>
  </si>
  <si>
    <t>124-26-5</t>
  </si>
  <si>
    <t>N-00034</t>
  </si>
  <si>
    <t>CCCCCCCCCCCCCCCCCC(N)=O</t>
  </si>
  <si>
    <t>O=C(N)CCCCCCCCCCCCCCCCC</t>
  </si>
  <si>
    <t>Octadecanamide</t>
  </si>
  <si>
    <t xml:space="preserve"> </t>
  </si>
  <si>
    <t>51360-63-5</t>
  </si>
  <si>
    <t>N-00035</t>
  </si>
  <si>
    <t>CCCCCCCCCCCCCCCCCCCC(N)=O</t>
  </si>
  <si>
    <t>O=C(N)CCCCCCCCCCCCCCCCCCC</t>
  </si>
  <si>
    <t>Eicosanamide</t>
  </si>
  <si>
    <t>∆log&gt;1 : low reliability</t>
  </si>
  <si>
    <t>96-76-4</t>
  </si>
  <si>
    <t>N-00037</t>
  </si>
  <si>
    <t>CC(C)(C1=CC=C(C(C(C)(C)C)=C1)O)C</t>
  </si>
  <si>
    <t>Oc1ccc(cc1C(C)(C)C)C(C)(C)C</t>
  </si>
  <si>
    <t>Phenol, 2,4-di-tert-butyl</t>
  </si>
  <si>
    <t>VEGA-exp</t>
  </si>
  <si>
    <t>Strong binder, OH group</t>
  </si>
  <si>
    <t>NA</t>
  </si>
  <si>
    <t>N-00038</t>
  </si>
  <si>
    <t>CCCCCCCCCCCCCCCCCCCCCCCC(N)=O</t>
  </si>
  <si>
    <t>O=C(N)CCCCCCCCCCCCCCCCCCCCCCC</t>
  </si>
  <si>
    <t>Tetracosanamide</t>
  </si>
  <si>
    <t>629-54-9</t>
  </si>
  <si>
    <t>N-00039</t>
  </si>
  <si>
    <t>CCCCCCCCCCCCCCCC(N)=O</t>
  </si>
  <si>
    <t>O=C(N)CCCCCCCCCCCCCCC</t>
  </si>
  <si>
    <t>Hexadecanamide</t>
  </si>
  <si>
    <t>3999-01-7</t>
  </si>
  <si>
    <t>N-00040</t>
  </si>
  <si>
    <t>CCCCC/C=C\C/C=C\CCCCCCCC(N)=O</t>
  </si>
  <si>
    <t>O=C(N)CCCCCCCC=CCC=CCCCCC</t>
  </si>
  <si>
    <t>9,12-Octadecadienamide</t>
  </si>
  <si>
    <t xml:space="preserve"> ∆log&gt;2: very low reliability </t>
  </si>
  <si>
    <t>3061-75-4</t>
  </si>
  <si>
    <t>N-00041</t>
  </si>
  <si>
    <t>CCCCCCCCCCCCCCCCCCCCCC(N)=O</t>
  </si>
  <si>
    <t>O=C(N)CCCCCCCCCCCCCCCCCCCCC</t>
  </si>
  <si>
    <t>Docosanamide</t>
  </si>
  <si>
    <t>95-96-5</t>
  </si>
  <si>
    <t>N-00042</t>
  </si>
  <si>
    <t>C[C@H]1OC([C@H](OC1=O)C)=O</t>
  </si>
  <si>
    <t>O=C1OC(C(=O)OC1C)C</t>
  </si>
  <si>
    <t>3,6-Dimethyl-1,4-dioxane-2,5-dione / Dilactide / 2LA Cyclic</t>
  </si>
  <si>
    <t xml:space="preserve">Active agonist </t>
  </si>
  <si>
    <t>N-00043</t>
  </si>
  <si>
    <t>O=C1O[C@H](C(O[C@H](C(O[C@H](C(O[C@H](C(O[C@H](C(O[C@H](C(O[C@H](C(O[C@H]1C)=O)C)=O)C)=O)C)=O)C)=O)C)=O)C)=O)C</t>
  </si>
  <si>
    <t>O=C1OC(C(=O)OC(C(=O)OC(C(=O)OC(C(=O)OC(C(=O)OC(C(=O)OC(C(=O)OC1C)C)C)C)C)C)C)C</t>
  </si>
  <si>
    <t>8LA Cyclic</t>
  </si>
  <si>
    <t>Non binder, MW&gt;500</t>
  </si>
  <si>
    <t>N-00044</t>
  </si>
  <si>
    <t>O=C1O[C@H](C(O[C@H](C(O[C@H](C(O[C@H](C(O[C@H](C(O[C@H](C(O[C@H]1C)=O)C)=O)C)=O)C)=O)C)=O)C)=O)C</t>
  </si>
  <si>
    <t>O=C1OC(C(=O)OC(C(=O)OC(C(=O)OC(C(=O)OC(C(=O)OC(C(=O)OC1C)C)C)C)C)C)C</t>
  </si>
  <si>
    <t>7LA Cyclic</t>
  </si>
  <si>
    <t>N-00045</t>
  </si>
  <si>
    <t>O=C1O[C@H](C(O[C@H](C(O[C@H](C(O[C@H](C(O[C@H](C(O[C@H]1C)=O)C)=O)C)=O)C)=O)C)=O)C</t>
  </si>
  <si>
    <t>O=C1OC(C(=O)OC(C(=O)OC(C(=O)OC(C(=O)OC(C(=O)OC1C)C)C)C)C)C</t>
  </si>
  <si>
    <t>6LA Cyclic</t>
  </si>
  <si>
    <t>N-00046</t>
  </si>
  <si>
    <t>O=C1O[C@H](C(O[C@H](C(O[C@H](C(O[C@H](C(O[C@H](C(O[C@H](C(O[C@H](C(O[C@H](C(O[C@H]1C)=O)C)=O)C)=O)C)=O)C)=O)C)=O)C)=O)C)=O)C</t>
  </si>
  <si>
    <t>O=C1OC(C(=O)OC(C(=O)OC(C(=O)OC(C(=O)OC(C(=O)OC(C(=O)OC(C(=O)OC(C(=O)OC1C)C)C)C)C)C)C)C)C</t>
  </si>
  <si>
    <t>9LA Cyclic</t>
  </si>
  <si>
    <t>N-00047</t>
  </si>
  <si>
    <t>O=C1OC(C(OC(C(OC(C(OC(C(OC(C(OC(C(OC(C(OC(C(OC(C(OC1C)=O)C)=O)C)=O)C)=O)C)=O)C)=O)C)=O)C)=O)C)=O)C</t>
  </si>
  <si>
    <t>O=C1OC(C(=O)OC(C(=O)OC(C(=O)OC(C(=O)OC(C(=O)OC(C(=O)OC(C(=O)OC(C(=O)OC(C(=O)OC1C)C)C)C)C)C)C)C)C)C</t>
  </si>
  <si>
    <t>10LA Cyclic</t>
  </si>
  <si>
    <t>N-00048</t>
  </si>
  <si>
    <t>O=C1O[C@H](C(O[C@H](C(O[C@H](C(O[C@H](C(O[C@H]1C)=O)C)=O)C)=O)C)=O)C</t>
  </si>
  <si>
    <t>O=C1OC(C(=O)OC(C(=O)OC(C(=O)OC(C(=O)OC1C)C)C)C)C</t>
  </si>
  <si>
    <t>5LA Cyclic</t>
  </si>
  <si>
    <t>57-10-3</t>
  </si>
  <si>
    <t>N-00049</t>
  </si>
  <si>
    <t>CCCCCCCCCCCCCCCC(O)=O</t>
  </si>
  <si>
    <t>O=C(O)CCCCCCCCCCCCCCC</t>
  </si>
  <si>
    <t>Hexadecanoic acid</t>
  </si>
  <si>
    <t>84-74-2</t>
  </si>
  <si>
    <t>N-00050</t>
  </si>
  <si>
    <t>CCCCOC(C1=CC=CC=C1C(OCCCC)=O)=O</t>
  </si>
  <si>
    <t>O=C(OCCCC)c1ccccc1(C(=O)OCCCC)</t>
  </si>
  <si>
    <t>Dibutyl phthalate (DBP)</t>
  </si>
  <si>
    <t>N-00051</t>
  </si>
  <si>
    <t>O=C1O[C@H](C(O[C@H](C(O[C@H](C(O[C@H](C(O[C@H](C(O[C@H](C(O[C@H](C(O[C@H](C(O[C@H](C(O[C@H](C(O[C@H]1C)=O)C)=O)C)=O)C)=O)C)=O)C)=O)C)=O)C)=O)C)=O)C)=O)C</t>
  </si>
  <si>
    <t>O=C1OC(C(=O)OC(C(=O)OC(C(=O)OC(C(=O)OC(C(=O)OC(C(=O)OC(C(=O)OC(C(=O)OC(C(=O)OC(C(=O)OC1C)C)C)C)C)C)C)C)C)C)C</t>
  </si>
  <si>
    <t>11LA Cyclic</t>
  </si>
  <si>
    <t>111-02-4</t>
  </si>
  <si>
    <t>N-00052</t>
  </si>
  <si>
    <t>CC(C)=CCC/C(C)=C/CC/C(C)=C/CC/C=C(CC/C=C(CCC=C(C)C)\C)\C</t>
  </si>
  <si>
    <t>C(=C(C)C)CCC(=CCCC(=CCCC=C(C)CCC=C(C)CCC=C(C)C)C)C</t>
  </si>
  <si>
    <t>Squalene</t>
  </si>
  <si>
    <t>Leadscope, ICE</t>
  </si>
  <si>
    <t>Squalene is present in various foods. The daily intake in meditaranean countries is 200-400 mg/day from olive oil.</t>
  </si>
  <si>
    <t>124-19-6</t>
  </si>
  <si>
    <t>N-00053</t>
  </si>
  <si>
    <t>CCCCCCCCC=O</t>
  </si>
  <si>
    <t>O=CCCCCCCCC</t>
  </si>
  <si>
    <t>Nonanal</t>
  </si>
  <si>
    <t>EFSA ToolBox-exp</t>
  </si>
  <si>
    <t>149-57-5</t>
  </si>
  <si>
    <t>N-00054</t>
  </si>
  <si>
    <t>CCCC[C@H](C(O)=O)CC</t>
  </si>
  <si>
    <t>O=C(O)C(CC)CCCC</t>
  </si>
  <si>
    <t>Hexanoic acid, 2-ethyl-</t>
  </si>
  <si>
    <t>Developmental toxicant (no data on reproductive toxicity)</t>
  </si>
  <si>
    <t xml:space="preserve">Developmental toxicant no data on reproductive toxicity) </t>
  </si>
  <si>
    <t>Alpha-alkylcarboxylic acid derivatives (22c);Known precedent reproductive and developmental toxic potential</t>
  </si>
  <si>
    <t>334-48-5</t>
  </si>
  <si>
    <t>N-00055</t>
  </si>
  <si>
    <t>CCCCCCCCCC(O)=O</t>
  </si>
  <si>
    <t>O=C(O)CCCCCCCCC</t>
  </si>
  <si>
    <t>Decanoic acid</t>
  </si>
  <si>
    <t>N-00057</t>
  </si>
  <si>
    <t>O=C1O[C@H](C(O[C@H](C(O[C@H](C(O[C@H](C(O[C@H](C(O[C@H](C(O[C@H](C(O[C@H](C(O[C@H](C(O[C@H](C(O[C@H](C(O[C@H]1C)=O)C)=O)C)=O)C)=O)C)=O)C)=O)C)=O)C)=O)C)=O)C)=O)C)=O)C</t>
  </si>
  <si>
    <t>O=C1OC(C(=O)OC(C(=O)OC(C(=O)OC(C(=O)OC(C(=O)OC(C(=O)OC(C(=O)OC(C(=O)OC(C(=O)OC(C(=O)OC(C(=O)OC1C)C)C)C)C)C)C)C)C)C)C)C</t>
  </si>
  <si>
    <t>12LA Cyclic</t>
  </si>
  <si>
    <t>N-00058</t>
  </si>
  <si>
    <t>O=C1O[C@H](C(O[C@H](C(O[C@H](C(O[C@H](C(O[C@H](C(O[C@H](C(O[C@H](C(O[C@H](C(O[C@H](C(O[C@H](C(O[C@H](C(O[C@H](C(O[C@H]1C)=O)C)=O)C)=O)C)=O)C)=O)C)=O)C)=O)C)=O)C)=O)C)=O)C)=O)C)=O)C</t>
  </si>
  <si>
    <t>O=C1OC(C(=O)OC(C(=O)OC(C(=O)OC(C(=O)OC(C(=O)OC(C(=O)OC(C(=O)OC(C(=O)OC(C(=O)OC(C(=O)OC(C(=O)OC(C(=O)OC1C)C)C)C)C)C)C)C)C)C)C)C)C</t>
  </si>
  <si>
    <t>13LA Cyclic</t>
  </si>
  <si>
    <t>N-00059</t>
  </si>
  <si>
    <t>O=C1O[C@H](C(O[C@H](C(O[C@H](C(O[C@H](C(O[C@H](C(O[C@H](C(O[C@H](C(O[C@H](C(O[C@H](C(O[C@H](C(O[C@H](C(O[C@H](C(O[C@H](C(O[C@H]1C)=O)C)=O)C)=O)C)=O)C)=O)C)=O)C)=O)C)=O)C)=O)C)=O)C)=O)C)=O)C)=O)C</t>
  </si>
  <si>
    <t>O=C1OC(C(=O)OC(C(=O)OC(C(=O)OC(C(=O)OC(C(=O)OC(C(=O)OC(C(=O)OC(C(=O)OC(C(=O)OC(C(=O)OC(C(=O)OC(C(=O)OC(C(=O)OC1C)C)C)C)C)C)C)C)C)C)C)C)C)C</t>
  </si>
  <si>
    <t>14LA Cyclic</t>
  </si>
  <si>
    <t>N-00060</t>
  </si>
  <si>
    <t>O=C1OC(C(OC(C(OC(C(OC(C(OC(C(OC(C(OC(C(OC(C(OC(C(OC(C(OC(C(OC(C(OC(C(OC(C(OC1C)=O)C)=O)C)=O)C)=O)C)=O)C)=O)C)=O)C)=O)C)=O)C)=O)C)=O)C)=O)C)=O)C)=O)C</t>
  </si>
  <si>
    <t>O=C1OC(C(=O)OC(C(=O)OC(C(=O)OC(C(=O)OC(C(=O)OC(C(=O)OC(C(=O)OC(C(=O)OC(C(=O)OC(C(=O)OC(C(=O)OC(C(=O)OC(C(=O)OC(C(=O)OC1C)C)C)C)C)C)C)C)C)C)C)C)C)C)C</t>
  </si>
  <si>
    <t>15LA Cyclic</t>
  </si>
  <si>
    <t>N-00061</t>
  </si>
  <si>
    <t>O=C1OC(C(OC(C(OC(C(OC(C(OC(C(OC(C(OC(C(OC(C(OC(C(OC(C(OC(C(OC(C(OC(C(OC(C(OC(C(OC1C)=O)C)=O)C)=O)C)=O)C)=O)C)=O)C)=O)C)=O)C)=O)C)=O)C)=O)C)=O)C)=O)C)=O)C)=O)C</t>
  </si>
  <si>
    <t>O=C1OC(C(=O)OC(C(=O)OC(C(=O)OC(C(=O)OC(C(=O)OC(C(=O)OC(C(=O)OC(C(=O)OC(C(=O)OC(C(=O)OC(C(=O)OC(C(=O)OC(C(=O)OC(C(=O)OC(C(=O)OC1C)C)C)C)C)C)C)C)C)C)C)C)C)C)C)C</t>
  </si>
  <si>
    <t>16LA Cyclic</t>
  </si>
  <si>
    <t>N-00062</t>
  </si>
  <si>
    <t>O[C@H](C(O[C@H](C(O)=O)C)=O)C</t>
  </si>
  <si>
    <t>O=C(O)C(OC(=O)C(O)C)C</t>
  </si>
  <si>
    <t>2LA Linear</t>
  </si>
  <si>
    <t>Low (consensus score &lt;0.0.5)</t>
  </si>
  <si>
    <t>N-00063</t>
  </si>
  <si>
    <t>OC([C@H](OC([C@H](OC([C@H](O)C)=O)C)=O)C)=O</t>
  </si>
  <si>
    <t>O=C(O)C(OC(=O)C(OC(=O)C(O)C)C)C</t>
  </si>
  <si>
    <t>3LA Linear</t>
  </si>
  <si>
    <t>N-00064</t>
  </si>
  <si>
    <t>C[C@H](C(O)=O)OC([C@H](OC([C@H](OC([C@H](O)C)=O)C)=O)C)=O</t>
  </si>
  <si>
    <t>O=C(O)C(OC(=O)C(OC(=O)C(OC(=O)C(O)C)C)C)C</t>
  </si>
  <si>
    <t>4LA Linear</t>
  </si>
  <si>
    <t>N-00065</t>
  </si>
  <si>
    <t>C[C@H](C(O)=O)OC([C@H](OC([C@H](OC([C@H](OC([C@H](O)C)=O)C)=O)C)=O)C)=O</t>
  </si>
  <si>
    <t>O=C(O)C(OC(=O)C(OC(=O)C(OC(=O)C(OC(=O)C(O)C)C)C)C)C</t>
  </si>
  <si>
    <t>5LA Linear</t>
  </si>
  <si>
    <t>N-00066</t>
  </si>
  <si>
    <t>C[C@H](C(O[C@H](C(O)=O)C)=O)OC([C@H](OC([C@H](OC([C@H](OC([C@H](O)C)=O)C)=O)C)=O)C)=O</t>
  </si>
  <si>
    <t>O=C(O)C(OC(=O)C(OC(=O)C(OC(=O)C(OC(=O)C(OC(=O)C(O)C)C)C)C)C)C</t>
  </si>
  <si>
    <t>6LA Linear</t>
  </si>
  <si>
    <t>N-00067</t>
  </si>
  <si>
    <t>C[C@H](C(O[C@H](C(O)=O)C)=O)OC([C@H](OC([C@H](OC([C@H](OC([C@H](OC([C@H](O)C)=O)C)=O)C)=O)C)=O)C)=O</t>
  </si>
  <si>
    <t>O=C(O)C(OC(=O)C(OC(=O)C(OC(=O)C(OC(=O)C(OC(=O)C(OC(=O)C(O)C)C)C)C)C)C)C</t>
  </si>
  <si>
    <t>7LA Linear</t>
  </si>
  <si>
    <t>N-00068</t>
  </si>
  <si>
    <t>CC(C(OC(C(OC(C(O)=O)C)=O)C)=O)OC(C(OC(C(OC(C(OC(C(OC(C(O)C)=O)C)=O)C)=O)C)=O)C)=O</t>
  </si>
  <si>
    <t>O=C(O)C(OC(=O)C(OC(=O)C(OC(=O)C(OC(=O)C(OC(=O)C(OC(=O)C(OC(=O)C(O)C)C)C)C)C)C)C)C</t>
  </si>
  <si>
    <t>8LA Linear</t>
  </si>
  <si>
    <t>N-00069</t>
  </si>
  <si>
    <t>C[C@H](C(O[C@H](C(O[C@H](C(O)=O)C)=O)C)=O)OC([C@H](OC([C@H](OC([C@H](OC([C@H](OC([C@H](OC([C@H](O)C)=O)C)=O)C)=O)C)=O)C)=O)C)=O</t>
  </si>
  <si>
    <t>O=C(O)C(OC(=O)C(OC(=O)C(OC(=O)C(OC(=O)C(OC(=O)C(OC(=O)C(OC(=O)C(OC(=O)C(O)C)C)C)C)C)C)C)C)C</t>
  </si>
  <si>
    <t>9LA Linear</t>
  </si>
  <si>
    <t>N-00070</t>
  </si>
  <si>
    <t>C[C@H](C(O[C@H](C(O[C@H](C(O[C@H](C(O[C@H](C(O)=O)C)=O)C)=O)C)=O)C)=O)OC([C@H](OC([C@H](OC([C@H](OC([C@H](OC([C@H](OC([C@H](O)C)=O)C)=O)C)=O)C)=O)C)=O)C)=O</t>
  </si>
  <si>
    <t>O=C(O)C(OC(=O)C(OC(=O)C(OC(=O)C(OC(=O)C(OC(=O)C(OC(=O)C(OC(=O)C(OC(=O)C(OC(=O)C(OC(=O)C(O)C)C)C)C)C)C)C)C)C)C)C</t>
  </si>
  <si>
    <t>11LA Linear</t>
  </si>
  <si>
    <t>N-00071</t>
  </si>
  <si>
    <t>C[C@H](C(O[C@H](C(O[C@H](C(O[C@H](C(O[C@H](C(O[C@H](C(O)=O)C)=O)C)=O)C)=O)C)=O)C)=O)OC([C@H](OC([C@H](OC([C@H](OC([C@H](OC([C@H](OC([C@H](O)C)=O)C)=O)C)=O)C)=O)C)=O)C)=O</t>
  </si>
  <si>
    <t>O=C(O)C(OC(=O)C(OC(=O)C(OC(=O)C(OC(=O)C(OC(=O)C(OC(=O)C(OC(=O)C(OC(=O)C(OC(=O)C(OC(=O)C(OC(=O)C(O)C)C)C)C)C)C)C)C)C)C)C)C</t>
  </si>
  <si>
    <t>12LA Linear</t>
  </si>
  <si>
    <t>N-00072</t>
  </si>
  <si>
    <t>CC(C(OC(C(OC(C(OC(C(OC(C(OC(C(OC(C(O)=O)C)=O)C)=O)C)=O)C)=O)C)=O)C)=O)OC(C(OC(C(OC(C(OC(C(OC(C(OC(C(O)C)=O)C)=O)C)=O)C)=O)C)=O)C)=O</t>
  </si>
  <si>
    <t>O=C(O)C(OC(=O)C(OC(=O)C(OC(=O)C(OC(=O)C(OC(=O)C(OC(=O)C(OC(=O)C(OC(=O)C(OC(=O)C(OC(=O)C(OC(=O)C(OC(=O)C(O)C)C)C)C)C)C)C)C)C)C)C)C)C</t>
  </si>
  <si>
    <t>13LA Linear</t>
  </si>
  <si>
    <t>75-07-0</t>
  </si>
  <si>
    <t>N-00073</t>
  </si>
  <si>
    <t>CC=O</t>
  </si>
  <si>
    <t>O=CC</t>
  </si>
  <si>
    <t>Acetaldehyde</t>
  </si>
  <si>
    <t>Negative, Positive</t>
  </si>
  <si>
    <t>EXPERIMENTAL-Predictions NOT in agreement</t>
  </si>
  <si>
    <r>
      <t>153</t>
    </r>
    <r>
      <rPr>
        <vertAlign val="superscript"/>
        <sz val="13"/>
        <color indexed="10"/>
        <rFont val="Calibri"/>
        <family val="2"/>
        <scheme val="minor"/>
      </rPr>
      <t>m</t>
    </r>
  </si>
  <si>
    <t>.</t>
  </si>
  <si>
    <t>subchronic, subchronic</t>
  </si>
  <si>
    <t>64-17-5</t>
  </si>
  <si>
    <t>N-00074</t>
  </si>
  <si>
    <t>CCO</t>
  </si>
  <si>
    <t>OCC</t>
  </si>
  <si>
    <t>Ethanol</t>
  </si>
  <si>
    <t xml:space="preserve">Negative, Positive, </t>
  </si>
  <si>
    <t>67-56-1</t>
  </si>
  <si>
    <t>N-00075</t>
  </si>
  <si>
    <t>CO</t>
  </si>
  <si>
    <t>OC</t>
  </si>
  <si>
    <t>Methanol</t>
  </si>
  <si>
    <t>VEGA, Leadscope</t>
  </si>
  <si>
    <t>111-66-0</t>
  </si>
  <si>
    <t>N-00076</t>
  </si>
  <si>
    <t>CCCCCCC=C</t>
  </si>
  <si>
    <t>C=CCCCCCC</t>
  </si>
  <si>
    <t>1-Octene</t>
  </si>
  <si>
    <t>431-03-8</t>
  </si>
  <si>
    <t>N-00077</t>
  </si>
  <si>
    <t>CC(C(C)=O)=O</t>
  </si>
  <si>
    <t>O=C(C(=O)C)C</t>
  </si>
  <si>
    <t>2,3-Butanedione</t>
  </si>
  <si>
    <t>Weakly Positive</t>
  </si>
  <si>
    <t>646-04-8</t>
  </si>
  <si>
    <t>N-00078</t>
  </si>
  <si>
    <t>CC/C=C/C</t>
  </si>
  <si>
    <t>C(=CCC)C</t>
  </si>
  <si>
    <t>2E-Pentene</t>
  </si>
  <si>
    <t>600-14-6</t>
  </si>
  <si>
    <t>N-00079</t>
  </si>
  <si>
    <t>CCC(C(C)=O)=O</t>
  </si>
  <si>
    <t>O=C(C(=O)CC)C</t>
  </si>
  <si>
    <t>2,3-Pentanedione</t>
  </si>
  <si>
    <t>111-65-9</t>
  </si>
  <si>
    <t>N-00080</t>
  </si>
  <si>
    <t>CCCCCCCC</t>
  </si>
  <si>
    <t>Octane</t>
  </si>
  <si>
    <t>544-76-3</t>
  </si>
  <si>
    <t>N-00081</t>
  </si>
  <si>
    <t>CCCCCCCCCCCCCCCC</t>
  </si>
  <si>
    <t>Hexadecane</t>
  </si>
  <si>
    <t>66-25-1</t>
  </si>
  <si>
    <t>N-00082</t>
  </si>
  <si>
    <t>CCCCCC=O</t>
  </si>
  <si>
    <t>O=CCCCCC</t>
  </si>
  <si>
    <t>Hexanal</t>
  </si>
  <si>
    <t>1678-91-7</t>
  </si>
  <si>
    <t>N-00083</t>
  </si>
  <si>
    <t>CCC1CCCCC1</t>
  </si>
  <si>
    <t>Cyclohexane, ethyl-</t>
  </si>
  <si>
    <t>78-93-3</t>
  </si>
  <si>
    <t>N-00084</t>
  </si>
  <si>
    <t>CCC(C)=O</t>
  </si>
  <si>
    <t>O=C(C)CC</t>
  </si>
  <si>
    <t>2-Butanone</t>
  </si>
  <si>
    <t>Ambiguous</t>
  </si>
  <si>
    <t>142-83-6</t>
  </si>
  <si>
    <t>N-00085</t>
  </si>
  <si>
    <t>C/C=C/C=C/C=O</t>
  </si>
  <si>
    <t>O=CC=CC=CC</t>
  </si>
  <si>
    <t>2,4-Hexadienal</t>
  </si>
  <si>
    <t xml:space="preserve">Ambiguous, </t>
  </si>
  <si>
    <t>+</t>
  </si>
  <si>
    <t>Positive (2)</t>
  </si>
  <si>
    <t>[50: alpha, beta unsaturated aldehyde (0.86)]</t>
  </si>
  <si>
    <r>
      <t>62.2</t>
    </r>
    <r>
      <rPr>
        <vertAlign val="superscript"/>
        <sz val="13"/>
        <color indexed="10"/>
        <rFont val="Calibri"/>
        <family val="2"/>
        <scheme val="minor"/>
      </rPr>
      <t>m</t>
    </r>
  </si>
  <si>
    <r>
      <t>176</t>
    </r>
    <r>
      <rPr>
        <vertAlign val="superscript"/>
        <sz val="13"/>
        <color indexed="10"/>
        <rFont val="Calibri"/>
        <family val="2"/>
        <scheme val="minor"/>
      </rPr>
      <t>m</t>
    </r>
  </si>
  <si>
    <t>124-13-0</t>
  </si>
  <si>
    <t>N-00086</t>
  </si>
  <si>
    <t>CCCCCCCC=O</t>
  </si>
  <si>
    <t>O=CCCCCCCC</t>
  </si>
  <si>
    <t>Octanal</t>
  </si>
  <si>
    <t>591-21-9</t>
  </si>
  <si>
    <t>N-00087</t>
  </si>
  <si>
    <t>C[C@H]1CCC[C@H](C1)C</t>
  </si>
  <si>
    <t>CC1CCCC(C)C1</t>
  </si>
  <si>
    <t>1,3-Dimethylcyclohexane</t>
  </si>
  <si>
    <t>108-87-2</t>
  </si>
  <si>
    <t>N-00088</t>
  </si>
  <si>
    <t>CC1CCCCC1</t>
  </si>
  <si>
    <t>Cyclohexane, methyl-</t>
  </si>
  <si>
    <t>28 days</t>
  </si>
  <si>
    <t>N-00089</t>
  </si>
  <si>
    <t>O=C(OCCCCOC(CC1)=O)CCC(OCCCCOC1=O)=O</t>
  </si>
  <si>
    <t>O=C1OCCCCOC(=O)CCC(=O)OCCCCOC(=O)CC1</t>
  </si>
  <si>
    <t>2BD+2SuA cyclic</t>
  </si>
  <si>
    <t>Cyclic oligomers (except oligomers based on orghophthalic acid) hydrolyse in the human body into its monomers (White paper of Henkel 'cyclic esters as NIAS in Adhesives and cotaings') and can be assessed using the SML of the corresponding monomers.</t>
  </si>
  <si>
    <t>N-00090</t>
  </si>
  <si>
    <t>O=C(OCCCCOC(CCC(OCCCCOC(CC1)=O)=O)=O)CCC(OCCCCOC1=O)=O</t>
  </si>
  <si>
    <t>O=C1OCCCCOC(=O)CCC(=O)OCCCCOC(=O)CCC(=O)OCCCCOC(=O)CC1</t>
  </si>
  <si>
    <t>3BD+3SuA cyclic</t>
  </si>
  <si>
    <t>777-95-7</t>
  </si>
  <si>
    <t>N-00091</t>
  </si>
  <si>
    <t>O=C1CCCCC(OCCCCO1)=O</t>
  </si>
  <si>
    <t>O=C1OCCCCOC(=O)CCCC1</t>
  </si>
  <si>
    <t>AA+BD cyclic (1,6-Dioxacyclododecane-7,12-dione)</t>
  </si>
  <si>
    <t xml:space="preserve">Leadscope, </t>
  </si>
  <si>
    <t>19836-78-3</t>
  </si>
  <si>
    <t>N-00092</t>
  </si>
  <si>
    <t>CN1CCOC1=O</t>
  </si>
  <si>
    <t>O=C1OCCN1C</t>
  </si>
  <si>
    <t>2-Oxazolidinone, 3-methyl-</t>
  </si>
  <si>
    <t>119-47-1</t>
  </si>
  <si>
    <t>N-00093</t>
  </si>
  <si>
    <t>CC1=CC(CC2=CC(C)=CC(C(C)(C)C)=C2O)=C(C(C(C)(C)C)=C1)O</t>
  </si>
  <si>
    <t>Oc1c(cc(cc1C(C)(C)C)C)Cc2cc(cc(c2(O))C(C)(C)C)C</t>
  </si>
  <si>
    <t>Phenol, 2,2'-methylenebis[6-(1,1-dimethylethyl)-4-methyl-</t>
  </si>
  <si>
    <t>120-92-3</t>
  </si>
  <si>
    <t>N-00094</t>
  </si>
  <si>
    <t>O=C1CCCC1</t>
  </si>
  <si>
    <t>Cyclopentanone</t>
  </si>
  <si>
    <t>719-22-2</t>
  </si>
  <si>
    <t>N-00095</t>
  </si>
  <si>
    <t>CC(C)(C1=CC(C=C(C(C)(C)C)C1=O)=O)C</t>
  </si>
  <si>
    <t>O=C1C=C(C(=O)C(=C1)C(C)(C)C)C(C)(C)C</t>
  </si>
  <si>
    <t>2,5-Cyclohexadiene-1,4-dione, 2,6-bis(1,1-dimethylethyl)-</t>
  </si>
  <si>
    <t>[58: quinone (Indeterminate)]</t>
  </si>
  <si>
    <t>Exp</t>
  </si>
  <si>
    <t>ELISANA _ C(2024)237</t>
  </si>
  <si>
    <t>Powerpoint presentation shared by BASF/CEFIC _ European positive lists of starting substances, compositions and constituents authorised for use in the manufacture of materials or products that come into contact with water intended for human consumption</t>
  </si>
  <si>
    <t>112-05-0</t>
  </si>
  <si>
    <t>N-00096</t>
  </si>
  <si>
    <t>CCCCCCCCC(O)=O</t>
  </si>
  <si>
    <t>O=C(O)CCCCCCCC</t>
  </si>
  <si>
    <t>Nonanoic acid</t>
  </si>
  <si>
    <t xml:space="preserve">  --&gt; add sentence in remark fields + check for the other aliphatic acids</t>
  </si>
  <si>
    <t>105-60-2</t>
  </si>
  <si>
    <t>N-00097</t>
  </si>
  <si>
    <t>O=C1CCCCCN1</t>
  </si>
  <si>
    <t>O=C1NCCCCC1</t>
  </si>
  <si>
    <t>Caprolactam</t>
  </si>
  <si>
    <t>–</t>
  </si>
  <si>
    <t>77-90-7</t>
  </si>
  <si>
    <t>N-00098</t>
  </si>
  <si>
    <t>CCCCOC(CC(OC(C)=O)(C(OCCCC)=O)CC(OCCCC)=O)=O</t>
  </si>
  <si>
    <t>O=C(OC(C(=O)OCCCC)(CC(=O)OCCCC)CC(=O)OCCCC)C</t>
  </si>
  <si>
    <t>Tributyl acetylcitrate</t>
  </si>
  <si>
    <t>108-30-5</t>
  </si>
  <si>
    <t>N-00099</t>
  </si>
  <si>
    <t>O=C1CCC(O1)=O</t>
  </si>
  <si>
    <t>O=C1OC(=O)CC1</t>
  </si>
  <si>
    <t>Succinic anhydride</t>
  </si>
  <si>
    <t>84-69-5</t>
  </si>
  <si>
    <t>N-00100</t>
  </si>
  <si>
    <t>CC(COC(C1=CC=CC=C1C(OCC(C)C)=O)=O)C</t>
  </si>
  <si>
    <t>O=C(OCC(C)C)c1ccccc1(C(=O)OCC(C)C)</t>
  </si>
  <si>
    <t>Diisobutyl phthalate (DiBP)</t>
  </si>
  <si>
    <t>Known precedent reproductive and developmental toxic potential;Non-steroid nucleus derived estrogen receptor (ER) and androgen receptor (AR);Non-steroid nucleus derived estrogen receptor (ER) and androgen receptor (AR) &gt;&gt; 4-alkylphenol-like derivatives (2b-3)</t>
  </si>
  <si>
    <t>82304-66-3</t>
  </si>
  <si>
    <t>N-00101</t>
  </si>
  <si>
    <t>CC(C)(C1=CC2(C=C(C(C)(C)C)C1=O)CCC(O2)=O)C</t>
  </si>
  <si>
    <t>O=C2OC1(C=C(C(=O)C(=C1)C(C)(C)C)C(C)(C)C)CC2</t>
  </si>
  <si>
    <t>7,9-Di-tert-butyl-1-oxaspiro(4,5)deca-6,9-diene-2,8-dione</t>
  </si>
  <si>
    <t>2017-042; 2022-063; 2023-007</t>
  </si>
  <si>
    <t>Confidential data provided by suppliers as reported in safety evaluations performed</t>
  </si>
  <si>
    <t>NOAEL is 5.3 mg/kg bw/day. A Margin of exposure of 200 applies for this compound and was used to derive the SBLs.</t>
  </si>
  <si>
    <t>2306-88-9</t>
  </si>
  <si>
    <t>N-00102</t>
  </si>
  <si>
    <t>CCCCCCCCOC(CCCCCCC)=O</t>
  </si>
  <si>
    <t>O=C(OCCCCCCCC)CCCCCCC</t>
  </si>
  <si>
    <t>Octanoic acid, octyl ester</t>
  </si>
  <si>
    <t>7568-58-3</t>
  </si>
  <si>
    <t>N-00103</t>
  </si>
  <si>
    <t>CCCCOC(C/C(C(OCCCC)=O)=C\C(OCCCC)=O)=O</t>
  </si>
  <si>
    <t>O=C(OCCCC)C=C(C(=O)OCCCC)CC(=O)OCCCC</t>
  </si>
  <si>
    <t>1-Propene-1,2,3-tricarboxylic acid, tributyl ester</t>
  </si>
  <si>
    <t>947-19-3</t>
  </si>
  <si>
    <t>N-00104</t>
  </si>
  <si>
    <t>OC1(C(C2=CC=CC=C2)=O)CCCCC1</t>
  </si>
  <si>
    <t>O=C(c1ccccc1)C2(O)(CCCCC2)</t>
  </si>
  <si>
    <t>Methanone, (1-hydroxycyclohexyl)phenyl-</t>
  </si>
  <si>
    <t>142-62-1</t>
  </si>
  <si>
    <t>N-00105</t>
  </si>
  <si>
    <t>CCCCCC(O)=O</t>
  </si>
  <si>
    <t>O=C(O)CCCCC</t>
  </si>
  <si>
    <t>Hexanoic acid</t>
  </si>
  <si>
    <t>20170-32-5</t>
  </si>
  <si>
    <t>N-00106</t>
  </si>
  <si>
    <t>CC(C)(C1=CC(CCC(O)=O)=CC(C(C)(C)C)=C1O)C</t>
  </si>
  <si>
    <t>O=C([O-])CCc1cc(c(O)c(c1)C(C)(C)C)C(C)(C)C</t>
  </si>
  <si>
    <t>Benzenepropanoic acid, 3,5-di-tert-butyl 4-hydroxy</t>
  </si>
  <si>
    <t>112-31-2</t>
  </si>
  <si>
    <t>N-00107</t>
  </si>
  <si>
    <t>CCCCCCCCCC=O</t>
  </si>
  <si>
    <t>O=CCCCCCCCCC</t>
  </si>
  <si>
    <t>Decanal</t>
  </si>
  <si>
    <t>110-27-0</t>
  </si>
  <si>
    <t>N-00108</t>
  </si>
  <si>
    <t>CCCCCCCCCCCCCC(OC(C)C)=O</t>
  </si>
  <si>
    <t>O=C(OC(C)C)CCCCCCCCCCCCC</t>
  </si>
  <si>
    <t>Isopropyl myristate</t>
  </si>
  <si>
    <t>1620-98-0</t>
  </si>
  <si>
    <t>N-00109</t>
  </si>
  <si>
    <t>CC(C)(C1=CC(C=O)=CC(C(C)(C)C)=C1O)C</t>
  </si>
  <si>
    <t>O=Cc1cc(c(O)c(c1)C(C)(C)C)C(C)(C)C</t>
  </si>
  <si>
    <t>3,5-di-tert-Butyl-4-hydroxybenzaldehyde</t>
  </si>
  <si>
    <t>Known precedent reproductive and developmental toxic potential;p-tert-Butyl-alpha-methylhydrocinnamic aldehyde (BMHCA)-like chemicals (9a)</t>
  </si>
  <si>
    <t xml:space="preserve">Possible active </t>
  </si>
  <si>
    <t>84-66-2</t>
  </si>
  <si>
    <t>N-00110</t>
  </si>
  <si>
    <t>CCOC(C1=CC=CC=C1C(OCC)=O)=O</t>
  </si>
  <si>
    <t>O=C(OCC)c1ccccc1(C(=O)OCC)</t>
  </si>
  <si>
    <t>Diethyl Phthalate</t>
  </si>
  <si>
    <t>111-14-8</t>
  </si>
  <si>
    <t>N-00111</t>
  </si>
  <si>
    <t>CCCCCCC(O)=O</t>
  </si>
  <si>
    <t>O=C(O)CCCCCC</t>
  </si>
  <si>
    <t>Heptanoic acid</t>
  </si>
  <si>
    <t>6259-76-3</t>
  </si>
  <si>
    <t>N-00112</t>
  </si>
  <si>
    <t>CCCCCCOC(C1=CC=CC=C1O)=O</t>
  </si>
  <si>
    <t>O=C(OCCCCCC)c1ccccc1(O)</t>
  </si>
  <si>
    <t>n-Hexyl salicylate</t>
  </si>
  <si>
    <t>3622-84-2</t>
  </si>
  <si>
    <t>N-00113</t>
  </si>
  <si>
    <t>CCCCNS(=O)(C1=CC=CC=C1)=O</t>
  </si>
  <si>
    <t>O=S(=O)(NCCCC)c1ccccc1</t>
  </si>
  <si>
    <t>Benzenesulfonamide, N-butyl</t>
  </si>
  <si>
    <t>2021-113</t>
  </si>
  <si>
    <t>110-63-4</t>
  </si>
  <si>
    <t>N-00114</t>
  </si>
  <si>
    <t>OCCCCO</t>
  </si>
  <si>
    <t>1,4-Butanediol (BD)</t>
  </si>
  <si>
    <t>24254-56-6</t>
  </si>
  <si>
    <t>N-00115</t>
  </si>
  <si>
    <t>[H]OO[C@@](C([H])([H])C([H])([H])[H])([H])C([H])([H])C([H])([H])C([H])([H])[H]</t>
  </si>
  <si>
    <t>OOC(CC)CCC</t>
  </si>
  <si>
    <t>Hydroperoxide, 1-ethylbutyl</t>
  </si>
  <si>
    <t>[133: peroxides (0.95)]</t>
  </si>
  <si>
    <t>N-00116</t>
  </si>
  <si>
    <t>O=C(OCCCCOC(CCC(OCCCCOC(CCC(OCCCCOC(CC1)=O)=O)=O)=O)=O)CCC(OCCCCOC1=O)=O</t>
  </si>
  <si>
    <t>O=C1OCCCCOC(=O)CCC(=O)OCCCCOC(=O)CCC(=O)OCCCCOC(=O)CCC(=O)OCCCCOC(=O)CC1</t>
  </si>
  <si>
    <t>4BD+4SuA cyclic</t>
  </si>
  <si>
    <t>6683-19-8</t>
  </si>
  <si>
    <t>N-00117</t>
  </si>
  <si>
    <t>CC(C)(C1=CC(CCC(OCC(COC(CCC2=CC(C(C)(C)C)=C(C(C(C)(C)C)=C2)O)=O)(COC(CCC3=CC(C(C)(C)C)=C(C(C(C)(C)C)=C3)O)=O)COC(CCC4=CC(C(C)(C)C)=C(C(C(C)(C)C)=C4)O)=O)=O)=CC(C(C)(C)C)=C1O)C</t>
  </si>
  <si>
    <t>O=C(OCC(COC(=O)CCc1cc(c(O)c(c1)C(C)(C)C)C(C)(C)C)(COC(=O)CCc2cc(c(O)c(c2)C(C)(C)C)C(C)(C)C)COC(=O)CCc3cc(c(O)c(c3)C(C)(C)C)C(C)(C)C)CCc4cc(c(O)c(c4)C(C)(C)C)C(C)(C)C</t>
  </si>
  <si>
    <t>Irganox 1010</t>
  </si>
  <si>
    <t>N-00118</t>
  </si>
  <si>
    <t>O=C(OCCCCOC(CCC(OCCCCOC(CCC(OCCCCOC(CCC(OCCCCOC(CC1)=O)=O)=O)=O)=O)=O)=O)CCC(OCCCCOC1=O)=O</t>
  </si>
  <si>
    <t>O=C1OCCCCOC(=O)CCC(=O)OCCCCOC(=O)CCC(=O)OCCCCOC(=O)CCC(=O)OCCCCOC(=O)CCC(=O)OCCCCOC(=O)CC1</t>
  </si>
  <si>
    <t>5BD+5SuA cyclic</t>
  </si>
  <si>
    <t>N-00119</t>
  </si>
  <si>
    <t>O=C(CCCCC(OCCCCOC(CCC(OCCCCOC(CC1)=O)=O)=O)=O)OCCCCOC1=O</t>
  </si>
  <si>
    <t>O=C1OCCCCOC(=O)CCC(=O)OCCCCOC(=O)CCCCC(=O)OCCCCOC(=O)CC1</t>
  </si>
  <si>
    <t>3BD+AA+2SuA cyclic</t>
  </si>
  <si>
    <t>N-00120</t>
  </si>
  <si>
    <t>O=C(CCCCC(OCCCCOC(CC1)=O)=O)OCCCCOC1=O</t>
  </si>
  <si>
    <t>O=C1OCCCCOC(=O)CCCCC(=O)OCCCCOC(=O)CC1</t>
  </si>
  <si>
    <t>2BD+AA+SuA cyclic</t>
  </si>
  <si>
    <t>N-00121</t>
  </si>
  <si>
    <t>O=C(CCC(O)=O)OCCCCOC(CCC(OCCCCOC(CCC(OCCCCOC(CCC(OCCCCOC(CCC(O)=O)=O)=O)=O)=O)=O)=O)=O</t>
  </si>
  <si>
    <t>O=C(O)CCC(=O)OCCCCOC(=O)CCC(=O)OCCCCOC(=O)CCC(=O)OCCCCOC(=O)CCC(=O)OCCCCOC(=O)CCC(=O)O</t>
  </si>
  <si>
    <t>4BD+5SuA linear</t>
  </si>
  <si>
    <t>N-00122</t>
  </si>
  <si>
    <t>O=C(CCCCC(OCCCCOC(CCC(OCCCCOC(CCC(OCCCCOC(CC1)=O)=O)=O)=O)=O)=O)OCCCCOC1=O</t>
  </si>
  <si>
    <t>O=C1OCCCCOC(=O)CCC(=O)OCCCCOC(=O)CCCCC(=O)OCCCCOC(=O)CCC(=O)OCCCCOC(=O)CC1</t>
  </si>
  <si>
    <t>4BD+AA+3SuA cyclic</t>
  </si>
  <si>
    <t>N-00123</t>
  </si>
  <si>
    <t>[H]OCCCCOC(CCC(OCCCCOC(CCC(OCCCCOC(CCC(OCCCCOC(CCC(O)=O)=O)=O)=O)=O)=O)=O)=O</t>
  </si>
  <si>
    <t>O=C(O)CCC(=O)OCCCCOC(=O)CCC(=O)OCCCCOC(=O)CCC(=O)OCCCCOC(=O)CCC(=O)OCCCCO</t>
  </si>
  <si>
    <t>4BD+4SuA linear</t>
  </si>
  <si>
    <t>N-00124</t>
  </si>
  <si>
    <t>[H]OCCCCOC(CCC(OCCCCOC(CCC(OCCCCOC(CCC(O)=O)=O)=O)=O)=O)=O</t>
  </si>
  <si>
    <t>O=C(O)CCC(=O)OCCCCOC(=O)CCC(=O)OCCCCOC(=O)CCC(=O)OCCCCO</t>
  </si>
  <si>
    <t>3BD+3SuA linear</t>
  </si>
  <si>
    <t>N-00125-1</t>
  </si>
  <si>
    <t>O=C(OCCCCO1)CCCCC(OCCCCOC(CCCCC(OCCCCOC(CCC(OCCCCOC(CCC(OCCCCOC(CCC1=O)=O)=O)=O)=O)=O)=O)=O)=O</t>
  </si>
  <si>
    <t>O=C1OCCCCOC(=O)CCC(=O)OCCCCOC(=O)CCCCC(=O)OCCCCOC(=O)CCCCC(=O)OCCCCOC(=O)CCC(=O)OCCCCOC(=O)CC1</t>
  </si>
  <si>
    <t>Cyclic 5BD+2AA+3SA</t>
  </si>
  <si>
    <t>N-00125-2</t>
  </si>
  <si>
    <t>O=C(OCCCCO1)CCCCC(OCCCCOC(CCC(OCCCCOC(CCCCC(OCCCCOC(CCC(OCCCCOC(CCC1=O)=O)=O)=O)=O)=O)=O)=O)=O</t>
  </si>
  <si>
    <t>O=C1OCCCCOC(=O)CCC(=O)OCCCCOC(=O)CCCCC(=O)OCCCCOC(=O)CCC(=O)OCCCCOC(=O)CCCCC(=O)OCCCCOC(=O)CC1</t>
  </si>
  <si>
    <t>N-00126</t>
  </si>
  <si>
    <t>OCCCCOC(CCC(OCCCCOC(CCC(OCCCCOC(CCC(OCCCCO)=O)=O)=O)=O)=O)=O</t>
  </si>
  <si>
    <t>O=C(OCCCCO)CCC(=O)OCCCCOC(=O)CCC(=O)OCCCCOC(=O)CCC(=O)OCCCCO</t>
  </si>
  <si>
    <t>4BD+3SuA linear</t>
  </si>
  <si>
    <t>N-00127</t>
  </si>
  <si>
    <t>O=C(OCCCCO1)CCCCC(OCCCCOC(CCCCC(OCCCCOC(CCC1=O)=O)=O)=O)=O</t>
  </si>
  <si>
    <t>O=C1OCCCCOC(=O)CCCCC(=O)OCCCCOC(=O)CCCCC(=O)OCCCCOC(=O)CC1</t>
  </si>
  <si>
    <t>3BD+2AA+SuA cyclic</t>
  </si>
  <si>
    <t>84633-54-5</t>
  </si>
  <si>
    <t>N-00128</t>
  </si>
  <si>
    <t>CC(C)(C1=CC(CCC(OCC(COC(CCC2=CC(C(C)(C)C)=C(O)C(C(C)(C)C)=C2)=O)(COC(CCC3=CC(C(C)(C)C)=C(O)C(C(C)(C)C)=C3)=O)CO)=O)=CC(C(C)(C)C)=C1O)C</t>
  </si>
  <si>
    <t>O=C(OCC(CO)(COC(=O)CCc1cc(c(O)c(c1)C(C)(C)C)C(C)(C)C)COC(=O)CCc2cc(c(O)c(c2)C(C)(C)C)C(C)(C)C)CCc3cc(c(O)c(c3)C(C)(C)C)C(C)(C)C</t>
  </si>
  <si>
    <t>Pentaerythritol tris(3,5-di-tert-butyl-4-hydroxyhydrocinnamate)</t>
  </si>
  <si>
    <t>N-00129</t>
  </si>
  <si>
    <t>O=C(OCCCCOC(CCC(O)=O)=O)CCC(O)=O</t>
  </si>
  <si>
    <t>O=C(O)CCC(=O)OCCCCOC(=O)CCC(=O)O</t>
  </si>
  <si>
    <t>BD+2SuA linear</t>
  </si>
  <si>
    <t>57-55-6</t>
  </si>
  <si>
    <t>N-00130</t>
  </si>
  <si>
    <t>C[C@H](CO)O</t>
  </si>
  <si>
    <t>OCC(O)C</t>
  </si>
  <si>
    <t>Propylene Glycol</t>
  </si>
  <si>
    <t>463-58-1</t>
  </si>
  <si>
    <t>N-00131</t>
  </si>
  <si>
    <t>O=C=S</t>
  </si>
  <si>
    <t>Carbonyl sulfide</t>
  </si>
  <si>
    <t>128-37-0</t>
  </si>
  <si>
    <t>N-00132</t>
  </si>
  <si>
    <t>CC1=CC(C(C)(C)C)=C(C(C(C)(C)C)=C1)O</t>
  </si>
  <si>
    <t>Oc1c(cc(cc1C(C)(C)C)C)C(C)(C)C</t>
  </si>
  <si>
    <t>Butylated Hydroxytoluene (BHT)</t>
  </si>
  <si>
    <r>
      <t>653</t>
    </r>
    <r>
      <rPr>
        <vertAlign val="superscript"/>
        <sz val="13"/>
        <color indexed="10"/>
        <rFont val="Helv"/>
      </rPr>
      <t>m</t>
    </r>
  </si>
  <si>
    <t>109-99-9</t>
  </si>
  <si>
    <t>N-00133</t>
  </si>
  <si>
    <t>C1CCOC1</t>
  </si>
  <si>
    <t>O1CCCC1</t>
  </si>
  <si>
    <t>Furan, tetrahydro- (THF)</t>
  </si>
  <si>
    <t>75-15-0</t>
  </si>
  <si>
    <t>N-00134</t>
  </si>
  <si>
    <t>S=C=S</t>
  </si>
  <si>
    <t>C(=S)=S</t>
  </si>
  <si>
    <t>Carbon disulfide</t>
  </si>
  <si>
    <t>Based on EPA RfD</t>
  </si>
  <si>
    <t>Di-substituted hydrocarbons (24a);Known precedent reproductive and developmental toxic potential</t>
  </si>
  <si>
    <t>116-09-6</t>
  </si>
  <si>
    <t>N-00135</t>
  </si>
  <si>
    <t>CC(CO)=O</t>
  </si>
  <si>
    <t>O=C(C)CO</t>
  </si>
  <si>
    <t>2-Propanone, 1-hydroxy-</t>
  </si>
  <si>
    <t>Leadscope, ECHA REACH</t>
  </si>
  <si>
    <t>128686-03-3</t>
  </si>
  <si>
    <t>N-00136-1</t>
  </si>
  <si>
    <t>CC1=CC=CC=C1C</t>
  </si>
  <si>
    <t>c1ccc(c(c1)C)C</t>
  </si>
  <si>
    <t>o-Xylene</t>
  </si>
  <si>
    <t>Known precedent reproductive and developmental toxic potential;Toluene and small alkyl toluene derivatives (8a)</t>
  </si>
  <si>
    <t>N-00136-2</t>
  </si>
  <si>
    <t>CC1=CC(C)=CC=C1</t>
  </si>
  <si>
    <t>c1cc(cc(c1)C)C</t>
  </si>
  <si>
    <t>m-Xylene</t>
  </si>
  <si>
    <t>N-00136-3</t>
  </si>
  <si>
    <t>CC1=CC=C(C)C=C1</t>
  </si>
  <si>
    <t>c1cc(ccc1C)C</t>
  </si>
  <si>
    <t>p-Xylene</t>
  </si>
  <si>
    <t>75-65-0</t>
  </si>
  <si>
    <t>N-00137</t>
  </si>
  <si>
    <t>CC(C)(O)C</t>
  </si>
  <si>
    <t>OC(C)(C)C</t>
  </si>
  <si>
    <t>2-Propanol, 2-methyl-</t>
  </si>
  <si>
    <t>67-66-3</t>
  </si>
  <si>
    <t>N-00138</t>
  </si>
  <si>
    <t>ClC(Cl)Cl</t>
  </si>
  <si>
    <t>C(Cl)(Cl)Cl</t>
  </si>
  <si>
    <t>Trichloromethane</t>
  </si>
  <si>
    <t>[72: halogenated methanes (0.9)]</t>
  </si>
  <si>
    <r>
      <t>262</t>
    </r>
    <r>
      <rPr>
        <vertAlign val="superscript"/>
        <sz val="13"/>
        <color indexed="10"/>
        <rFont val="Helv"/>
      </rPr>
      <t>m</t>
    </r>
  </si>
  <si>
    <r>
      <t>111</t>
    </r>
    <r>
      <rPr>
        <vertAlign val="superscript"/>
        <sz val="13"/>
        <color indexed="10"/>
        <rFont val="Helv"/>
      </rPr>
      <t>m,v</t>
    </r>
  </si>
  <si>
    <t>Known precedent reproductive and developmental toxic potential;Multi-halogenated small alkanes (23a)</t>
  </si>
  <si>
    <t>108-21-4</t>
  </si>
  <si>
    <t>N-00139</t>
  </si>
  <si>
    <t>CC(OC(C)=O)C</t>
  </si>
  <si>
    <t>O=C(OC(C)C)C</t>
  </si>
  <si>
    <t>Acetic acid, 1-methylethyl ester</t>
  </si>
  <si>
    <t>10396-80-2</t>
  </si>
  <si>
    <t>N-00140</t>
  </si>
  <si>
    <t>CC(C)(C1=CC(O)(C=C(C(C)(C)C)C1=O)C)C</t>
  </si>
  <si>
    <t>O=C1C(=CC(O)(C=C1C(C)(C)C)C)C(C)(C)C</t>
  </si>
  <si>
    <t>2,6-ditertiobutyl 4-hydroxy 4-methyl 2,5-cyclohexadien-1-one</t>
  </si>
  <si>
    <t>2021-140; 2023-007</t>
  </si>
  <si>
    <t>Oxidation product of food additive/antioxidant BHT (128-37-0). Sum of BHT and oxidation product should comply with restriction of BHT.</t>
  </si>
  <si>
    <t>1469-73-4</t>
  </si>
  <si>
    <t>N-00141</t>
  </si>
  <si>
    <t>C[C@H]1CO[S@](O1)=O</t>
  </si>
  <si>
    <t>O=S1OCC(O1)C</t>
  </si>
  <si>
    <t>1,3,2-Dioxathiolane, 4-methyl-, 2-oxide</t>
  </si>
  <si>
    <t>[243: dialkyl sulfamates and sulfates (0.93)]</t>
  </si>
  <si>
    <t>624-29-3</t>
  </si>
  <si>
    <t>N-00142</t>
  </si>
  <si>
    <t>CC1CCC(CC1)C</t>
  </si>
  <si>
    <t>CC1CCC(C)CC1</t>
  </si>
  <si>
    <t>Cyclohexane, 1,4-dimethyl-, cis- (or trans- or 1,3-dimethyl-)</t>
  </si>
  <si>
    <t>67-63-0</t>
  </si>
  <si>
    <t>N-00143</t>
  </si>
  <si>
    <t>CC(O)C</t>
  </si>
  <si>
    <t>OC(C)C</t>
  </si>
  <si>
    <t>Isopropyl Alcohol</t>
  </si>
  <si>
    <t>75-84-3</t>
  </si>
  <si>
    <t>N-00144</t>
  </si>
  <si>
    <t>CC(C)(CO)C</t>
  </si>
  <si>
    <t>OCC(C)(C)C</t>
  </si>
  <si>
    <t>Neopentyl alcohol</t>
  </si>
  <si>
    <t>71-36-3</t>
  </si>
  <si>
    <t>N-00145</t>
  </si>
  <si>
    <t>CCCCO</t>
  </si>
  <si>
    <t>OCCCC</t>
  </si>
  <si>
    <t>1-Butanol</t>
  </si>
  <si>
    <t>123-86-4</t>
  </si>
  <si>
    <t>N-00146</t>
  </si>
  <si>
    <t>CCCCOC(C)=O</t>
  </si>
  <si>
    <t>O=C(OCCCC)C</t>
  </si>
  <si>
    <t>Acetic acid, butyl ester</t>
  </si>
  <si>
    <t>110-62-3</t>
  </si>
  <si>
    <t>N-00147</t>
  </si>
  <si>
    <t>CCCCC=O</t>
  </si>
  <si>
    <t>O=CCCCC</t>
  </si>
  <si>
    <t>Pentanal</t>
  </si>
  <si>
    <t>1118-71-4</t>
  </si>
  <si>
    <t>N-00148</t>
  </si>
  <si>
    <t>CC(C)(C(CC(C(C)(C)C)=O)=O)C</t>
  </si>
  <si>
    <t>O=C(CC(=O)C(C)(C)C)C(C)(C)C</t>
  </si>
  <si>
    <t>3,5-Heptanedione, 2,2,6,6-tetramethyl-</t>
  </si>
  <si>
    <t>110-00-9</t>
  </si>
  <si>
    <t>N-00149</t>
  </si>
  <si>
    <t>O1C=CC=C1</t>
  </si>
  <si>
    <t>o1cccc1</t>
  </si>
  <si>
    <t>Furan</t>
  </si>
  <si>
    <t>Negative, Weakly Positive</t>
  </si>
  <si>
    <t>ECHA REACH, ICE</t>
  </si>
  <si>
    <t>EXPERIMENTAL-Based only on ONE available prediction</t>
  </si>
  <si>
    <r>
      <t>0.396</t>
    </r>
    <r>
      <rPr>
        <vertAlign val="superscript"/>
        <sz val="13"/>
        <color indexed="10"/>
        <rFont val="Helv"/>
      </rPr>
      <t>m</t>
    </r>
  </si>
  <si>
    <r>
      <t>2.72</t>
    </r>
    <r>
      <rPr>
        <vertAlign val="superscript"/>
        <sz val="13"/>
        <color indexed="10"/>
        <rFont val="Helv"/>
      </rPr>
      <t>m</t>
    </r>
  </si>
  <si>
    <t>111-27-3</t>
  </si>
  <si>
    <t>N-00150</t>
  </si>
  <si>
    <t>CCCCCCO</t>
  </si>
  <si>
    <t>OCCCCCC</t>
  </si>
  <si>
    <t>1-Hexanol</t>
  </si>
  <si>
    <t>96-37-7</t>
  </si>
  <si>
    <t>N-00151</t>
  </si>
  <si>
    <t>CC1CCCC1</t>
  </si>
  <si>
    <t>Cyclopentane, methyl-</t>
  </si>
  <si>
    <t>111-71-7</t>
  </si>
  <si>
    <t>N-00152</t>
  </si>
  <si>
    <t>CCCCCCC=O</t>
  </si>
  <si>
    <t>O=CCCCCCC</t>
  </si>
  <si>
    <t>Heptanal</t>
  </si>
  <si>
    <t>98-01-1</t>
  </si>
  <si>
    <t>N-00153</t>
  </si>
  <si>
    <t>O=CC1=CC=CO1</t>
  </si>
  <si>
    <t>O=Cc1occc1</t>
  </si>
  <si>
    <t>2-Furaldehyde</t>
  </si>
  <si>
    <t>E</t>
  </si>
  <si>
    <t>-</t>
  </si>
  <si>
    <r>
      <t>197</t>
    </r>
    <r>
      <rPr>
        <vertAlign val="superscript"/>
        <sz val="13"/>
        <color indexed="10"/>
        <rFont val="Helv"/>
      </rPr>
      <t>m</t>
    </r>
  </si>
  <si>
    <t>630-19-3</t>
  </si>
  <si>
    <t>N-00154</t>
  </si>
  <si>
    <t>CC(C)(C=O)C</t>
  </si>
  <si>
    <t>O=CC(C)(C)C</t>
  </si>
  <si>
    <t>Propanal, 2,2-dimethyl-</t>
  </si>
  <si>
    <t>111-46-6</t>
  </si>
  <si>
    <t>N-00155</t>
  </si>
  <si>
    <t>OCCOCCO</t>
  </si>
  <si>
    <t>Diethylene glycol</t>
  </si>
  <si>
    <t>75-97-8</t>
  </si>
  <si>
    <t>N-00156</t>
  </si>
  <si>
    <t>CC(C(C)(C)C)=O</t>
  </si>
  <si>
    <t>O=C(C)C(C)(C)C</t>
  </si>
  <si>
    <t>2-Butanone, 3,3-dimethyl-</t>
  </si>
  <si>
    <t>110-93-0</t>
  </si>
  <si>
    <t>N-00157</t>
  </si>
  <si>
    <t>CC(C)=CCCC(C)=O</t>
  </si>
  <si>
    <t>O=C(C)CCC=C(C)C</t>
  </si>
  <si>
    <t>5-Hepten-2-one, 6-methyl-</t>
  </si>
  <si>
    <t>80-62-6</t>
  </si>
  <si>
    <t>N-00158</t>
  </si>
  <si>
    <t>COC(C(C)=C)=O</t>
  </si>
  <si>
    <t>O=C(OC)C(=C)C</t>
  </si>
  <si>
    <t>2-Propenoic acid, 2-methyl-, methyl ester</t>
  </si>
  <si>
    <t>Known precedent reproductive and developmental toxic potential;Vinyl amide, aldehyde and ester derivatives (21a)</t>
  </si>
  <si>
    <t>108-11-2</t>
  </si>
  <si>
    <t>N-00159</t>
  </si>
  <si>
    <t>CC(CC(O)C)C</t>
  </si>
  <si>
    <t>OC(C)CC(C)C</t>
  </si>
  <si>
    <t>2-Pentanol, 4-methyl-</t>
  </si>
  <si>
    <t>112-40-3</t>
  </si>
  <si>
    <t>N-00160</t>
  </si>
  <si>
    <t>CCCCCCCCCCCC</t>
  </si>
  <si>
    <t>Dodecane</t>
  </si>
  <si>
    <t>13429-07-7</t>
  </si>
  <si>
    <t>N-00161</t>
  </si>
  <si>
    <t>CO[C@H](COC[C@H](O)C)C</t>
  </si>
  <si>
    <t>OC(C)COCC(OC)C</t>
  </si>
  <si>
    <t>2-Propanol, 1-(2-methoxypropoxy)-</t>
  </si>
  <si>
    <t>56-81-5</t>
  </si>
  <si>
    <t>N-00162</t>
  </si>
  <si>
    <t>OCC(CO)O</t>
  </si>
  <si>
    <t>OCC(O)CO</t>
  </si>
  <si>
    <t>Glycerol</t>
  </si>
  <si>
    <t>Negative (2)</t>
  </si>
  <si>
    <t>VEGA, ECHA REACH</t>
  </si>
  <si>
    <t>100-79-8</t>
  </si>
  <si>
    <t>N-00163</t>
  </si>
  <si>
    <t>CC1(OC[C@H](O1)CO)C</t>
  </si>
  <si>
    <t>OCC1OC(OC1)(C)C</t>
  </si>
  <si>
    <t>1,3-Dioxolane-4-methanol, 2,2-dimethyl-</t>
  </si>
  <si>
    <t>106-61-6</t>
  </si>
  <si>
    <t>N-00165</t>
  </si>
  <si>
    <t>CC(OC[C@H](CO)O)=O</t>
  </si>
  <si>
    <t>O=C(OCC(O)CO)C</t>
  </si>
  <si>
    <t>Glycerol, 1-acetate</t>
  </si>
  <si>
    <t>502-54-5</t>
  </si>
  <si>
    <t>N-00166</t>
  </si>
  <si>
    <t>CCCCCCCC(OCC(O)CO)=O</t>
  </si>
  <si>
    <t>O=C(OCC(O)CO)CCCCCCC</t>
  </si>
  <si>
    <t>Glycerol, mono-octanoate</t>
  </si>
  <si>
    <t>110-98-5</t>
  </si>
  <si>
    <t>N-00167</t>
  </si>
  <si>
    <t>C[C@H](COC[C@H](O)C)O</t>
  </si>
  <si>
    <t>OC(C)COCC(O)C</t>
  </si>
  <si>
    <t>Dipropylene glycol</t>
  </si>
  <si>
    <t>13897-37-5</t>
  </si>
  <si>
    <t>N-00168</t>
  </si>
  <si>
    <t>OC[C@H]1CO[S@](O1)=O</t>
  </si>
  <si>
    <t>O=S1OCC(O1)CO</t>
  </si>
  <si>
    <t>1,3,2-Dioxathiolane-4-methanol, 2-oxide</t>
  </si>
  <si>
    <t>126-30-7</t>
  </si>
  <si>
    <t>N-00169</t>
  </si>
  <si>
    <t>CC(CO)(CO)C</t>
  </si>
  <si>
    <t>OCC(C)(C)CO</t>
  </si>
  <si>
    <t>Neopentyl glycol</t>
  </si>
  <si>
    <t>1694-31-1</t>
  </si>
  <si>
    <t>N-00170</t>
  </si>
  <si>
    <t>CC(CC(OC(C)(C)C)=O)=O</t>
  </si>
  <si>
    <t>O=C(OC(C)(C)C)CC(=O)C</t>
  </si>
  <si>
    <t>Butanoic acid, 3-oxo-, 1,1-dimethylethyl ester</t>
  </si>
  <si>
    <t>10544-50-0</t>
  </si>
  <si>
    <t>N-00171</t>
  </si>
  <si>
    <t>S1SSSSSSS1</t>
  </si>
  <si>
    <t>Cyclic octaatomic sulfur</t>
  </si>
  <si>
    <t>Inorganic chemical</t>
  </si>
  <si>
    <t xml:space="preserve">Not applied </t>
  </si>
  <si>
    <t>Not applied</t>
  </si>
  <si>
    <t>Inorganic chemical;Not covered by current version of the decision tree</t>
  </si>
  <si>
    <t>57-13-6</t>
  </si>
  <si>
    <t>N-00172</t>
  </si>
  <si>
    <t>NC(N)=O</t>
  </si>
  <si>
    <t>O=C(N)N</t>
  </si>
  <si>
    <t>Urea</t>
  </si>
  <si>
    <t>N-00173-1</t>
  </si>
  <si>
    <t>O=C(OCCOC(C1=CC=C(C=C1)C(OCCO2)=O)=O)C3=CC=C(C=C3)C2=O</t>
  </si>
  <si>
    <t>O=C3OCCOC(=O)c1ccc(cc1)C(=O)OCCOC(=O)c2ccc3(cc2)</t>
  </si>
  <si>
    <t>Cyclic 2EG+2PA</t>
  </si>
  <si>
    <t>N-00173-2</t>
  </si>
  <si>
    <t>O=C(OCCOC(C1=CC=CC(C(OCCO2)=O)=C1)=O)C3=CC=C(C=C3)C2=O</t>
  </si>
  <si>
    <t>O=C3OCCOC(=O)c1cccc(c1)C(=O)OCCOC(=O)c2ccc3(cc2)</t>
  </si>
  <si>
    <t>N-00173-3</t>
  </si>
  <si>
    <t>O=C(OCCOC(C1=CC=CC2=C1)=O)C3=CC=CC(C(OCCOC2=O)=O)=C3</t>
  </si>
  <si>
    <t>O=C3OCCOC(=O)c1cccc(c1)C(=O)OCCOC(=O)c2cccc3(c2)</t>
  </si>
  <si>
    <t>N-00174</t>
  </si>
  <si>
    <t>O=C(OCC(C)(COC(C1=CC2=CC=C1)=O)C)C3=CC(C(OCCOC2=O)=O)=CC=C3</t>
  </si>
  <si>
    <t>O=C3OCCOC(=O)c1cccc(c1)C(=O)OCC(C)(C)COC(=O)c2cccc3(c2)</t>
  </si>
  <si>
    <t>Cyclic EG+NPG+2PA</t>
  </si>
  <si>
    <t>1394013-65-0</t>
  </si>
  <si>
    <t>N-00175-2</t>
  </si>
  <si>
    <t>O=C(C1=CC(C(OCC(COC(C2=CC=C3C=C2)=O)(C)C)=O)=CC=C1)OCC(COC3=O)(C)C</t>
  </si>
  <si>
    <t>Cyclic 2NPG+2PA</t>
  </si>
  <si>
    <t>N-00176</t>
  </si>
  <si>
    <t>O=C(OCCCCOC(CCCC1)=O)CCCCC(OCCCCOC1=O)=O</t>
  </si>
  <si>
    <t>O=C1OCCCCOC(=O)CCCCC(=O)OCCCCOC(=O)CCCC1</t>
  </si>
  <si>
    <t>2AA+2BD cyclic</t>
  </si>
  <si>
    <t>N-00177-1</t>
  </si>
  <si>
    <t>[H]OCCOC(C1=CC=C(C(OCCO[H])=O)C=C1)=O</t>
  </si>
  <si>
    <t>O=C(OCCO)c1ccc(cc1)C(=O)OCCO</t>
  </si>
  <si>
    <t>2EG+PA linear</t>
  </si>
  <si>
    <t>N-00177-2</t>
  </si>
  <si>
    <t>[H]OCCOC(C1=CC(C(OCCO[H])=O)=CC=C1)=O</t>
  </si>
  <si>
    <t>O=C(OCCO)c1cccc(c1)C(=O)OCCO</t>
  </si>
  <si>
    <t>N-00178</t>
  </si>
  <si>
    <t>O=C(OCCCCO1)C2=CC=C(C=C2)C(OCCCCOC(CCCCC1=O)=O)=O</t>
  </si>
  <si>
    <t>O=C2OCCCCOC(=O)CCCCC(=O)OCCCCOC(=O)c1ccc2(cc1)</t>
  </si>
  <si>
    <t>2BD+TPA+AA cyclic</t>
  </si>
  <si>
    <t>N-00179</t>
  </si>
  <si>
    <t>O=C(OCC(C)(COC(C1=CC=CC2=C1)=O)C)C3=CC=CC(C(OCCOCCOC2=O)=O)=C3</t>
  </si>
  <si>
    <t>O=C3OCCOCCOC(=O)c1cccc(c1)C(=O)OCC(C)(C)COC(=O)c2cccc3(c2)</t>
  </si>
  <si>
    <t>Cyclic DEG+NPG+2PA</t>
  </si>
  <si>
    <t>N-00180</t>
  </si>
  <si>
    <t>O=C(OCCCCOC(C1=CC=C2C=C1)=O)C3=CC=C(C=C3)C(OCCCCOC2=O)=O</t>
  </si>
  <si>
    <t>O=C3OCCCCOC(=O)c1ccc(cc1)C(=O)OCCCCOC(=O)c2ccc3(cc2)</t>
  </si>
  <si>
    <t>2BD+2TPA cyclic</t>
  </si>
  <si>
    <t>N-00181-1</t>
  </si>
  <si>
    <t>O=C(OCCOC(C1=CC=C(C=C1)C(OCCOC(C2=CC=C(C=C2)C(OCCO3)=O)=O)=O)=O)C4=CC=C(C=C4)C3=O</t>
  </si>
  <si>
    <t>O=C4OCCOC(=O)c1ccc(cc1)C(=O)OCCOC(=O)c2ccc(cc2)C(=O)OCCOC(=O)c3ccc4(cc3)</t>
  </si>
  <si>
    <t>Cyclic 3EG+3PA</t>
  </si>
  <si>
    <t>N-00181-2</t>
  </si>
  <si>
    <t>O=C(OCCOC1=O)C2=CC(C(OCCOC(C3=CC=C(C=C3)C(OCCOC(C4=CC=C1C=C4)=O)=O)=O)=O)=CC=C2</t>
  </si>
  <si>
    <t>O=C4OCCOC(=O)c1ccc(cc1)C(=O)OCCOC(=O)c2cccc(c2)C(=O)OCCOC(=O)c3ccc4(cc3)</t>
  </si>
  <si>
    <t>N-00181-3</t>
  </si>
  <si>
    <t>O=C(OCCOC1=O)C2=CC(C(OCCOC(C3=CC=CC(C(OCCOC(C4=CC=C1C=C4)=O)=O)=C3)=O)=O)=CC=C2</t>
  </si>
  <si>
    <t>O=C4OCCOC(=O)c1cccc(c1)C(=O)OCCOC(=O)c2cccc(c2)C(=O)OCCOC(=O)c3ccc4(cc3)</t>
  </si>
  <si>
    <t>N-00181-4</t>
  </si>
  <si>
    <t>O=C(OCCOC(C1=CC2=CC=C1)=O)C3=CC(C(OCCOC(C4=CC(C(OCCOC2=O)=O)=CC=C4)=O)=O)=CC=C3</t>
  </si>
  <si>
    <t>O=C4OCCOC(=O)c1cccc(c1)C(=O)OCCOC(=O)c2cccc(c2)C(=O)OCCOC(=O)c3cccc4(c3)</t>
  </si>
  <si>
    <t>N-00182</t>
  </si>
  <si>
    <t>O=C(OCCCCOC(CCCC1)=O)CCCCC(OCCCCOC(CCCCC(OCCCCOC1=O)=O)=O)=O</t>
  </si>
  <si>
    <t>O=C1OCCCCOC(=O)CCCCC(=O)OCCCCOC(=O)CCCCC(=O)OCCCCOC(=O)CCCC1</t>
  </si>
  <si>
    <t>3BD+3AA cyclic</t>
  </si>
  <si>
    <t>N-00183</t>
  </si>
  <si>
    <t>O=C(OCCCCOC(CCCC1)=O)CCCCC(OCCCCOC(C2=CC=C(C=C2)C(OCCCCOC1=O)=O)=O)=O</t>
  </si>
  <si>
    <t>O=C2OCCCCOC(=O)CCCCC(=O)OCCCCOC(=O)CCCCC(=O)OCCCCOC(=O)c1ccc2(cc1)</t>
  </si>
  <si>
    <t>3BD+2AA+TPA cyclic</t>
  </si>
  <si>
    <t>N-00184</t>
  </si>
  <si>
    <t>O=C(OCC(C)(COC(C1=CC=CC2=C1)=O)C)C3=CC=CC(C(OCCOC(C4=CC=CC(C(OCCOC2=O)=O)=C4)=O)=O)=C3</t>
  </si>
  <si>
    <t>O=C4OCCOC(=O)c1cccc(c1)C(=O)OCC(C)(C)COC(=O)c2cccc(c2)C(=O)OCCOC(=O)c3cccc4(c3)</t>
  </si>
  <si>
    <t>Cyclic 2EG+NPG+3PA</t>
  </si>
  <si>
    <t>N-00185</t>
  </si>
  <si>
    <t>O=C(OCCCCOC1=O)CCCCC(OCCCCOC(C2=CC=C(C=C2)C(OCCCCOC(C3=CC=C1C=C3)=O)=O)=O)=O</t>
  </si>
  <si>
    <t>O=C3OCCCCOC(=O)c1ccc(cc1)C(=O)OCCCCOC(=O)CCCCC(=O)OCCCCOC(=O)c2ccc3(cc2)</t>
  </si>
  <si>
    <t>3BD+AA+2TPA cyclic</t>
  </si>
  <si>
    <t>N-00186-1</t>
  </si>
  <si>
    <t>O=C(OCCOC(C1=CC=C(C=C1)C(OC[C@@](C)(COC(C2=CC=C3C=C2)=O)C)=O)=O)C4=CC=C(C=C4)C(OC[C@@](C)(COC3=O)C)=O</t>
  </si>
  <si>
    <t>O=C4OCCOC(=O)c1ccc(cc1)C(=O)OCC(C)(C)COC(=O)c2ccc(cc2)C(=O)OCC(C)(C)COC(=O)c3ccc4(cc3)</t>
  </si>
  <si>
    <t>Cyclic EG+2NPG+3PA</t>
  </si>
  <si>
    <t>N-00186-2</t>
  </si>
  <si>
    <t>O=C(OC[C@@](C)(COC1=O)C)C2=CC(C(OCCOC(C3=CC=C(C=C3)C(OC[C@@](C)(COC(C4=CC=C1C=C4)=O)C)=O)=O)=O)=CC=C2</t>
  </si>
  <si>
    <t>O=C4OCCOC(=O)c1cccc(c1)C(=O)OCC(C)(C)COC(=O)c2ccc(cc2)C(=O)OCC(C)(C)COC(=O)c3ccc4(cc3)</t>
  </si>
  <si>
    <t>N-00186-3</t>
  </si>
  <si>
    <t>O=C(OCC(C)(COC1=O)C)C2=CC(C(OCCOC(C3=CC=CC(C(OCC(C)(COC(C4=CC=C1C=C4)=O)C)=O)=C3)=O)=O)=CC=C2</t>
  </si>
  <si>
    <t>O=C4OCCOC(=O)c1cccc(c1)C(=O)OCC(C)(C)COC(=O)c2ccc(cc2)C(=O)OCC(C)(C)COC(=O)c3cccc4(c3)</t>
  </si>
  <si>
    <t>N-00186-4</t>
  </si>
  <si>
    <t>O=C(OCC(C)(COC(C1=CC2=CC=C1)=O)C)C3=CC(C(OCCOC(C4=CC(C(OCC(C)(COC2=O)C)=O)=CC=C4)=O)=O)=CC=C3</t>
  </si>
  <si>
    <t>O=C4OCCOC(=O)c1cccc(c1)C(=O)OCC(C)(C)COC(=O)c2cccc(c2)C(=O)OCC(C)(C)COC(=O)c3cccc4(c3)</t>
  </si>
  <si>
    <t>N-00187</t>
  </si>
  <si>
    <t>O=C(OCCCCOC1=O)CCCCC(OCCCCOC(CCCCC(OCCCCOC(CCCCC(OCCCCOC(C2=CC=C1C=C2)=O)=O)=O)=O)=O)=O</t>
  </si>
  <si>
    <t>O=C2OCCCCOC(=O)CCCCC(=O)OCCCCOC(=O)CCCCC(=O)OCCCCOC(=O)CCCCC(=O)OCCCCOC(=O)c1ccc2(cc1)</t>
  </si>
  <si>
    <t>4BD+3AA+TPA cyclic</t>
  </si>
  <si>
    <t>N-00188-1</t>
  </si>
  <si>
    <t>O=C(OCCOC(C1=CC=C(C=C1)C(OCCOC(C2=CC=C(C=C2)C(OCCOC(C3=CC=C(C=C3)C(OCCOC(C4=CC=C5C=C4)=O)=O)=O)=O)=O)=O)=O)C6=CC=C(C=C6)C(OCC(C)(COC5=O)C)=O</t>
  </si>
  <si>
    <t>O=C6OCCOC(=O)c1ccc(cc1)C(=O)OCCOC(=O)c2ccc(cc2)C(=O)OCC(C)(C)COC(=O)c3ccc(cc3)C(=O)OCCOC(=O)c4ccc(cc4)C(=O)OCCOC(=O)c5ccc6(cc5)</t>
  </si>
  <si>
    <t>Cyclic 4EG+NPG+5PA</t>
  </si>
  <si>
    <t>N-00188-2</t>
  </si>
  <si>
    <t>O=C(OC[C@@](C)(COC1=O)C)C2=CC(C(OCCOC(C3=CC=C(C=C3)C(OCCOC(C4=CC=C(C=C4)C(OCCOC(C5=CC=C(C=C5)C(OCCOC(C6=CC=C1C=C6)=O)=O)=O)=O)=O)=O)=O)=O)=CC=C2</t>
  </si>
  <si>
    <t>O=C6OCCOC(=O)c1ccc(cc1)C(=O)OCCOC(=O)c2ccc(cc2)C(=O)OCC(C)(C)COC(=O)c3cccc(c3)C(=O)OCCOC(=O)c4ccc(cc4)C(=O)OCCOC(=O)c5ccc6(cc5)</t>
  </si>
  <si>
    <t>N-00188-3</t>
  </si>
  <si>
    <t>O=C(OC[C@@](C)(COC1=O)C)C2=CC(C(OCCOC(C3=CC(C(OCCOC(C4=CC=C(C=C4)C(OCCOC(C5=CC=C(C=C5)C(OCCOC(C6=CC=C1C=C6)=O)=O)=O)=O)=O)=O)=CC=C3)=O)=O)=CC=C2</t>
  </si>
  <si>
    <t>O=C6OCCOC(=O)c1ccc(cc1)C(=O)OCCOC(=O)c2cccc(c2)C(=O)OCCOC(=O)c3cccc(c3)C(=O)OCC(C)(C)COC(=O)c4ccc(cc4)C(=O)OCCOC(=O)c5ccc6(cc5)</t>
  </si>
  <si>
    <t>N-00188-4</t>
  </si>
  <si>
    <t>O=C(OC[C@@](C)(COC1=O)C)C2=CC(C(OCCOC(C3=CC=CC(C(OCCOC(C4=CC=CC(C(OCCOC(C5=CC=C(C=C5)C(OCCOC(C6=CC=C1C=C6)=O)=O)=O)=O)=C4)=O)=O)=C3)=O)=O)=CC=C2</t>
  </si>
  <si>
    <t>O=C6OCCOC(=O)c1ccc(cc1)C(=O)OCC(C)(C)COC(=O)c2cccc(c2)C(=O)OCCOC(=O)c3cccc(c3)C(=O)OCCOC(=O)c4cccc(c4)C(=O)OCCOC(=O)c5ccc6(cc5)</t>
  </si>
  <si>
    <t>N-00188-5</t>
  </si>
  <si>
    <t>O=C(OCC(C)(COC1=O)C)C2=CC(C(OCCOC(C3=CC(C(OCCOC(C4=CC(C(OCCOC(C5=CC(C(OCCOC(C6=CC=C1C=C6)=O)=O)=CC=C5)=O)=O)=CC=C4)=O)=O)=CC=C3)=O)=O)=CC=C2</t>
  </si>
  <si>
    <t>O=C6OCCOC(=O)c1cccc(c1)C(=O)OCCOC(=O)c2cccc(c2)C(=O)OCCOC(=O)c3cccc(c3)C(=O)OCCOC(=O)c4cccc(c4)C(=O)OCC(C)(C)COC(=O)c5ccc6(cc5)</t>
  </si>
  <si>
    <t>N-00188-6</t>
  </si>
  <si>
    <t>O=C(OCC(C)(COC(C1=CC2=CC=C1)=O)C)C3=CC(C(OCCOC(C4=CC(C(OCCOC(C5=CC(C(OCCOC(C6=CC=C(C=C6)C(OCCOC2=O)=O)=O)=O)=CC=C5)=O)=O)=CC=C4)=O)=O)=CC=C3</t>
  </si>
  <si>
    <t>O=C6OCCOC(=O)c1cccc(c1)C(=O)OCCOC(=O)c2cccc(c2)C(=O)OCCOC(=O)c3cccc(c3)C(=O)OCC(C)(C)COC(=O)c4cccc(c4)C(=O)OCCOC(=O)c5ccc6(cc5)</t>
  </si>
  <si>
    <t>N-00189</t>
  </si>
  <si>
    <t>O=C(OCC(C)(COC(C1=CC=CC2=C1)=O)C)C3=CC=CC(C(OCC(C)(COC(C4=CC=CC(C(OCC(C)(COC2=O)C)=O)=C4)=O)C)=O)=C3</t>
  </si>
  <si>
    <t>O=C4OCC(C)(C)COC(=O)c1cccc(c1)C(=O)OCC(C)(C)COC(=O)c2cccc(c2)C(=O)OCC(C)(C)COC(=O)c3cccc4(c3)</t>
  </si>
  <si>
    <t>Cyclic 3NPG+3PA</t>
  </si>
  <si>
    <t>13389-42-9</t>
  </si>
  <si>
    <t>N-00190</t>
  </si>
  <si>
    <t>CCCCC/C=C/C</t>
  </si>
  <si>
    <t>C(=CCCCCC)C</t>
  </si>
  <si>
    <t>2-Octene</t>
  </si>
  <si>
    <t>100-42-5</t>
  </si>
  <si>
    <t>N-00191</t>
  </si>
  <si>
    <t>C=CC1=CC=CC=C1</t>
  </si>
  <si>
    <t>C=Cc1ccccc1</t>
  </si>
  <si>
    <t>Styrene</t>
  </si>
  <si>
    <r>
      <t>210</t>
    </r>
    <r>
      <rPr>
        <vertAlign val="superscript"/>
        <sz val="13"/>
        <color indexed="10"/>
        <rFont val="Helv"/>
      </rPr>
      <t>m</t>
    </r>
  </si>
  <si>
    <t>123-38-6</t>
  </si>
  <si>
    <t>N-00192</t>
  </si>
  <si>
    <t>CCC=O</t>
  </si>
  <si>
    <t>O=CCC</t>
  </si>
  <si>
    <t>Propanal</t>
  </si>
  <si>
    <t>108-94-1</t>
  </si>
  <si>
    <t>N-00193</t>
  </si>
  <si>
    <t>O=C1CCCCC1</t>
  </si>
  <si>
    <t>Cyclohexanone</t>
  </si>
  <si>
    <t>inconclusive</t>
  </si>
  <si>
    <t>3173-53-3</t>
  </si>
  <si>
    <t>N-00194</t>
  </si>
  <si>
    <t>O=C=NC1CCCCC1</t>
  </si>
  <si>
    <t>Cyclohexane, isocyanato-</t>
  </si>
  <si>
    <t xml:space="preserve"> ICE</t>
  </si>
  <si>
    <t>5676-32-4</t>
  </si>
  <si>
    <t>N-00195</t>
  </si>
  <si>
    <t>CCCC(C1=CC=CC=C1)=C</t>
  </si>
  <si>
    <t>C=C(c1ccccc1)CCC</t>
  </si>
  <si>
    <t>Benzene, (1-methylenebutyl)-</t>
  </si>
  <si>
    <t>104-51-8</t>
  </si>
  <si>
    <t>N-00196</t>
  </si>
  <si>
    <t>CCCCC1=CC=CC=C1</t>
  </si>
  <si>
    <t>c1ccc(cc1)CCCC</t>
  </si>
  <si>
    <t>Benzene, n-butyl-</t>
  </si>
  <si>
    <t>930-30-3</t>
  </si>
  <si>
    <t>N-00197</t>
  </si>
  <si>
    <t>O=C1CCC=C1</t>
  </si>
  <si>
    <t>O=C1C=CCC1</t>
  </si>
  <si>
    <t>2-Cyclopenten-1-one</t>
  </si>
  <si>
    <t>[424: alpha, beta unsaturated carbonyl (Indeterminate)]</t>
  </si>
  <si>
    <t>1120-72-5</t>
  </si>
  <si>
    <t>N-00198</t>
  </si>
  <si>
    <t>C[C@H]1CCCC1=O</t>
  </si>
  <si>
    <t>O=C1CCCC1C</t>
  </si>
  <si>
    <t>Cyclopentanone, 2-methyl-</t>
  </si>
  <si>
    <t>96-47-9</t>
  </si>
  <si>
    <t>N-00199</t>
  </si>
  <si>
    <t>C[C@H]1CCCO1</t>
  </si>
  <si>
    <t>O1CCCC1C</t>
  </si>
  <si>
    <t>Furan, tetrahydro-2-methyl-</t>
  </si>
  <si>
    <t>1115-11-3</t>
  </si>
  <si>
    <t>N-00200</t>
  </si>
  <si>
    <t>C/C=C(C=O)\C</t>
  </si>
  <si>
    <t>O=CC(=CC)C</t>
  </si>
  <si>
    <t>2-Butenal, 2-methyl-</t>
  </si>
  <si>
    <t>106-91-2</t>
  </si>
  <si>
    <t>N-00201</t>
  </si>
  <si>
    <t>CC(C(OC[C@H]1CO1)=O)=C</t>
  </si>
  <si>
    <t>O=C(OCC1OC1)C(=C)C</t>
  </si>
  <si>
    <t>2-Propenoic acid, 2-methyl-, oxiranylmethyl ester</t>
  </si>
  <si>
    <t>[159: unhindered epoxide (0.91)]</t>
  </si>
  <si>
    <t>l</t>
  </si>
  <si>
    <t>Glycidyl ether derivatives (16c);Known precedent reproductive and developmental toxic potential</t>
  </si>
  <si>
    <t>13475-82-6</t>
  </si>
  <si>
    <t>N-00202</t>
  </si>
  <si>
    <t>CC(CC(C)(C)C)CC(C)(C)C</t>
  </si>
  <si>
    <t>Heptane, 2,2,4,6,6-pentamethyl-</t>
  </si>
  <si>
    <t>103-65-1</t>
  </si>
  <si>
    <t>N-00203</t>
  </si>
  <si>
    <t>CCCC1=CC=CC=C1</t>
  </si>
  <si>
    <t>c1ccc(cc1)CCC</t>
  </si>
  <si>
    <t>Benzene, propyl-</t>
  </si>
  <si>
    <t>N-00204</t>
  </si>
  <si>
    <t>O=C(OCCCCOC(CCCC1)=O)CCCCC(OCCCCOC(CCCCC(OCCCCOC(CCCCC(OCCCCOC1=O)=O)=O)=O)=O)=O</t>
  </si>
  <si>
    <t>O=C1OCCCCOC(=O)CCCCC(=O)OCCCCOC(=O)CCCCC(=O)OCCCCOC(=O)CCCCC(=O)OCCCCOC(=O)CCCC1</t>
  </si>
  <si>
    <t>4BD+4AA cyclic</t>
  </si>
  <si>
    <t>5124-30-1</t>
  </si>
  <si>
    <t>N-00205</t>
  </si>
  <si>
    <t>O=C=N[C@H]1CC[C@H](C[C@H]2CC[C@H](N=C=O)CC2)CC1</t>
  </si>
  <si>
    <t>O=C=NC1CCC(CC1)CC2CCC(N=C=O)CC2</t>
  </si>
  <si>
    <t>Dicyclohexylmethane, diisocyanate isomers</t>
  </si>
  <si>
    <t>LOW-Predictions NOT in agreement</t>
  </si>
  <si>
    <t>28336-57-4</t>
  </si>
  <si>
    <t>N-00206</t>
  </si>
  <si>
    <t>[C@H]1(C2=CC=CC=C2)C[C@H](C3=CC=CC=C3)C[C@@H](C4=CC=CC=C4)C1</t>
  </si>
  <si>
    <t>c1ccc(cc1)C4CC(c2ccccc2)CC(c3ccccc3)C4</t>
  </si>
  <si>
    <t>Cyclohexane, 1,3,5-triphenyl-</t>
  </si>
  <si>
    <t xml:space="preserve">2022-074; 2023-007
</t>
  </si>
  <si>
    <t>Positive call in VEGA but re-assessed a negative based by expert review</t>
  </si>
  <si>
    <t xml:space="preserve">Active </t>
  </si>
  <si>
    <t>2387-23-7</t>
  </si>
  <si>
    <t>N-00207</t>
  </si>
  <si>
    <t>O=C(NC1CCCCC1)NC2CCCCC2</t>
  </si>
  <si>
    <t>1,3-Dicyclohexylurea</t>
  </si>
  <si>
    <t>50-21-5</t>
  </si>
  <si>
    <t>N-00208</t>
  </si>
  <si>
    <t>C[C@H](C(O)=O)O</t>
  </si>
  <si>
    <t>O=C(O)C(O)C</t>
  </si>
  <si>
    <t>Lactic acid</t>
  </si>
  <si>
    <t>VEGA, ECHA REACH, ICE</t>
  </si>
  <si>
    <t>825-25-2</t>
  </si>
  <si>
    <t>N-00209</t>
  </si>
  <si>
    <t>O=C1CCCC1=C2CCCC2</t>
  </si>
  <si>
    <t>O=C2C(=C1CCCC1)CCC2</t>
  </si>
  <si>
    <t>Cyclopentanone, 2-cyclopentylidene-</t>
  </si>
  <si>
    <t>62680-75-5</t>
  </si>
  <si>
    <t>N-00210</t>
  </si>
  <si>
    <t>C=CCCOC(C1=CC=C(C(OCCC=C)=O)C=C1)=O</t>
  </si>
  <si>
    <t>O=C(OCCC=C)c1ccc(cc1)C(=O)OCCC=C</t>
  </si>
  <si>
    <t>Terephthalic acid, di(but-3-enyl) ester</t>
  </si>
  <si>
    <t>1081-75-0</t>
  </si>
  <si>
    <t>N-00211</t>
  </si>
  <si>
    <t>C1(CCCC2=CC=CC=C2)=CC=CC=C1</t>
  </si>
  <si>
    <t>c1ccc(cc1)CCCc2ccccc2</t>
  </si>
  <si>
    <t>Propane, 1,3-diphenyl</t>
  </si>
  <si>
    <t>7564-51-4</t>
  </si>
  <si>
    <t>N-00212</t>
  </si>
  <si>
    <t>CC1=CCP(C1)(C2=CC=CC=C2)=O</t>
  </si>
  <si>
    <t>O=P2(c1ccccc1)(CC=C(C)C2)</t>
  </si>
  <si>
    <t>2,5-Dihydro-3-methyl-1-phenylphosphole-1-oxide</t>
  </si>
  <si>
    <t>1087-49-6</t>
  </si>
  <si>
    <t>N-00213</t>
  </si>
  <si>
    <t>C1(CCCCCCC2=CC=CC=C2)=CC=CC=C1</t>
  </si>
  <si>
    <t>c1ccc(cc1)CCCCCCc2ccccc2</t>
  </si>
  <si>
    <t>Benzene, 1,1'-(1,6-hexanediyl)bis-</t>
  </si>
  <si>
    <t>766-93-8</t>
  </si>
  <si>
    <t>N-00214</t>
  </si>
  <si>
    <t>O=CNC1CCCCC1</t>
  </si>
  <si>
    <t>Formamide, N-cyclohexyl-</t>
  </si>
  <si>
    <t>13388-93-7</t>
  </si>
  <si>
    <t>N-00215</t>
  </si>
  <si>
    <t>CC(C1(C)CCCC1)=O</t>
  </si>
  <si>
    <t>O=C(C)C1(C)(CCCC1)</t>
  </si>
  <si>
    <t>Ethanone, 1-(1-methylcyclopentyl)-</t>
  </si>
  <si>
    <t>142-16-5</t>
  </si>
  <si>
    <t>N-00216</t>
  </si>
  <si>
    <t>CCCC[C@H](COC(/C=C\C(OC[C@H](CCCC)CC)=O)=O)CC</t>
  </si>
  <si>
    <t>O=C(OCC(CC)CCCC)C=CC(=O)OCC(CC)CCCC</t>
  </si>
  <si>
    <t>Bis(2-ethylhexyl) maleate</t>
  </si>
  <si>
    <t>627-27-0</t>
  </si>
  <si>
    <t>N-00218</t>
  </si>
  <si>
    <t>OCCC=C</t>
  </si>
  <si>
    <t>3-Buten-1-ol</t>
  </si>
  <si>
    <t>2497-25-8</t>
  </si>
  <si>
    <t>N-00219</t>
  </si>
  <si>
    <t>CCCCCCC/C=C\C=O</t>
  </si>
  <si>
    <t>O=CC=CCCCCCCC</t>
  </si>
  <si>
    <t>2-Decenal</t>
  </si>
  <si>
    <t>124-04-9</t>
  </si>
  <si>
    <t>N-00220</t>
  </si>
  <si>
    <t>OC(CCCCC(O)=O)=O</t>
  </si>
  <si>
    <t>O=C(O)CCCCC(=O)O</t>
  </si>
  <si>
    <t>Hexanedioic acid (adipic acid)</t>
  </si>
  <si>
    <t>2319-29-1</t>
  </si>
  <si>
    <t>N-00221</t>
  </si>
  <si>
    <t>CCCCCCCCCC(N)=O</t>
  </si>
  <si>
    <t>O=C(N)CCCCCCCCC</t>
  </si>
  <si>
    <t>Decanamide</t>
  </si>
  <si>
    <t>14035-33-7</t>
  </si>
  <si>
    <t>N-00222</t>
  </si>
  <si>
    <t>CC(C1=CC(C(C)(C)C)=C(C(C(C)(C)C)=C1)O)=O</t>
  </si>
  <si>
    <t>O=C(c1cc(c(O)c(c1)C(C)(C)C)C(C)(C)C)C</t>
  </si>
  <si>
    <t>3,5-di-tert-Butyl-4-hydroxyacetophenone</t>
  </si>
  <si>
    <t>6607-34-7</t>
  </si>
  <si>
    <t>N-00223</t>
  </si>
  <si>
    <t>O=C1OCCOCCOC(CCCC1)=O</t>
  </si>
  <si>
    <t>O=C1OCCOCCOC(=O)CCCC1</t>
  </si>
  <si>
    <t>AA+DEG cyclic</t>
  </si>
  <si>
    <t xml:space="preserve">ToxTree,  Nestlé Lazar, </t>
  </si>
  <si>
    <t>N-00224</t>
  </si>
  <si>
    <t>CC(C(O1)=O)OC(C(C)OC(C1C)=O)=O</t>
  </si>
  <si>
    <t>O=C1OC(C(=O)OC(C(=O)OC1C)C)C</t>
  </si>
  <si>
    <t>3LA cyclic</t>
  </si>
  <si>
    <t>56599-96-3</t>
  </si>
  <si>
    <t>N-00226</t>
  </si>
  <si>
    <t>CCCCCCCCC#CCCCCCCCC#N</t>
  </si>
  <si>
    <t>N#CCCCCCCCC#CCCCCCCCC</t>
  </si>
  <si>
    <t>9-Octadecynenitrile</t>
  </si>
  <si>
    <t>112-92-5</t>
  </si>
  <si>
    <t>N-00227</t>
  </si>
  <si>
    <t>CCCCCCCCCCCCCCCCCCO</t>
  </si>
  <si>
    <t>OCCCCCCCCCCCCCCCCCC</t>
  </si>
  <si>
    <t>1-Octadecanol</t>
  </si>
  <si>
    <t>92-06-8</t>
  </si>
  <si>
    <t>N-00228</t>
  </si>
  <si>
    <t>C1(C2=CC=CC(C3=CC=CC=C3)=C2)=CC=CC=C1</t>
  </si>
  <si>
    <t>c1ccc(cc1)c2cccc(c2)c3ccccc3</t>
  </si>
  <si>
    <t>m-Terphenyl</t>
  </si>
  <si>
    <t>Active agonist</t>
  </si>
  <si>
    <t>57-11-4</t>
  </si>
  <si>
    <t>N-00229</t>
  </si>
  <si>
    <t>CCCCCCCCCCCCCCCCCC(O)=O</t>
  </si>
  <si>
    <t>O=C(O)CCCCCCCCCCCCCCCCC</t>
  </si>
  <si>
    <t>Octadecanoic acid</t>
  </si>
  <si>
    <t>92-94-4</t>
  </si>
  <si>
    <t>N-00230</t>
  </si>
  <si>
    <t>C1(C2=CC=C(C3=CC=CC=C3)C=C2)=CC=CC=C1</t>
  </si>
  <si>
    <t>c1ccc(cc1)c2ccc(cc2)c3ccccc3</t>
  </si>
  <si>
    <t>p-Terphenyl</t>
  </si>
  <si>
    <t>4616-73-3</t>
  </si>
  <si>
    <t>N-00231</t>
  </si>
  <si>
    <t>CCCCCCCCCCCCCCCCCCCC#N</t>
  </si>
  <si>
    <t>N#CCCCCCCCCCCCCCCCCCCC</t>
  </si>
  <si>
    <t>Eicosanenitrile</t>
  </si>
  <si>
    <t xml:space="preserve"> ∆log&lt;1, Nitriles may be analytical artefacts from amide slip agents formed in the GC injector.</t>
  </si>
  <si>
    <t>1120-16-7</t>
  </si>
  <si>
    <t>N-00233</t>
  </si>
  <si>
    <t>CCCCCCCCCCCC(N)=O</t>
  </si>
  <si>
    <t>O=C(N)CCCCCCCCCCC</t>
  </si>
  <si>
    <t>Dodecanamide</t>
  </si>
  <si>
    <t>630-03-5</t>
  </si>
  <si>
    <t>N-00234</t>
  </si>
  <si>
    <t>CCCCCCCCCCCCCCCCCCCCCCCCCCCCC</t>
  </si>
  <si>
    <t>Nonacosane</t>
  </si>
  <si>
    <t>4970-37-0</t>
  </si>
  <si>
    <t>N-00235</t>
  </si>
  <si>
    <t>CC[C@H](C(C)C)CC[C@H]([C@H]1CC[C@H]2[C@@]1(C)CC[C@H]3[C@H]2CC=C4[C@@]3(C)CCC=C4)C</t>
  </si>
  <si>
    <t>C1=CCCC4(C1=CCC2C4(CCC3(C)(C(CCC23)C(C)CCC(CC)C(C)C)))(C)</t>
  </si>
  <si>
    <t>Stigmastan-3,5-diene</t>
  </si>
  <si>
    <t>110729-26-5</t>
  </si>
  <si>
    <t>N-00236</t>
  </si>
  <si>
    <t>CCCCCCCCCCCCCCCCCCOC(CCC1=CC(C(C)(C)C)=C(O)C=C1)=O</t>
  </si>
  <si>
    <t>O=C(OCCCCCCCCCCCCCCCCCC)CCc1ccc(O)c(c1)C(C)(C)C</t>
  </si>
  <si>
    <t>n-Octadecyl-3-(4-hydroxy-3-tert-butylphenyl) propionate</t>
  </si>
  <si>
    <t>100-52-7</t>
  </si>
  <si>
    <t>N-00237</t>
  </si>
  <si>
    <t>O=CC1=CC=CC=C1</t>
  </si>
  <si>
    <t>O=Cc1ccccc1</t>
  </si>
  <si>
    <t>Benzaldehyde</t>
  </si>
  <si>
    <r>
      <t>1490</t>
    </r>
    <r>
      <rPr>
        <vertAlign val="superscript"/>
        <sz val="13"/>
        <color indexed="10"/>
        <rFont val="Helv"/>
      </rPr>
      <t>m</t>
    </r>
  </si>
  <si>
    <t>53951-43-2</t>
  </si>
  <si>
    <t>N-00238</t>
  </si>
  <si>
    <t>C[C@H]1CO[C@@](C)(CO)O1</t>
  </si>
  <si>
    <t>OCC1(OCC(O1)C)C</t>
  </si>
  <si>
    <t>1,3-Dioxolane-2-methanol, 2,4-dimethyl-</t>
  </si>
  <si>
    <t>103-09-3</t>
  </si>
  <si>
    <t>N-00239</t>
  </si>
  <si>
    <t>CCCC[C@H](COC(C)=O)CC</t>
  </si>
  <si>
    <t>O=C(OCC(CC)CCCC)C</t>
  </si>
  <si>
    <t>Acetic acid, 2-ethylhexyl ester</t>
  </si>
  <si>
    <t>630-04-6</t>
  </si>
  <si>
    <t>N-00240</t>
  </si>
  <si>
    <t>CCCCCCCCCCCCCCCCCCCCCCCCCCCCCCC</t>
  </si>
  <si>
    <t>Hentriacontane</t>
  </si>
  <si>
    <t>544-85-4</t>
  </si>
  <si>
    <t>N-00241</t>
  </si>
  <si>
    <t>CCCCCCCCCCCCCCCCCCCCCCCCCCCCCCCC</t>
  </si>
  <si>
    <t>Dotriacontane</t>
  </si>
  <si>
    <t>630-05-7</t>
  </si>
  <si>
    <t>N-00242</t>
  </si>
  <si>
    <t>CCCCCCCCCCCCCCCCCCCCCCCCCCCCCCCCC</t>
  </si>
  <si>
    <t>Tritriacontane</t>
  </si>
  <si>
    <t>638-68-6</t>
  </si>
  <si>
    <t>N-00243</t>
  </si>
  <si>
    <t>CCCCCCCCCCCCCCCCCCCCCCCCCCCCCC</t>
  </si>
  <si>
    <t>Triacontane</t>
  </si>
  <si>
    <t>630-02-4</t>
  </si>
  <si>
    <t>N-00244</t>
  </si>
  <si>
    <t>CCCCCCCCCCCCCCCCCCCCCCCCCCCC</t>
  </si>
  <si>
    <t>Octacosane</t>
  </si>
  <si>
    <t>593-49-7</t>
  </si>
  <si>
    <t>N-00245</t>
  </si>
  <si>
    <t>CCCCCCCCCCCCCCCCCCCCCCCCCCC</t>
  </si>
  <si>
    <t>Heptacosane</t>
  </si>
  <si>
    <t>14167-59-0</t>
  </si>
  <si>
    <t>N-00246</t>
  </si>
  <si>
    <t>CCCCCCCCCCCCCCCCCCCCCCCCCCCCCCCCCC</t>
  </si>
  <si>
    <t>Tetratriacontane</t>
  </si>
  <si>
    <t>629-99-2</t>
  </si>
  <si>
    <t>N-00247</t>
  </si>
  <si>
    <t>CCCCCCCCCCCCCCCCCCCCCCCCC</t>
  </si>
  <si>
    <t>Pentacosane</t>
  </si>
  <si>
    <t>630-01-3</t>
  </si>
  <si>
    <t>N-00248</t>
  </si>
  <si>
    <t>CCCCCCCCCCCCCCCCCCCCCCCCCC</t>
  </si>
  <si>
    <t>Hexacosane</t>
  </si>
  <si>
    <t>646-31-1</t>
  </si>
  <si>
    <t>N-00249</t>
  </si>
  <si>
    <t>CCCCCCCCCCCCCCCCCCCCCCCC</t>
  </si>
  <si>
    <t>Tetracosane</t>
  </si>
  <si>
    <t>630-07-9</t>
  </si>
  <si>
    <t>N-00250</t>
  </si>
  <si>
    <t>CCCCCCCCCCCCCCCCCCCCCCCCCCCCCCCCCCC</t>
  </si>
  <si>
    <t>Pentatriacontane</t>
  </si>
  <si>
    <t>638-67-5</t>
  </si>
  <si>
    <t>N-00251</t>
  </si>
  <si>
    <t>CCCCCCCCCCCCCCCCCCCCCCC</t>
  </si>
  <si>
    <t>Tricosane</t>
  </si>
  <si>
    <t>630-06-8</t>
  </si>
  <si>
    <t>N-00252</t>
  </si>
  <si>
    <t>CCCCCCCCCCCCCCCCCCCCCCCCCCCCCCCCCCCC</t>
  </si>
  <si>
    <t>Hexatriacontane</t>
  </si>
  <si>
    <t>629-97-0</t>
  </si>
  <si>
    <t>N-00253</t>
  </si>
  <si>
    <t>CCCCCCCCCCCCCCCCCCCCCC</t>
  </si>
  <si>
    <t>Docosane</t>
  </si>
  <si>
    <t>7194-84-5</t>
  </si>
  <si>
    <t>N-00254</t>
  </si>
  <si>
    <t>CCCCCCCCCCCCCCCCCCCCCCCCCCCCCCCCCCCCC</t>
  </si>
  <si>
    <t>Heptatriacontane</t>
  </si>
  <si>
    <t>629-94-7</t>
  </si>
  <si>
    <t>N-00255</t>
  </si>
  <si>
    <t>CCCCCCCCCCCCCCCCCCCCC</t>
  </si>
  <si>
    <t>Heneicosane</t>
  </si>
  <si>
    <t>7194-85-6</t>
  </si>
  <si>
    <t>N-00256</t>
  </si>
  <si>
    <t>CCCCCCCCCCCCCCCCCCCCCCCCCCCCCCCCCCCCCC</t>
  </si>
  <si>
    <t>Octatriacontane</t>
  </si>
  <si>
    <t>7194-86-7</t>
  </si>
  <si>
    <t>N-00257</t>
  </si>
  <si>
    <t>CCCCCCCCCCCCCCCCCCCCCCCCCCCCCCCCCCCCCCC</t>
  </si>
  <si>
    <t>Nonatriacontane</t>
  </si>
  <si>
    <t>629-92-5</t>
  </si>
  <si>
    <t>N-00258</t>
  </si>
  <si>
    <t>CCCCCCCCCCCCCCCCCCC</t>
  </si>
  <si>
    <t>Nonadecane</t>
  </si>
  <si>
    <t>5617-32-3</t>
  </si>
  <si>
    <t>N-00259</t>
  </si>
  <si>
    <t>OCCOCCOCCOCCOCCOCCOCCO</t>
  </si>
  <si>
    <t>Heptaethylene glycol</t>
  </si>
  <si>
    <t>5117-19-1</t>
  </si>
  <si>
    <t>N-00260</t>
  </si>
  <si>
    <t>OCCOCCOCCOCCOCCOCCOCCOCCO</t>
  </si>
  <si>
    <t>Octaethylene glycol</t>
  </si>
  <si>
    <t>2615-15-8</t>
  </si>
  <si>
    <t>N-00261</t>
  </si>
  <si>
    <t>OCCOCCOCCOCCOCCOCCO</t>
  </si>
  <si>
    <t>Hexaethylene glycol</t>
  </si>
  <si>
    <t>4792-15-8</t>
  </si>
  <si>
    <t>N-00262</t>
  </si>
  <si>
    <t>OCCOCCOCCOCCOCCO</t>
  </si>
  <si>
    <t>Pentaethylene glycol</t>
  </si>
  <si>
    <t>3386-18-3</t>
  </si>
  <si>
    <t>N-00263</t>
  </si>
  <si>
    <t>OCCOCCOCCOCCOCCOCCOCCOCCOCCO</t>
  </si>
  <si>
    <t>Nonaethylene glycol</t>
  </si>
  <si>
    <t>112-60-7</t>
  </si>
  <si>
    <t>N-00264</t>
  </si>
  <si>
    <t>OCCOCCOCCOCCO</t>
  </si>
  <si>
    <t>Tetraethylene glycol</t>
  </si>
  <si>
    <t>112-95-8</t>
  </si>
  <si>
    <t>N-00265</t>
  </si>
  <si>
    <t>CCCCCCCCCCCCCCCCCCCC</t>
  </si>
  <si>
    <t>Eicosane</t>
  </si>
  <si>
    <t>123-42-2</t>
  </si>
  <si>
    <t>N-00266</t>
  </si>
  <si>
    <t>CC(CC(C)(O)C)=O</t>
  </si>
  <si>
    <t>O=C(C)CC(O)(C)C</t>
  </si>
  <si>
    <t>2-Pentanone, 4-hydroxy-4-methyl-</t>
  </si>
  <si>
    <t>1720-12-3</t>
  </si>
  <si>
    <t>N-00267</t>
  </si>
  <si>
    <t>CCCCCCCCCCCCCCCCCCCCCCCCCCCCCC(C)C</t>
  </si>
  <si>
    <t>2-Methylhentriacontane</t>
  </si>
  <si>
    <t>1740-19-8</t>
  </si>
  <si>
    <t>N-00268</t>
  </si>
  <si>
    <t>CC(C1=CC=C2C(CC[C@H]3[C@@](CCC[C@]23C)(C(O)=O)C)=C1)C</t>
  </si>
  <si>
    <t>O=C(O)C2(C)(CCCC3(c1ccc(cc1CCC23)C(C)C)(C))</t>
  </si>
  <si>
    <t>Dehydroabietic acid</t>
  </si>
  <si>
    <t>88-29-9</t>
  </si>
  <si>
    <t>N-00269</t>
  </si>
  <si>
    <t>CCC1=CC2=C(C(C)(CCC2(C)C)C)C=C1C(C)=O</t>
  </si>
  <si>
    <t>O=C(c1cc2c(cc1CC)C(C)(C)CCC2(C)C)C</t>
  </si>
  <si>
    <t>7-Acetyl-6-ethyl-1,1,4,4-tetramethyltetralin</t>
  </si>
  <si>
    <t>5835-26-7</t>
  </si>
  <si>
    <t>N-00270</t>
  </si>
  <si>
    <t>C[C@]1(C=C)CC[C@H]2C(C1)=CC[C@@H]3[C@@]2(CCC[C@]3(C(O)=O)C)C</t>
  </si>
  <si>
    <t>O=C(O)C1(C)(CCCC2(C)(C3C(=CCC12)CC(C=C)(C)CC3))</t>
  </si>
  <si>
    <t>Isopimaric acid</t>
  </si>
  <si>
    <t>4981-99-1</t>
  </si>
  <si>
    <t>N-00271</t>
  </si>
  <si>
    <t>CCCCCCCCCCCCCCCCCCCCCCCCCCCC[C@H](CC)C</t>
  </si>
  <si>
    <t>CCCCCCCCCCCCCCCCCCCCCCCCCCCCC(C)CC</t>
  </si>
  <si>
    <t>Hentriacontane, 3-methyl-</t>
  </si>
  <si>
    <t xml:space="preserve">  --&gt; add sentence in remark fields + in reg source</t>
  </si>
  <si>
    <t>72227-01-1</t>
  </si>
  <si>
    <t>N-00272</t>
  </si>
  <si>
    <t>CCCCCCCCCCCCCCCCCCCCCCCCCCC[C@H](CC)C</t>
  </si>
  <si>
    <t>CCCCCCCCCCCCCCCCCCCCCCCCCCCC(C)CC</t>
  </si>
  <si>
    <t>3-Methyltriacontane</t>
  </si>
  <si>
    <t>1560-98-1</t>
  </si>
  <si>
    <t>N-00273</t>
  </si>
  <si>
    <t>CCCCCCCCCCCCCCCCCCCCCCCCCCC(C)C</t>
  </si>
  <si>
    <t>Octacosane, 2-methyl-</t>
  </si>
  <si>
    <t>1561-00-8</t>
  </si>
  <si>
    <t>N-00274</t>
  </si>
  <si>
    <t>CCCCCCCCCCCCCCCCCCCCCCCCCC(C)C</t>
  </si>
  <si>
    <t>2-Methylheptacosane</t>
  </si>
  <si>
    <t>1235-74-1</t>
  </si>
  <si>
    <t>N-00276</t>
  </si>
  <si>
    <t>COC([C@@]1(CCC[C@]2([C@H]1CCC3=CC(C(C)C)=CC=C23)C)C)=O</t>
  </si>
  <si>
    <t>O=C(OC)C2(C)(CCCC3(c1ccc(cc1CCC23)C(C)C)(C))</t>
  </si>
  <si>
    <t>1-Phenanthrenecarboxylic acid, 1,2,3,4,4a,9,10,10a-octahydro-1,4a-dimethyl-7-(1-methylethyl)-, methyl ester, [1R-(1.alpha.,4a.beta.,10a.alpha.)]-</t>
  </si>
  <si>
    <t>65820-58-8</t>
  </si>
  <si>
    <t>N-00277</t>
  </si>
  <si>
    <t>CCCCCCCCCCCCCCCCCCCCCCCCC[C@H](CC)C</t>
  </si>
  <si>
    <t>CCCCCCCCCCCCCCCCCCCCCCCCCC(C)CC</t>
  </si>
  <si>
    <t>3-Methyloctacosane</t>
  </si>
  <si>
    <t>438-22-2</t>
  </si>
  <si>
    <t>N-00278</t>
  </si>
  <si>
    <t>C[C@@]12CCC[C@H]1[C@@H]3CC[C@H]4CCCC[C@@]4([C@H]3CC2)C</t>
  </si>
  <si>
    <t>CC24(CCCC4(C3CCC1CCCCC1(C)C3(CC2)))</t>
  </si>
  <si>
    <t>Androstane, (5.alpha.)- or isomer</t>
  </si>
  <si>
    <t>623-39-2</t>
  </si>
  <si>
    <t>N-00279</t>
  </si>
  <si>
    <t>COCC(CO)O</t>
  </si>
  <si>
    <t>OCC(O)COC</t>
  </si>
  <si>
    <t>1,2-Propanediol, 3-methoxy-</t>
  </si>
  <si>
    <t>629-87-8</t>
  </si>
  <si>
    <t>N-00280</t>
  </si>
  <si>
    <t>CCCCCCCCCCCCCCCCCCCCCCCC(C)C</t>
  </si>
  <si>
    <t>2-Methylpentacosane</t>
  </si>
  <si>
    <t>38754-94-8</t>
  </si>
  <si>
    <t>N-00281</t>
  </si>
  <si>
    <t>CC1=C2CCC(C)(C)C2=C(C)C3=C1C(CC3(C)C)=O</t>
  </si>
  <si>
    <t>O=C2c1c(c3c(c(c1C(C)(C)C2)C)C(C)(C)CC3)C</t>
  </si>
  <si>
    <t>s-Indacen-1(2H)-one, 3,5,6,7-tetrahydro-3,3,4,5,5,8-hexamethyl-</t>
  </si>
  <si>
    <t>54120-69-3</t>
  </si>
  <si>
    <t>N-00282</t>
  </si>
  <si>
    <t>OCC1OC(CO)COC1</t>
  </si>
  <si>
    <t>1,4-Dioxane-2,6-dimethanol</t>
  </si>
  <si>
    <t>32624-67-2</t>
  </si>
  <si>
    <t>N-00283</t>
  </si>
  <si>
    <t>C[C@H]1CCC[C@H]2[C@H]1CCC3=C2C=CC(C(C)C)=C3</t>
  </si>
  <si>
    <t>c1cc2c(cc1C(C)C)CCC3C2CCCC3(C)</t>
  </si>
  <si>
    <t>10,18-Bisnorabieta-8,11,13-triene</t>
  </si>
  <si>
    <t>88-58-4</t>
  </si>
  <si>
    <t>N-00284</t>
  </si>
  <si>
    <t>CC(C)(C1=CC(O)=C(C(C)(C)C)C=C1O)C</t>
  </si>
  <si>
    <t>Oc1cc(c(O)cc1C(C)(C)C)C(C)(C)C</t>
  </si>
  <si>
    <t>1,4-Benzenediol, 2,5-bis(1,1-dimethylethyl)-</t>
  </si>
  <si>
    <t>88-26-6</t>
  </si>
  <si>
    <t>N-00285</t>
  </si>
  <si>
    <t>CC(C)(C1=CC(CO)=CC(C(C)(C)C)=C1O)C</t>
  </si>
  <si>
    <t>Oc1c(cc(cc1C(C)(C)C)CO)C(C)(C)C</t>
  </si>
  <si>
    <t>3,5-di-tert-Butyl-4-hydroxybenzyl alcohol</t>
  </si>
  <si>
    <t>105-99-7</t>
  </si>
  <si>
    <t>N-00286</t>
  </si>
  <si>
    <t>CCCCOC(CCCCC(OCCCC)=O)=O</t>
  </si>
  <si>
    <t>O=C(OCCCC)CCCCC(=O)OCCCC</t>
  </si>
  <si>
    <t>Dibutyl adipate / DBA</t>
  </si>
  <si>
    <t>N-00287-1</t>
  </si>
  <si>
    <t>O=C(OCCCCOC1=O)CCCCC(OCCCCOC(CCCCC(OCCCCOC(C2=CC=C(C=C2)C(OCCCCOC(C3=CC=C1C=C3)=O)=O)=O)=O)=O)=O</t>
  </si>
  <si>
    <t>O=C3OCCCCOC(=O)c1ccc(cc1)C(=O)OCCCCOC(=O)CCCCC(=O)OCCCCOC(=O)CCCCC(=O)OCCCCOC(=O)c2ccc3(cc2)</t>
  </si>
  <si>
    <t>Cyclic 4BD+2AA+2TPA</t>
  </si>
  <si>
    <t>N-00287-2</t>
  </si>
  <si>
    <t>O=C(OCCCCOC1=O)CCCCC(OCCCCOC(C2=CC=C(C=C2)C(OCCCCOC(CCCCC(OCCCCOC(C3=CC=C1C=C3)=O)=O)=O)=O)=O)=O</t>
  </si>
  <si>
    <t>O=C3OCCCCOC(=O)CCCCC(=O)OCCCCOC(=O)c1ccc(cc1)C(=O)OCCCCOC(=O)CCCCC(=O)OCCCCOC(=O)c2ccc3(cc2)</t>
  </si>
  <si>
    <t>N-00288</t>
  </si>
  <si>
    <t>O=C(OCCCCOC1=O)CCCCC(OCCCCOC(CCCCC(OCCCCOC(CCCCC(OCCCCOC(CCCCC(OCCCCOC(C2=CC=C1C=C2)=O)=O)=O)=O)=O)=O)=O)=O</t>
  </si>
  <si>
    <t>O=C2OCCCCOC(=O)CCCCC(=O)OCCCCOC(=O)CCCCC(=O)OCCCCOC(=O)CCCCC(=O)OCCCCOC(=O)CCCCC(=O)OCCCCOC(=O)c1ccc2(cc1)</t>
  </si>
  <si>
    <t>5BD+4AA+TPA cyclic</t>
  </si>
  <si>
    <t>N-00289</t>
  </si>
  <si>
    <t>O=C(OCCCCOC(C1=CC=C(C=C1)C(OCCCCOC(C2=CC=C3C=C2)=O)=O)=O)C4=CC=C(C=C4)C(OCCCCOC3=O)=O</t>
  </si>
  <si>
    <t>O=C4OCCCCOC(=O)c1ccc(cc1)C(=O)OCCCCOC(=O)c2ccc(cc2)C(=O)OCCCCOC(=O)c3ccc4(cc3)</t>
  </si>
  <si>
    <t>3BD+3TPA cyclic</t>
  </si>
  <si>
    <t>506-32-1</t>
  </si>
  <si>
    <t>N-00290</t>
  </si>
  <si>
    <t>CCCCC/C=C/C/C=C/C/C=C/C/C=C/CCCC(O)=O</t>
  </si>
  <si>
    <t>O=C(O)CCCC=CCC=CCC=CCC=CCCCCC</t>
  </si>
  <si>
    <t>Arachidonic acid</t>
  </si>
  <si>
    <t>514-10-3</t>
  </si>
  <si>
    <t>N-00291</t>
  </si>
  <si>
    <t>CC(C1=CC2=CC[C@@H]3[C@](CCC[C@]3(C(O)=O)C)([C@H]2CC1)C)C</t>
  </si>
  <si>
    <t>O=C(O)C2(C)(CCCC3(C)(C1C(C=C(CC1)C(C)C)=CCC23))</t>
  </si>
  <si>
    <t>Abietic acid</t>
  </si>
  <si>
    <t>127-27-5</t>
  </si>
  <si>
    <t>N-00292</t>
  </si>
  <si>
    <t>C[C@@]1(C=C)CC[C@H]2C(CC[C@@H]3[C@@]2(CCC[C@]3(C(O)=O)C)C)=C1</t>
  </si>
  <si>
    <t>O=C(O)C2(C)(CCCC3(C)(C1C(=CC(C=C)(C)CC1)CCC23))</t>
  </si>
  <si>
    <t>Pimaric acid</t>
  </si>
  <si>
    <t>4170-30-3</t>
  </si>
  <si>
    <t>N-00293</t>
  </si>
  <si>
    <t>C/C=C\C=O</t>
  </si>
  <si>
    <t>O=CC=CC</t>
  </si>
  <si>
    <t>2-Butenal</t>
  </si>
  <si>
    <t>2021-235</t>
  </si>
  <si>
    <t>low risk levels established (contact CRA)</t>
  </si>
  <si>
    <t>822-06-0</t>
  </si>
  <si>
    <t>N-00294</t>
  </si>
  <si>
    <t>O=C=NCCCCCCN=C=O</t>
  </si>
  <si>
    <t>Hexane, 1,6-diisocyanato-</t>
  </si>
  <si>
    <t>96-48-0</t>
  </si>
  <si>
    <t>N-00295</t>
  </si>
  <si>
    <t>O=C1CCCO1</t>
  </si>
  <si>
    <t>O=C1OCCC1</t>
  </si>
  <si>
    <t>Butyrolactone</t>
  </si>
  <si>
    <t>N-00296</t>
  </si>
  <si>
    <t>O=C(OCCCCOC1=O)CCCCC(OCCCCOC(C2=CC=C(C=C2)C(OCCCCOC(C3=CC=C(C=C3)C(OCCCCOC(C4=CC=C1C=C4)=O)=O)=O)=O)=O)=O</t>
  </si>
  <si>
    <t>O=C4OCCCCOC(=O)c1ccc(cc1)C(=O)OCCCCOC(=O)CCCCC(=O)OCCCCOC(=O)c2ccc(cc2)C(=O)OCCCCOC(=O)c3ccc4(cc3)</t>
  </si>
  <si>
    <t>4BD+AA+3TPA cyclic</t>
  </si>
  <si>
    <t>N-00297-1</t>
  </si>
  <si>
    <t>O=C(OCCCCOC1=O)CCCCC(OCCCCOC(CCCCC(OCCCCOC(CCCCC(OCCCCOC(C2=CC=C(C=C2)C(OCCCCOC(C3=CC=C1C=C3)=O)=O)=O)=O)=O)=O)=O)=O</t>
  </si>
  <si>
    <t>O=C3OCCCCOC(=O)c1ccc(cc1)C(=O)OCCCCOC(=O)CCCCC(=O)OCCCCOC(=O)CCCCC(=O)OCCCCOC(=O)CCCCC(=O)OCCCCOC(=O)c2ccc3(cc2)</t>
  </si>
  <si>
    <t>Cyclic 5BD+3AA+2TPA</t>
  </si>
  <si>
    <t>N-00297-2</t>
  </si>
  <si>
    <t>O=C(OCCCCOC1=O)CCCCC(OCCCCOC(CCCCC(OCCCCOC(C2=CC=C(C=C2)C(OCCCCOC(CCCCC(OCCCCOC(C3=CC=C1C=C3)=O)=O)=O)=O)=O)=O)=O)=O</t>
  </si>
  <si>
    <t>O=C3OCCCCOC(=O)CCCCC(=O)OCCCCOC(=O)c1ccc(cc1)C(=O)OCCCCOC(=O)CCCCC(=O)OCCCCOC(=O)CCCCC(=O)OCCCCOC(=O)c2ccc3(cc2)</t>
  </si>
  <si>
    <t>95-16-9</t>
  </si>
  <si>
    <t>N-00298</t>
  </si>
  <si>
    <t>[H]C1=C([H])C([H])=C([H])C2=C1N=C([H])S2</t>
  </si>
  <si>
    <t>n1csc2ccccc12</t>
  </si>
  <si>
    <t xml:space="preserve">Benzothiazole                                                                                                                                                                                                                                                   </t>
  </si>
  <si>
    <t>Not determined</t>
  </si>
  <si>
    <t>540-97-6</t>
  </si>
  <si>
    <t>N-00299</t>
  </si>
  <si>
    <t>[H]C([H])([H])[Si](C([H])([H])[H])(O[Si](C([H])([H])[H])(C([H])([H])[H])O[Si](C([H])([H])[H])(C([H])([H])[H])O1)O[Si](C([H])([H])[H])(C([H])([H])[H])O[Si](C([H])([H])[H])(C([H])([H])[H])O[Si]1(C([H])([H])[H])C([H])([H])[H]</t>
  </si>
  <si>
    <t>O1[Si](O[Si](O[Si](O[Si](O[Si](O[Si]1(C)C)(C)C)(C)C)(C)C)(C)C)(C)C</t>
  </si>
  <si>
    <t>Cyclohexasiloxane, dodecamethyl-</t>
  </si>
  <si>
    <t>N-00300</t>
  </si>
  <si>
    <t>OCCCCOC(CCCCC(OCCCCOC(C1=CC=C(C=C1)C(OCCCCO)=O)=O)=O)=O</t>
  </si>
  <si>
    <t>O=C(OCCCCO)c1ccc(cc1)C(=O)OCCCCOC(=O)CCCCC(=O)OCCCCO</t>
  </si>
  <si>
    <t>3BD+AA+TPA linear</t>
  </si>
  <si>
    <t>N-00301</t>
  </si>
  <si>
    <t>O=C(OCCCCOC(CCCC1)=O)CCCCC(OCCCCOC(CCCCC(OCCCCOC(CCCCC(OCCCCOC(CCCCC(OCCCCOC1=O)=O)=O)=O)=O)=O)=O)=O</t>
  </si>
  <si>
    <t>O=C1OCCCCOC(=O)CCCCC(=O)OCCCCOC(=O)CCCCC(=O)OCCCCOC(=O)CCCCC(=O)OCCCCOC(=O)CCCCC(=O)OCCCCOC(=O)CCCC1</t>
  </si>
  <si>
    <t>5BD+5AA cyclic</t>
  </si>
  <si>
    <t>N-00302</t>
  </si>
  <si>
    <t>[H]OCCCCOC(CCC(OCCCCOC(CCC(O)=O)=O)=O)=O</t>
  </si>
  <si>
    <t>O=C(O)CCC(=O)OCCCCOC(=O)CCC(=O)OCCCCO</t>
  </si>
  <si>
    <t>2BD+2SuA linear</t>
  </si>
  <si>
    <t>N-00303</t>
  </si>
  <si>
    <t>OCCCCOC(C1=CC=C(C=C1)C(OCCCCO)=O)=O</t>
  </si>
  <si>
    <t>O=C(OCCCCO)c1ccc(cc1)C(=O)OCCCCO</t>
  </si>
  <si>
    <t>2BD+TPA linear</t>
  </si>
  <si>
    <t>N-00304</t>
  </si>
  <si>
    <t>OCCCCOC(CCCCC(OCCCCOC(CCCCC(OCCCCOC(CCCCC(OCCCCO)=O)=O)=O)=O)=O)=O</t>
  </si>
  <si>
    <t>O=C(OCCCCO)CCCCC(=O)OCCCCOC(=O)CCCCC(=O)OCCCCOC(=O)CCCCC(=O)OCCCCO</t>
  </si>
  <si>
    <t>4BD+3AA linear</t>
  </si>
  <si>
    <t>N-00305-1</t>
  </si>
  <si>
    <t>O=C(CCCCC(OCCCCOC(CCCCC(OCCCCOC(C1=CC=C(C(OCCCCOC(C2=CC=C(C(OCCCCOC(C3=CC=C4C=C3)=O)=O)C=C2)=O)=O)C=C1)=O)=O)=O)=O)OCCCCOC4=O</t>
  </si>
  <si>
    <t>O=C4OCCCCOC(=O)c1ccc(cc1)C(=O)OCCCCOC(=O)CCCCC(=O)OCCCCOC(=O)CCCCC(=O)OCCCCOC(=O)c2ccc(cc2)C(=O)OCCCCOC(=O)c3ccc4(cc3)</t>
  </si>
  <si>
    <t>Cyclic 5BD+2AA+3TPA</t>
  </si>
  <si>
    <t>N-00305-2</t>
  </si>
  <si>
    <t>O=C(OCCCCOC1=O)CCCCC(OCCCCOC(C2=CC=C(C=C2)C(OCCCCOC(C3=CC=C(C=C3)C(OCCCCOC(CCCCC(OCCCCOC(C4=CC=C1C=C4)=O)=O)=O)=O)=O)=O)=O)=O</t>
  </si>
  <si>
    <t>O=C4OCCCCOC(=O)c1ccc(cc1)C(=O)OCCCCOC(=O)CCCCC(=O)OCCCCOC(=O)c2ccc(cc2)C(=O)OCCCCOC(=O)CCCCC(=O)OCCCCOC(=O)c3ccc4(cc3)</t>
  </si>
  <si>
    <t>N-00306-1</t>
  </si>
  <si>
    <t>OCCCCOC(CCCCC(OCCCCOC(CCCCC(OCCCCOC(CCCCC(OCCCCOC(C1=CC=C(C=C1)C(OCCCCO)=O)=O)=O)=O)=O)=O)=O)=O</t>
  </si>
  <si>
    <t>O=C(OCCCCO)c1ccc(cc1)C(=O)OCCCCOC(=O)CCCCC(=O)OCCCCOC(=O)CCCCC(=O)OCCCCOC(=O)CCCCC(=O)OCCCCO</t>
  </si>
  <si>
    <t>5BD+3AA+TPA linear</t>
  </si>
  <si>
    <t>N-00306-2</t>
  </si>
  <si>
    <t>OCCCCOC(CCCCC(OCCCCOC(CCCCC(OCCCCOC(C1=CC=C(C=C1)C(OCCCCOC(CCCCC(OCCCCO)=O)=O)=O)=O)=O)=O)=O)=O</t>
  </si>
  <si>
    <t>O=C(OCCCCOC(=O)CCCCC(=O)OCCCCO)c1ccc(cc1)C(=O)OCCCCOC(=O)CCCCC(=O)OCCCCOC(=O)CCCCC(=O)OCCCCO</t>
  </si>
  <si>
    <t>N-00307</t>
  </si>
  <si>
    <t>[H]OCCCCOC(CCC(OCCCCOC(CCC(OCCCCOC(CCC(OCCCCOC(CCC(OCCCCO[H])=O)=O)=O)=O)=O)=O)=O)=O</t>
  </si>
  <si>
    <t>O=C(OCCCCO)CCC(=O)OCCCCOC(=O)CCC(=O)OCCCCOC(=O)CCC(=O)OCCCCOC(=O)CCC(=O)OCCCCO</t>
  </si>
  <si>
    <t>5BD+4SuA linear</t>
  </si>
  <si>
    <t>N-00308</t>
  </si>
  <si>
    <t>OCCCCOC(CCCCC(OCCCCOC(CCCCC(O)=O)=O)=O)=O</t>
  </si>
  <si>
    <t>O=C(O)CCCCC(=O)OCCCCOC(=O)CCCCC(=O)OCCCCO</t>
  </si>
  <si>
    <t>2BD+2AA linear</t>
  </si>
  <si>
    <t>N-00309-1</t>
  </si>
  <si>
    <t>OCCCCOC(CCCCC(OCCCCOC(C1=CC=C(C=C1)C(O)=O)=O)=O)=O</t>
  </si>
  <si>
    <t>O=C(O)c1ccc(cc1)C(=O)OCCCCOC(=O)CCCCC(=O)OCCCCO</t>
  </si>
  <si>
    <t>2BD+AA+TPA linear</t>
  </si>
  <si>
    <t>N-00309-2</t>
  </si>
  <si>
    <t>OCCCCOC(C1=CC=C(C=C1)C(OCCCCOC(CCCCC(O)=O)=O)=O)=O</t>
  </si>
  <si>
    <t>O=C(O)CCCCC(=O)OCCCCOC(=O)c1ccc(cc1)C(=O)OCCCCO</t>
  </si>
  <si>
    <t>105-40-8</t>
  </si>
  <si>
    <t>N-00310</t>
  </si>
  <si>
    <t>CCOC(NC)=O</t>
  </si>
  <si>
    <t>O=C(OCC)NC</t>
  </si>
  <si>
    <t>Ethyl methylcarbamate</t>
  </si>
  <si>
    <t>Alkyl amide, urea, thiourea, nitroso urea, carbonate, guanidine and carbamate derivatives (21b1);Alkyl amide, urea, thiourea, nitroso urea, carbonate, guanidine and carbamate derivatives (21b1) &gt;&gt; Carbamate analogs;Known precedent reproductive and developmental toxic potential</t>
  </si>
  <si>
    <t>79-20-9</t>
  </si>
  <si>
    <t>N-00311</t>
  </si>
  <si>
    <t>COC(C)=O</t>
  </si>
  <si>
    <t>O=C(OC)C</t>
  </si>
  <si>
    <t>Acetic acid, methyl ester</t>
  </si>
  <si>
    <t>3102-33-8</t>
  </si>
  <si>
    <t>N-00312</t>
  </si>
  <si>
    <t>C/C=C/C(C)=O</t>
  </si>
  <si>
    <t>O=C(C=CC)C</t>
  </si>
  <si>
    <t>3-Penten-2-one, (E)-</t>
  </si>
  <si>
    <t>64-19-7</t>
  </si>
  <si>
    <t>N-00313</t>
  </si>
  <si>
    <t>CC(O)=O</t>
  </si>
  <si>
    <t>O=C(O)C</t>
  </si>
  <si>
    <t>Acetic acid</t>
  </si>
  <si>
    <t>10  (mg/m3),</t>
  </si>
  <si>
    <t>18402-90-9</t>
  </si>
  <si>
    <t>N-00314</t>
  </si>
  <si>
    <t>CC(/C=C/C=C/C)=O</t>
  </si>
  <si>
    <t>O=C(C=CC=CC)C</t>
  </si>
  <si>
    <t>trans,trans-3,5-Heptadien-2-one</t>
  </si>
  <si>
    <t>17609-31-3</t>
  </si>
  <si>
    <t>N-00315</t>
  </si>
  <si>
    <t>C/C=C/C=C/C=C/C=O</t>
  </si>
  <si>
    <t>O=CC=CC=CC=CC</t>
  </si>
  <si>
    <t>2,4,6-Octatrienal</t>
  </si>
  <si>
    <t>6117-91-5</t>
  </si>
  <si>
    <t>N-00316</t>
  </si>
  <si>
    <t>C/C=C\CO</t>
  </si>
  <si>
    <t>OCC=CC</t>
  </si>
  <si>
    <t>2-Buten-1-ol</t>
  </si>
  <si>
    <t>71-43-2</t>
  </si>
  <si>
    <t>N-00317</t>
  </si>
  <si>
    <t>C1=CC=CC=C1</t>
  </si>
  <si>
    <t>c1ccccc1</t>
  </si>
  <si>
    <t>Benzene</t>
  </si>
  <si>
    <t xml:space="preserve"> ECHA REACH</t>
  </si>
  <si>
    <r>
      <t>169</t>
    </r>
    <r>
      <rPr>
        <vertAlign val="superscript"/>
        <sz val="13"/>
        <color indexed="10"/>
        <rFont val="Helv"/>
      </rPr>
      <t>m</t>
    </r>
  </si>
  <si>
    <r>
      <t>77.5</t>
    </r>
    <r>
      <rPr>
        <vertAlign val="superscript"/>
        <sz val="13"/>
        <color indexed="10"/>
        <rFont val="Helv"/>
      </rPr>
      <t>m,v</t>
    </r>
  </si>
  <si>
    <t>98-86-2</t>
  </si>
  <si>
    <t>N-00318</t>
  </si>
  <si>
    <t>CC(C1=CC=CC=C1)=O</t>
  </si>
  <si>
    <t>O=C(c1ccccc1)C</t>
  </si>
  <si>
    <t>Acetophenone</t>
  </si>
  <si>
    <t>56392-46-2</t>
  </si>
  <si>
    <t>N-00319</t>
  </si>
  <si>
    <t>CCCCC#C/C=C\C</t>
  </si>
  <si>
    <t>C(#CCCCC)C=CC</t>
  </si>
  <si>
    <t>2-Nonen-4-yne, (Z)- (or (E)-)</t>
  </si>
  <si>
    <t>2550-26-7</t>
  </si>
  <si>
    <t>N-00320</t>
  </si>
  <si>
    <t>CC(CCC1=CC=CC=C1)=O</t>
  </si>
  <si>
    <t>O=C(C)CCc1ccccc1</t>
  </si>
  <si>
    <t>2-Butanone, 4-phenyl-</t>
  </si>
  <si>
    <t>629-15-2</t>
  </si>
  <si>
    <t>N-00321</t>
  </si>
  <si>
    <t>O=COCCOC=O</t>
  </si>
  <si>
    <t>1,2-Ethanediol, diformate</t>
  </si>
  <si>
    <t>LOW-Both predictions in agreement</t>
  </si>
  <si>
    <t>104-87-0</t>
  </si>
  <si>
    <t>N-00322</t>
  </si>
  <si>
    <t>CC1=CC=C(C=C1)C=O</t>
  </si>
  <si>
    <t>O=Cc1ccc(cc1)C</t>
  </si>
  <si>
    <t>Benzaldehyde, 4-methyl-</t>
  </si>
  <si>
    <t>1576-87-0</t>
  </si>
  <si>
    <t>N-00323</t>
  </si>
  <si>
    <t>CC/C=C/C=O</t>
  </si>
  <si>
    <t>O=CC=CCC</t>
  </si>
  <si>
    <t>2-Pentenal, (E)-</t>
  </si>
  <si>
    <t>625-31-0</t>
  </si>
  <si>
    <t>N-00324</t>
  </si>
  <si>
    <t>C[C@H](CC=C)O</t>
  </si>
  <si>
    <t>OC(C)CC=C</t>
  </si>
  <si>
    <t>4-Penten-2-ol</t>
  </si>
  <si>
    <t>1540-34-7</t>
  </si>
  <si>
    <t>N-00325</t>
  </si>
  <si>
    <t>CCC(C(C)=O)C(C)=O</t>
  </si>
  <si>
    <t>O=C(C)C(C(=O)C)CC</t>
  </si>
  <si>
    <t>2,4-Pentanedione, 3-ethyl-</t>
  </si>
  <si>
    <t>13894-61-6</t>
  </si>
  <si>
    <t>N-00326</t>
  </si>
  <si>
    <t>CC/C=C/CC(OC)=O</t>
  </si>
  <si>
    <t>O=C(OC)CC=CCC</t>
  </si>
  <si>
    <t>3-Hexenoic acid, methyl ester, (E)-</t>
  </si>
  <si>
    <t>13505-34-5</t>
  </si>
  <si>
    <t>N-00327</t>
  </si>
  <si>
    <t>CC(CCCC(C)=O)=O</t>
  </si>
  <si>
    <t>O=C(C)CCCC(=O)C</t>
  </si>
  <si>
    <t>2,6-Heptanedione</t>
  </si>
  <si>
    <t>111-28-4</t>
  </si>
  <si>
    <t>N-00328</t>
  </si>
  <si>
    <t>CC=CC=CCO</t>
  </si>
  <si>
    <t>OCC=CC=CC</t>
  </si>
  <si>
    <t>2,4-Hexadien-1-ol</t>
  </si>
  <si>
    <t>505-57-7</t>
  </si>
  <si>
    <t>N-00329</t>
  </si>
  <si>
    <t>CCC/C=C/C=O</t>
  </si>
  <si>
    <t>O=CC=CCCC</t>
  </si>
  <si>
    <t>2-Hexenal</t>
  </si>
  <si>
    <t>25612-59-3</t>
  </si>
  <si>
    <t>N-00330</t>
  </si>
  <si>
    <t>CC(C)=CCC/C(C)=C/CC/C(C)=C/CC[C@@]1(CCC2=CC(O)=CC(C)=C2O1)C</t>
  </si>
  <si>
    <t>Oc1cc(c2OC(C)(CCC=C(C)CCC=C(C)CCC=C(C)C)CCc2(c1))C</t>
  </si>
  <si>
    <t>d-Tocotrienol</t>
  </si>
  <si>
    <t>110-43-0</t>
  </si>
  <si>
    <t>N-00331</t>
  </si>
  <si>
    <t>CCCCCC(C)=O</t>
  </si>
  <si>
    <t>O=C(C)CCCCC</t>
  </si>
  <si>
    <t>2-Heptanone</t>
  </si>
  <si>
    <t>2883-45-6</t>
  </si>
  <si>
    <t>N-00332</t>
  </si>
  <si>
    <t>OC(CC=C)CC=C</t>
  </si>
  <si>
    <t>1,6-Heptadien-4-ol</t>
  </si>
  <si>
    <t>565-61-7</t>
  </si>
  <si>
    <t>N-00333</t>
  </si>
  <si>
    <t>CC[C@H](C(C)=O)C</t>
  </si>
  <si>
    <t>O=C(C)C(C)CC</t>
  </si>
  <si>
    <t>2-Pentanone, 3-methyl-</t>
  </si>
  <si>
    <t>112-53-8</t>
  </si>
  <si>
    <t>N-00334</t>
  </si>
  <si>
    <t>CCCCCCCCCCCCO</t>
  </si>
  <si>
    <t>OCCCCCCCCCCCC</t>
  </si>
  <si>
    <t>1-Dodecanol</t>
  </si>
  <si>
    <t xml:space="preserve">VEGA, ECHA REACH, </t>
  </si>
  <si>
    <t>This substance is authorised to be used as it is covered by the SML for FCM substance 3 or 13 as mixture of alcohols.</t>
  </si>
  <si>
    <t>112-72-1</t>
  </si>
  <si>
    <t>N-00335</t>
  </si>
  <si>
    <t>CCCCCCCCCCCCCCO</t>
  </si>
  <si>
    <t>OCCCCCCCCCCCCCC</t>
  </si>
  <si>
    <t>1-Tetradecanol</t>
  </si>
  <si>
    <t>No Call Data Present (2)</t>
  </si>
  <si>
    <t>629-78-7</t>
  </si>
  <si>
    <t>N-00336</t>
  </si>
  <si>
    <t>CCCCCCCCCCCCCCCCC</t>
  </si>
  <si>
    <t>Heptadecane</t>
  </si>
  <si>
    <t>593-45-3</t>
  </si>
  <si>
    <t>N-00337</t>
  </si>
  <si>
    <t>CCCCCCCCCCCCCCCCCC</t>
  </si>
  <si>
    <t>Octadecane</t>
  </si>
  <si>
    <t>629-59-4</t>
  </si>
  <si>
    <t>N-00338</t>
  </si>
  <si>
    <t>CCCCCCCCCCCCCC</t>
  </si>
  <si>
    <t>Tetradecane</t>
  </si>
  <si>
    <t>124-18-5</t>
  </si>
  <si>
    <t>N-00339</t>
  </si>
  <si>
    <t>CCCCCCCCCC</t>
  </si>
  <si>
    <t>Decane</t>
  </si>
  <si>
    <t>VEGA, Leadscope, ECHA REACH</t>
  </si>
  <si>
    <t>49562-27-8</t>
  </si>
  <si>
    <t>N-00340</t>
  </si>
  <si>
    <t>CCCCCCCCCCCCCCCCCCCCCC#N</t>
  </si>
  <si>
    <t>N#CCCCCCCCCCCCCCCCCCCCCC</t>
  </si>
  <si>
    <t>Docosanonitrile</t>
  </si>
  <si>
    <t>36653-82-4</t>
  </si>
  <si>
    <t>N-00341</t>
  </si>
  <si>
    <t>CCCCCCCCCCCCCCCCO</t>
  </si>
  <si>
    <t>OCCCCCCCCCCCCCCCC</t>
  </si>
  <si>
    <t>1-Hexadecanol</t>
  </si>
  <si>
    <t>544-63-8</t>
  </si>
  <si>
    <t>N-00342</t>
  </si>
  <si>
    <t>CCCCCCCCCCCCCC(O)=O</t>
  </si>
  <si>
    <t>O=C(O)CCCCCCCCCCCCC</t>
  </si>
  <si>
    <t>Myristic acid</t>
  </si>
  <si>
    <t>1117-52-8</t>
  </si>
  <si>
    <t>N-00343</t>
  </si>
  <si>
    <t>CC(C)=CCC/C(C)=C/CC/C(C)=C/CCC(C)=O</t>
  </si>
  <si>
    <t>O=C(C)CCC=C(C)CCC=C(C)CCC=C(C)C</t>
  </si>
  <si>
    <t>Farnesyl Acetone</t>
  </si>
  <si>
    <t>14101-61-2</t>
  </si>
  <si>
    <t>N-00344</t>
  </si>
  <si>
    <t>CC(C)=CCC/C(C)=C/CC/C(C)=C/CC[C@@]1(CCC2=CC(O)=C(C(C)=C2O1)C)C</t>
  </si>
  <si>
    <t>Oc2cc1c(OC(C)(CCC=C(C)CCC=C(C)CCC=C(C)C)CC1)c(c2C)C</t>
  </si>
  <si>
    <t>gamma-Tocotrienol</t>
  </si>
  <si>
    <t>506-12-7</t>
  </si>
  <si>
    <t>N-00345</t>
  </si>
  <si>
    <t>CCCCCCCCCCCCCCCCC(O)=O</t>
  </si>
  <si>
    <t>O=C(O)CCCCCCCCCCCCCCCC</t>
  </si>
  <si>
    <t>Heptadecanoic acid</t>
  </si>
  <si>
    <t>29743-97-3</t>
  </si>
  <si>
    <t>N-00346</t>
  </si>
  <si>
    <t>OC(CCCCCCCC/C=C\CCCCCC)=O</t>
  </si>
  <si>
    <t>O=C(O)CCCCCCCCC=CCCCCCC</t>
  </si>
  <si>
    <t>10Z-Heptadecenoic acid</t>
  </si>
  <si>
    <t>is insaturation falling into this category?</t>
  </si>
  <si>
    <t>13419-69-7</t>
  </si>
  <si>
    <t>N-00347</t>
  </si>
  <si>
    <t>CCC/C=C/C(O)=O</t>
  </si>
  <si>
    <t>O=C([O-])C=CCCC</t>
  </si>
  <si>
    <t>2E-Hexenoic acid</t>
  </si>
  <si>
    <t>1002-84-2</t>
  </si>
  <si>
    <t>N-00348</t>
  </si>
  <si>
    <t>CCCCCCCCCCCCCCC(O)=O</t>
  </si>
  <si>
    <t>O=C(O)CCCCCCCCCCCCCC</t>
  </si>
  <si>
    <t>Pentadecanoic acid</t>
  </si>
  <si>
    <t>1721-51-3</t>
  </si>
  <si>
    <t>N-00349</t>
  </si>
  <si>
    <t>CC(C)=CCC/C(C)=C/CC/C(C)=C/CC[C@@]1(CCC2=C(C(O)=C(C(C)=C2O1)C)C)C</t>
  </si>
  <si>
    <t>Oc2c(c(c1OC(C)(CCC=C(C)CCC=C(C)CCC=C(C)C)CCc1c2C)C)C</t>
  </si>
  <si>
    <t>alpha-Tocotrienol</t>
  </si>
  <si>
    <t>638-65-3</t>
  </si>
  <si>
    <t>N-00350</t>
  </si>
  <si>
    <t>CCCCCCCCCCCCCCCCCC#N</t>
  </si>
  <si>
    <t>N#CCCCCCCCCCCCCCCCCC</t>
  </si>
  <si>
    <t>Octadecanenitrile</t>
  </si>
  <si>
    <t>629-79-8</t>
  </si>
  <si>
    <t>N-00351</t>
  </si>
  <si>
    <t>CCCCCCCCCCCCCCCC#N</t>
  </si>
  <si>
    <t>N#CCCCCCCCCCCCCCCC</t>
  </si>
  <si>
    <t>Hexadecanenitrile</t>
  </si>
  <si>
    <t>10191-41-0</t>
  </si>
  <si>
    <t>N-00352</t>
  </si>
  <si>
    <t>CC(CCC[C@H](CCC[C@H](CCC[C@@]1(CCC2=C(C(O)=C(C(C)=C2O1)C)C)C)C)C)C</t>
  </si>
  <si>
    <t>Oc2c(c(c1OC(C)(CCc1c2C)CCCC(C)CCCC(C)CCCC(C)C)C)C</t>
  </si>
  <si>
    <t>alpha-Tocopherol (Vitamin E)</t>
  </si>
  <si>
    <t>83-47-6</t>
  </si>
  <si>
    <t>N-00353</t>
  </si>
  <si>
    <t>CC[C@H](C(C)C)CC[C@H]([C@H]1CC[C@@H]2[C@H]3CC=C4C[C@H](CC[C@@]4([C@@H]3CC[C@@]12C)C)O)C</t>
  </si>
  <si>
    <t>OC4CC3=CCC1C(CCC2(C)(C(CCC12)C(C)CCC(CC)C(C)C))C3(C)CC4</t>
  </si>
  <si>
    <t>gamma-Sitosterol</t>
  </si>
  <si>
    <t>502-69-2</t>
  </si>
  <si>
    <t>N-00354</t>
  </si>
  <si>
    <t>CC(CCCC(CCCC(CCCC(C)=O)C)C)C</t>
  </si>
  <si>
    <t>O=C(C)CCCC(C)CCCC(C)CCCC(C)C</t>
  </si>
  <si>
    <t>2-Pentadecanone, 6,10,14-trimethyl-</t>
  </si>
  <si>
    <t>143-07-7</t>
  </si>
  <si>
    <t>N-00355</t>
  </si>
  <si>
    <t>CCCCCCCCCCCC(O)=O</t>
  </si>
  <si>
    <t>O=C(O)CCCCCCCCCCC</t>
  </si>
  <si>
    <t>Dodecanoic acid</t>
  </si>
  <si>
    <t>1615-91-4</t>
  </si>
  <si>
    <t>N-00356</t>
  </si>
  <si>
    <t>C[C@]12[C@]3(C)CC[C@H]4[C@H](CC[C@]4(C)[C@H]3CC[C@@H]1[C@](CCC5)(C)[C@H](C5(C)C)CC2)C(C)=C</t>
  </si>
  <si>
    <t>C=C(C)C5CCC4(C)(C5(CCC2(C)(C4(CCC1C3(C)(CCCC(C)(C)C3(CCC12(C)))))))</t>
  </si>
  <si>
    <t>A'-Neogammacer-22(29)-ene</t>
  </si>
  <si>
    <t>490-23-3</t>
  </si>
  <si>
    <t>N-00357</t>
  </si>
  <si>
    <t>CC(C)=CCC/C(C)=C/CC/C(C)=C/CC[C@@]1(CCC2=C(C(O)=CC(C)=C2O1)C)C</t>
  </si>
  <si>
    <t>Oc2cc(c1OC(C)(CCC=C(C)CCC=C(C)CCC=C(C)C)CCc1c2C)C</t>
  </si>
  <si>
    <t>beta-Tocotrienol</t>
  </si>
  <si>
    <t>120-72-9</t>
  </si>
  <si>
    <t>N-00358</t>
  </si>
  <si>
    <t>C12=CC=CC=C1NC=C2</t>
  </si>
  <si>
    <t>c1ccc2[nH]ccc2(c1)</t>
  </si>
  <si>
    <t>1H-Indole</t>
  </si>
  <si>
    <t>117-81-7</t>
  </si>
  <si>
    <t>N-00359</t>
  </si>
  <si>
    <t>CCCC[C@H](COC(C1=CC=CC=C1C(OC[C@H](CCCC)CC)=O)=O)CC</t>
  </si>
  <si>
    <t>O=C(OCC(CC)CCCC)c1ccccc1(C(=O)OCC(CC)CCCC)</t>
  </si>
  <si>
    <t>Bis(2-ethylhexyl) phthalate (DEHP)</t>
  </si>
  <si>
    <r>
      <t>716</t>
    </r>
    <r>
      <rPr>
        <vertAlign val="superscript"/>
        <sz val="13"/>
        <color indexed="10"/>
        <rFont val="Helv"/>
      </rPr>
      <t>m</t>
    </r>
  </si>
  <si>
    <r>
      <t>700</t>
    </r>
    <r>
      <rPr>
        <vertAlign val="superscript"/>
        <sz val="13"/>
        <color indexed="10"/>
        <rFont val="Helv"/>
      </rPr>
      <t>m</t>
    </r>
  </si>
  <si>
    <t>474-62-4</t>
  </si>
  <si>
    <t>N-00360</t>
  </si>
  <si>
    <t>CC([C@H](CC[C@H]([C@H]1CC[C@@H]2[C@H]3CC=C4C[C@H](CC[C@@]4([C@@H]3CC[C@@]12C)C)O)C)C)C</t>
  </si>
  <si>
    <t>OC4CC3=CCC1C(CCC2(C)(C(CCC12)C(C)CCC(C)C(C)C))C3(C)CC4</t>
  </si>
  <si>
    <t>Campesterol</t>
  </si>
  <si>
    <t>4536-30-5</t>
  </si>
  <si>
    <t>N-00361</t>
  </si>
  <si>
    <t>CCCCCCCCCCCCOCCO</t>
  </si>
  <si>
    <t>OCCOCCCCCCCCCCCC</t>
  </si>
  <si>
    <t>Ethanol, 2-(dodecyloxy)-</t>
  </si>
  <si>
    <t>601-58-1</t>
  </si>
  <si>
    <t>N-00362</t>
  </si>
  <si>
    <t>C[C@]1([C@H]([C@@H]([C@@H]2CC1)CC[C@@H]3[C@]2(C)CCCC3)CC4)[C@H]4[C@@H](CC[C@H](C(C)C)CC)C</t>
  </si>
  <si>
    <t>CCC(CCC(C)C2CCC3C4CCC1CCCCC1(C)C4(CCC23(C)))C(C)C</t>
  </si>
  <si>
    <t>Stigmastane</t>
  </si>
  <si>
    <t>123-08-0</t>
  </si>
  <si>
    <t>N-00363</t>
  </si>
  <si>
    <t>OC1=CC=C(C=C1)C=O</t>
  </si>
  <si>
    <t>O=Cc1ccc(O)cc1</t>
  </si>
  <si>
    <t>Benzaldehyde, 4-hydroxy-</t>
  </si>
  <si>
    <t>Weak binder, OH group</t>
  </si>
  <si>
    <t>124-07-2</t>
  </si>
  <si>
    <t>N-00364</t>
  </si>
  <si>
    <t>CCCCCCCC(O)=O</t>
  </si>
  <si>
    <t>O=C(O)CCCCCCC</t>
  </si>
  <si>
    <t>Octanoic acid (Caprylic acid)</t>
  </si>
  <si>
    <t>25152-84-5</t>
  </si>
  <si>
    <t>N-00365</t>
  </si>
  <si>
    <t>CCCCC/C=C/C=C/C=O</t>
  </si>
  <si>
    <t>O=CC=CC=CCCCCC</t>
  </si>
  <si>
    <t>2E,4E-Decadienal</t>
  </si>
  <si>
    <t>106-28-5</t>
  </si>
  <si>
    <t>N-00366</t>
  </si>
  <si>
    <t>CC(C)=CCC/C(C)=C/CC/C(C)=C/CO</t>
  </si>
  <si>
    <t>OCC=C(C)CCC=C(C)CCC=C(C)C</t>
  </si>
  <si>
    <t>E,E-Farnesol (2,6,10-Dodecatrien-1-ol, 3,7,11-trimethyl-,(2E,6E)-trans,trans Farnesol)</t>
  </si>
  <si>
    <t>3796-70-1</t>
  </si>
  <si>
    <t>N-00367</t>
  </si>
  <si>
    <t>CC(C)=CCC/C(C)=C/CCC(C)=O</t>
  </si>
  <si>
    <t>O=C(C)CCC=C(C)CCC=C(C)C</t>
  </si>
  <si>
    <t>Geranylacetone</t>
  </si>
  <si>
    <t>300-85-6</t>
  </si>
  <si>
    <t>N-00368</t>
  </si>
  <si>
    <t>C[C@H](CC(O)=O)O</t>
  </si>
  <si>
    <t>O=C(O)CC(O)C</t>
  </si>
  <si>
    <t>Butanoic acid, 3-hydroxy-</t>
  </si>
  <si>
    <t>62873-16-9</t>
  </si>
  <si>
    <t>N-00369</t>
  </si>
  <si>
    <t>CC1CC(C(O1)=O)=C</t>
  </si>
  <si>
    <t>O=C1OC(C)CC1(=C)</t>
  </si>
  <si>
    <t>Dihydro-3-methylene-5-methyl-2-furanone</t>
  </si>
  <si>
    <t>3433-16-7</t>
  </si>
  <si>
    <t>N-00370</t>
  </si>
  <si>
    <t>CCOC(CCCCCCCC=O)=O</t>
  </si>
  <si>
    <t>O=CCCCCCCCC(=O)OCC</t>
  </si>
  <si>
    <t>Nonanoic acid, 9-oxo-, ethyl ester</t>
  </si>
  <si>
    <t>115-77-5</t>
  </si>
  <si>
    <t>N-00371</t>
  </si>
  <si>
    <t>OCC(CO)(CO)CO</t>
  </si>
  <si>
    <t>Pentaerythritol</t>
  </si>
  <si>
    <t>N-00372-1</t>
  </si>
  <si>
    <t>O=C(CC(OC(CC(OC(/C=C/C)=O)C)=O)C)O</t>
  </si>
  <si>
    <t>O=C(OC(C)CC(=O)OC(C)CC(=O)O)C=CC</t>
  </si>
  <si>
    <t>3HB dehydrated</t>
  </si>
  <si>
    <t>N-00372-2</t>
  </si>
  <si>
    <t>O=C1C[C@H](OC(C[C@H](OC(C[C@H](O1)C)=O)C)=O)C</t>
  </si>
  <si>
    <t>O=C1OC(C)CC(=O)OC(C)CC(=O)OC(C)C1</t>
  </si>
  <si>
    <t>N-00373-1</t>
  </si>
  <si>
    <t>OC(CC(OC(CC(OC(CC(OC(/C=C/C)=O)C)=O)C)=O)C)=O</t>
  </si>
  <si>
    <t>O=C(OC(C)CC(=O)OC(C)CC(=O)OC(C)CC(=O)O)C=CC</t>
  </si>
  <si>
    <t>4HB dehydrated</t>
  </si>
  <si>
    <t>N-00373-2</t>
  </si>
  <si>
    <t>O=C1C[C@H](OC(C[C@H](OC(C[C@H](OC(C[C@H](O1)C)=O)C)=O)C)=O)C</t>
  </si>
  <si>
    <t>O=C1OC(C)CC(=O)OC(C)CC(=O)OC(C)CC(=O)OC(C)C1</t>
  </si>
  <si>
    <t>107-40-4</t>
  </si>
  <si>
    <t>N-00374</t>
  </si>
  <si>
    <t>CC(C)=CC(C)(C)C</t>
  </si>
  <si>
    <t>C(=C(C)C)C(C)(C)C</t>
  </si>
  <si>
    <t>2-Pentene, 2,4,4-trimethyl-</t>
  </si>
  <si>
    <t>589-43-5</t>
  </si>
  <si>
    <t>N-00375</t>
  </si>
  <si>
    <t>CC[C@H](CC(C)C)C</t>
  </si>
  <si>
    <t>CCC(C)CC(C)C</t>
  </si>
  <si>
    <t>Hexane, 2,4-dimethyl-</t>
  </si>
  <si>
    <t>24070-70-0</t>
  </si>
  <si>
    <t>N-00376</t>
  </si>
  <si>
    <t>CC(O[C@H]1C[C@H](CC1)C)=O</t>
  </si>
  <si>
    <t>O=C(OC1CCC(C)C1)C</t>
  </si>
  <si>
    <t>3-Methylcyclopentyl acetate</t>
  </si>
  <si>
    <t>71-41-0</t>
  </si>
  <si>
    <t>N-00377</t>
  </si>
  <si>
    <t>CCCCCO</t>
  </si>
  <si>
    <t>OCCCCC</t>
  </si>
  <si>
    <t>1-Pentanol</t>
  </si>
  <si>
    <t>2490-48-4</t>
  </si>
  <si>
    <t>N-00378</t>
  </si>
  <si>
    <t>C[C@H](CCCCCCCCCCCCCC)CO</t>
  </si>
  <si>
    <t>OCC(C)CCCCCCCCCCCCCC</t>
  </si>
  <si>
    <t>1-Hexadecanol, 2-methyl-</t>
  </si>
  <si>
    <t>18829-55-5</t>
  </si>
  <si>
    <t>N-00379</t>
  </si>
  <si>
    <t>CCCC/C=C/C=O</t>
  </si>
  <si>
    <t>O=CC=CCCCC</t>
  </si>
  <si>
    <t>2-Heptenal, (E)-</t>
  </si>
  <si>
    <t>53448-07-0</t>
  </si>
  <si>
    <t>N-00380</t>
  </si>
  <si>
    <t>CCCCCCCC/C=C/C=O</t>
  </si>
  <si>
    <t>O=CC=CCCCCCCCC</t>
  </si>
  <si>
    <t>2E-Undecenal</t>
  </si>
  <si>
    <t>112-54-9</t>
  </si>
  <si>
    <t>N-00381</t>
  </si>
  <si>
    <t>CCCCCCCCCCCC=O</t>
  </si>
  <si>
    <t>O=CCCCCCCCCCCC</t>
  </si>
  <si>
    <t>Dodecanal</t>
  </si>
  <si>
    <t>127-41-3</t>
  </si>
  <si>
    <t>N-00382</t>
  </si>
  <si>
    <t>CC(/C=C/[C@H]1C(C)=CCCC1(C)C)=O</t>
  </si>
  <si>
    <t>O=C(C=CC1C(=CCCC1(C)(C))C)C</t>
  </si>
  <si>
    <t>alpha-ionone</t>
  </si>
  <si>
    <t>2345-28-0</t>
  </si>
  <si>
    <t>N-00383</t>
  </si>
  <si>
    <t>CCCCCCCCCCCCCC(C)=O</t>
  </si>
  <si>
    <t>O=C(C)CCCCCCCCCCCCC</t>
  </si>
  <si>
    <t>2-pentadecanone</t>
  </si>
  <si>
    <t>19317-11-4</t>
  </si>
  <si>
    <t>N-00384</t>
  </si>
  <si>
    <t>CC(C)=CCCC(C)=CCCC(C)=CC=O</t>
  </si>
  <si>
    <t>O=CC=C(C)CCC=C(C)CCC=C(C)C</t>
  </si>
  <si>
    <t>Farnesal</t>
  </si>
  <si>
    <t xml:space="preserve">http://dx.doi.org/10.2903/j.efsa.2013.3392	
</t>
  </si>
  <si>
    <t>OpenFoodTox</t>
  </si>
  <si>
    <t>95804-62-9</t>
  </si>
  <si>
    <t>N-00385</t>
  </si>
  <si>
    <t>CCCCCCCCCCCCCCCCCCCCCCCC#N</t>
  </si>
  <si>
    <t>N#CCCCCCCCCCCCCCCCCCCCCCCC</t>
  </si>
  <si>
    <t>Tetracosanenitrile</t>
  </si>
  <si>
    <t>N-00386-1</t>
  </si>
  <si>
    <t>CCC/C=C/C(O[C@H](CC(O[C@H](CC(O[C@H](CC(O[C@H](CC(O[C@H](CC(O)=O)C)=O)C)=O)C)=O)C)=O)C)=O</t>
  </si>
  <si>
    <t>O=C(OC(C)CC(=O)OC(C)CC(=O)OC(C)CC(=O)OC(C)CC(=O)OC(C)CC(=O)O)C=CCCC</t>
  </si>
  <si>
    <t>5HB+1HH dehydrated</t>
  </si>
  <si>
    <t>N-00386-2</t>
  </si>
  <si>
    <t>C/C=C/C(O[C@H](CC(O[C@H](CC(O[C@H](CC(O[C@H](CC(O[C@H](CC(O)=O)C)=O)C)=O)C)=O)C)=O)CCC)=O</t>
  </si>
  <si>
    <t>O=C(OC(CC(=O)OC(C)CC(=O)OC(C)CC(=O)OC(C)CC(=O)OC(C)CC(=O)O)CCC)C=CC</t>
  </si>
  <si>
    <t>N-00386-3</t>
  </si>
  <si>
    <t>O=C(O[C@H](CCC)CC(O[C@H](CC(O[C@H](CC(O[C@H](CC(O)=O)C)=O)C)=O)C)=O)C[C@H](OC(/C=C/C)=O)C</t>
  </si>
  <si>
    <t>O=C(OC(C)CC(=O)OC(CC(=O)OC(C)CC(=O)OC(C)CC(=O)OC(C)CC(=O)O)CCC)C=CC</t>
  </si>
  <si>
    <t>N-00386-4</t>
  </si>
  <si>
    <t>O=C(OC(CCC)CC(OC(CC(OC(CC(O)=O)C)=O)C)=O)CC(OC(CC(OC(/C=C/C)=O)C)=O)C</t>
  </si>
  <si>
    <t>O=C(OC(C)CC(=O)OC(C)CC(=O)OC(CC(=O)OC(C)CC(=O)OC(C)CC(=O)O)CCC)C=CC</t>
  </si>
  <si>
    <t>N-00386-5</t>
  </si>
  <si>
    <t>O=C(O[C@H](CCC)CC(O[C@H](CC(O)=O)C)=O)C[C@H](OC(C[C@H](OC(C[C@H](OC(/C=C/C)=O)C)=O)C)=O)C</t>
  </si>
  <si>
    <t>O=C(OC(C)CC(=O)OC(C)CC(=O)OC(C)CC(=O)OC(CC(=O)OC(C)CC(=O)O)CCC)C=CC</t>
  </si>
  <si>
    <t>N-00386-6</t>
  </si>
  <si>
    <t>O=C(O[C@H](CCC)CC(O)=O)C[C@H](OC(C[C@H](OC(C[C@H](OC(C[C@H](OC(/C=C/C)=O)C)=O)C)=O)C)=O)C</t>
  </si>
  <si>
    <t>O=C(OC(C)CC(=O)OC(C)CC(=O)OC(C)CC(=O)OC(C)CC(=O)OC(CC(=O)O)CCC)C=CC</t>
  </si>
  <si>
    <t>N-00386-7</t>
  </si>
  <si>
    <t>O=C1C[C@H](OC(C[C@H](OC(C[C@H](OC(C[C@H](OC(C[C@H](OC(C[C@H](O1)CCC)=O)C)=O)C)=O)C)=O)C)=O)C</t>
  </si>
  <si>
    <t>O=C1OC(C)CC(=O)OC(C)CC(=O)OC(C)CC(=O)OC(CC(=O)OC(C)CC(=O)OC(C)C1)CCC</t>
  </si>
  <si>
    <t>3443-82-1</t>
  </si>
  <si>
    <t>N-00387</t>
  </si>
  <si>
    <t>OCC(OC(CCCCCCC/C=C\C/C=C\CCCCC)=O)CO</t>
  </si>
  <si>
    <t>O=C(OC(CO)CO)CCCCCCCC=CCC=CCCCCC</t>
  </si>
  <si>
    <t>2-linoleoyl-glycerol</t>
  </si>
  <si>
    <t>542-44-9</t>
  </si>
  <si>
    <t>N-00388</t>
  </si>
  <si>
    <t>CCCCCCCCCCCCCCCC(OC[C@H](CO)O)=O</t>
  </si>
  <si>
    <t>O=C(OCC(O)CO)CCCCCCCCCCCCCCC</t>
  </si>
  <si>
    <t>1-Palmitoyl-glycerol</t>
  </si>
  <si>
    <t>4253-64-9</t>
  </si>
  <si>
    <t>N-00389</t>
  </si>
  <si>
    <t>CCCCCCCCCCCCCCCCCC(OCCC(O)=O)=O</t>
  </si>
  <si>
    <t>O=C(O)CCOC(=O)CCCCCCCCCCCCCCCCC</t>
  </si>
  <si>
    <t>Stearoyllactic acid</t>
  </si>
  <si>
    <t>56797-41-2</t>
  </si>
  <si>
    <t>N-00390</t>
  </si>
  <si>
    <t>CCCCCCCC/C=C\CCCCCCC=O</t>
  </si>
  <si>
    <t>O=CCCCCCCC=CCCCCCCCC</t>
  </si>
  <si>
    <t>8-Heptadecenal</t>
  </si>
  <si>
    <t>151391-69-4</t>
  </si>
  <si>
    <t>N-00391</t>
  </si>
  <si>
    <t>O=C(/C=C/C=C/CCCCCC/C=C\CCCCC)NCC(C)C</t>
  </si>
  <si>
    <t>O=C(C=CC=CCCCCCCC=CCCCCC)NCC(C)C</t>
  </si>
  <si>
    <t>2,4,12-Octadecatrienoic acid isobutylamide</t>
  </si>
  <si>
    <t>123-94-4</t>
  </si>
  <si>
    <t>N-00392</t>
  </si>
  <si>
    <t>CCCCCCCCCCCCCCCCCC(OC[C@H](CO)O)=O</t>
  </si>
  <si>
    <t>O=C(OCC(O)CO)CCCCCCCCCCCCCCCCC</t>
  </si>
  <si>
    <t>1-Monostearoyl-glycerol</t>
  </si>
  <si>
    <t>112-79-8</t>
  </si>
  <si>
    <t>N-00393-1</t>
  </si>
  <si>
    <t>CCCCCCCC/C=C/CCCCCCCC(O)=O</t>
  </si>
  <si>
    <t>O=C(O)CCCCCCCC=CCCCCCCCC</t>
  </si>
  <si>
    <t>Elaidic Acid</t>
  </si>
  <si>
    <t xml:space="preserve">VEGA, </t>
  </si>
  <si>
    <t>112-80-1</t>
  </si>
  <si>
    <t>N-00393-2</t>
  </si>
  <si>
    <t>O=C(C([H])([H])C([H])([H])C([H])([H])C([H])([H])C([H])([H])C([H])([H])C([H])([H])/C([H])=C([H])/C([H])([H])C([H])([H])C([H])([H])C([H])([H])C([H])([H])C([H])([H])C([H])([H])C([H])([H])[H])O[H]</t>
  </si>
  <si>
    <t>Oleic acid</t>
  </si>
  <si>
    <t>no data</t>
  </si>
  <si>
    <t>260058-83-1</t>
  </si>
  <si>
    <t>N-00394</t>
  </si>
  <si>
    <t>O=C(CCCCCCCCCCCC[C@H](CC)C)N1CCCC1</t>
  </si>
  <si>
    <t>O=C(N1CCCC1)CCCCCCCCCCCCC(C)CC</t>
  </si>
  <si>
    <t>N-(14-Methylhexadecanoyl)pyrrolidine</t>
  </si>
  <si>
    <t>GOOD-Predictions NOT in agreement</t>
  </si>
  <si>
    <t>557-59-5</t>
  </si>
  <si>
    <t>N-00395</t>
  </si>
  <si>
    <t>OC(CCCCCCCCCCCCCCCCCCCCCCC)=O</t>
  </si>
  <si>
    <t>O=C(O)CCCCCCCCCCCCCCCCCCCCCCC</t>
  </si>
  <si>
    <t>Lignoceric acid</t>
  </si>
  <si>
    <t>85099-50-9</t>
  </si>
  <si>
    <t>N-00396</t>
  </si>
  <si>
    <t>O=C(OCCCCCCCCCCCCCC)CCN1C2(CCCCCCCCCCC2)OC(CC3(C)C)(CC(C)(C)N3)C1=O</t>
  </si>
  <si>
    <t>O=C(OCCCCCCCCCCCCCC)CCN1C(=O)C3(OC12(CCCCCCCCCCC2))(CC(NC(C)(C)C3)(C)C)</t>
  </si>
  <si>
    <t>7-Oxa-3,20-diazadispiro[5.1.11.2]heneicosane-20-propanoic acid, 2,2,4,4-tetramethyl-21-oxo-, tetradecyl ester</t>
  </si>
  <si>
    <t>60-33-3</t>
  </si>
  <si>
    <t>N-00397</t>
  </si>
  <si>
    <t>O=C(C([H])([H])C([H])([H])C([H])([H])C([H])([H])C([H])([H])C([H])([H])C([H])([H])/C([H])=C([H])\C([H])([H])/C([H])=C([H])\C([H])([H])C([H])([H])C([H])([H])C([H])([H])C([H])([H])[H])O[H]</t>
  </si>
  <si>
    <t>O=C(O)CCCCCCCC=CCC=CCCCCC</t>
  </si>
  <si>
    <t>9Z,12Z-Octadecadienoic acid (Linoleic acid)</t>
  </si>
  <si>
    <t>not applicable</t>
  </si>
  <si>
    <t>142-91-6</t>
  </si>
  <si>
    <t>N-00398</t>
  </si>
  <si>
    <t>O=C(OC(C([H])([H])[H])([H])C([H])([H])[H])C([H])([H])C([H])([H])C([H])([H])C([H])([H])C([H])([H])C([H])([H])C([H])([H])C([H])([H])C([H])([H])C([H])([H])C([H])([H])C([H])([H])C([H])([H])C([H])([H])C([H])([H])[H]</t>
  </si>
  <si>
    <t>O=C(OC(C)C)CCCCCCCCCCCCCCC</t>
  </si>
  <si>
    <t>Isopropyl palmitate</t>
  </si>
  <si>
    <t>915-05-9</t>
  </si>
  <si>
    <t>N-00399</t>
  </si>
  <si>
    <t>O=C(C([H])([H])[H])O[C@]1([H])C([H])([H])C2=C([H])C([H])([H])[C@]([C@@]3([H])[C@]([C@]([C@@](C([H])([H])[H])([H])C([H])([H])C([H])([H])[C@](C([H])([H])C([H])([H])[H])([H])C(C([H])([H])[H])([H])C([H])([H])[H])([H])C([H])([H])C3([H])[H])(C([H])([H])[H])C([H])([H])C4([H])[H])([H])[C@@]4([H])[C@]2(C([H])([H])C1([H])[H])C([H])([H])[H]</t>
  </si>
  <si>
    <t>O=C(OC4CC3=CCC1C(CCC2(C)(C(CCC12)C(C)CCC(CC)C(C)C))C3(C)CC4)C</t>
  </si>
  <si>
    <t>Clionasterol acetate</t>
  </si>
  <si>
    <t>C1(COC(CCCCC(OCC(OC(CCCCC(O1)=O)=O)C)=O)=O)C</t>
  </si>
  <si>
    <t>PG-AA-PG-AA</t>
  </si>
  <si>
    <t>2,13‐dimethyl‐1,4,11,14‐tetraoxacycloicosane‐5,10,15,20‐tetrone</t>
  </si>
  <si>
    <t>O1CCOCCOC(=O)CCCCC(=O)OCC(C)OC(=O)CCCCC1=O</t>
  </si>
  <si>
    <t>DEG-AA-PG-AA</t>
  </si>
  <si>
    <t>15‐methyl‐1,4,7,14,17‐pentaoxacyclotricosane‐8,13,18,23‐tetrone</t>
  </si>
  <si>
    <t>64066-17-7</t>
  </si>
  <si>
    <t>C1COC(CCCCC(OCCOC(CCCCC(O1)=O)=O)=O)=O</t>
  </si>
  <si>
    <t>EG-AA-EG-AA</t>
  </si>
  <si>
    <t>1,4,11,14‐tetraoxacycloicosane‐5,10,15,20‐tetrone</t>
  </si>
  <si>
    <t>O=C2CCCCC(=O)OCCOC(=O)c1cc(ccc1)C(=O)OCCO2</t>
  </si>
  <si>
    <t>EG-AA-EG-IPA</t>
  </si>
  <si>
    <t>3,6,13,16‐tetraoxabicyclo[16.3.1]docosa‐1(22),18,20‐triene‐2,7,12,17‐tetrone</t>
  </si>
  <si>
    <t>C1=C2C=C(C=C1)C(OCC(COC(C=3C=CC=C(C(OCC(COC2=O)(C)C)=O)C3)=O)(C)C)=O</t>
  </si>
  <si>
    <t>NPG-IPA-NPG-IPA</t>
  </si>
  <si>
    <t xml:space="preserve">5,5,17,17‐tetramethyl‐3,7,15,19‐tetraoxatricyclo[19.3.1.19,13]hexacosa‐1(25),9(26),10,12,21,23‐hexaene‐2,8,14,20‐tetrone </t>
  </si>
  <si>
    <t>N-00443</t>
  </si>
  <si>
    <t>C1COCCOC(=O)CCCCCCCC(=O)O1</t>
  </si>
  <si>
    <t>DEG-AzA</t>
  </si>
  <si>
    <t>Cyclic DEG+AZA</t>
  </si>
  <si>
    <t>N-00444</t>
  </si>
  <si>
    <t>O1C(COC(=O)CCCCCCCC1=O)C</t>
  </si>
  <si>
    <t>PG-AzA</t>
  </si>
  <si>
    <t>2‐methyl‐1,4‐dioxacyclotridecane‐5,13‐dione</t>
  </si>
  <si>
    <t>C1=C2C=C(C=C1)C(=O)OCCOCCOC(C3=CC=CC(=C3)C(=O)OCCOCCOC2=O)=O</t>
  </si>
  <si>
    <t>DEG-IPA-DEG-IPA</t>
  </si>
  <si>
    <t xml:space="preserve">3,6,9,17,20,23‐hexaoxatricyclo[23.3.1.111,15]triaconta‐1(29),11,13,15(30),25,27‐hexaene‐2,10,16,24‐tetrone </t>
  </si>
  <si>
    <t>94113-47-0</t>
  </si>
  <si>
    <t>O1CC(C)(COC(=O)CCCCC1=O)C</t>
  </si>
  <si>
    <t>NPG-AA</t>
  </si>
  <si>
    <t>3,3‐dimethyl‐1,5‐dioxacycloundecane‐6,11‐dione</t>
  </si>
  <si>
    <t>O1CC(COC(=O)CCCCC(=O)OCC(C)(C)COC(=O)CCCCC1=O)(C)C</t>
  </si>
  <si>
    <t>NPG-AA-NPG-AA</t>
  </si>
  <si>
    <t>3,3,14,14‐tetramethyl‐1,5,12,16‐tetraoxacyclodocosane‐6,11,17,22‐tetrone</t>
  </si>
  <si>
    <t>C1=CC=CC2=C1C(=O)OC(C)COC(=O)C3=C(C=CC=C3)C(=O)OCC(C)OC2=O</t>
  </si>
  <si>
    <t>PG-oPA-PG-oPA</t>
  </si>
  <si>
    <t xml:space="preserve">4,17‐dimethyl‐3,6,15,18‐tetraoxatricyclo[18.4.0.08,13]tetracosa‐1(20),8(13),9,11,21,23‐hexaene‐2,7,14,19‐tetrone </t>
  </si>
  <si>
    <t>5578-82-5</t>
  </si>
  <si>
    <t>O=C1CCCCCCCCC(=O)OCCO1</t>
  </si>
  <si>
    <t>EG-SeA</t>
  </si>
  <si>
    <t>1,4‐dioxacyclotetradecane‐5,14‐dione</t>
  </si>
  <si>
    <t>94113-50-5</t>
  </si>
  <si>
    <t>O1CC(COC(=O)CCCCCCCCC1=O)(C)C</t>
  </si>
  <si>
    <t>NPG-SeA</t>
  </si>
  <si>
    <t>3,3‐dimethyl‐1,5‐dioxacyclopentadecane‐6,15‐dione</t>
  </si>
  <si>
    <t>24388-68-9</t>
  </si>
  <si>
    <t>O=C1OCCOC(=O)C2=CC=C(C=C2)C(=O)OCCOC(=O)C2=CC=C1C=C2</t>
  </si>
  <si>
    <t>EG-TPA-EG-TPA</t>
  </si>
  <si>
    <t xml:space="preserve">3,6,13,16‐tetraoxatricyclo[16.2.2.28,11]tetracosa‐1(20),8,10,18,21,23‐hexaene‐2,7,12,17‐tetrone </t>
  </si>
  <si>
    <t>13988-26-6</t>
  </si>
  <si>
    <t>O=C1OCCOCCOC(=O)c2ccccc12</t>
  </si>
  <si>
    <t>Cyclic DEG+OPA</t>
  </si>
  <si>
    <t>Cyclic 2EG+AA+IPA</t>
  </si>
  <si>
    <t>29278-57-7</t>
  </si>
  <si>
    <t>O=C3OCCOCCOC(=O)c1ccc(cc1)C(=O)OCCOC(=O)c2ccc3cc2</t>
  </si>
  <si>
    <t>2TPA+EG+DEG cyclic oligomer</t>
  </si>
  <si>
    <t>541-02-6</t>
  </si>
  <si>
    <t>Cyclopentasiloxane, decamethyl</t>
  </si>
  <si>
    <t>98-54-4</t>
  </si>
  <si>
    <t>Phenol, 4-tertiobutyl</t>
  </si>
  <si>
    <t>107-50-6</t>
  </si>
  <si>
    <t>Cycloheptasiloxane, tetradecamethyl</t>
  </si>
  <si>
    <t>556-68-3</t>
  </si>
  <si>
    <t>Cyclooctasiloxane, hexadecamethyl</t>
  </si>
  <si>
    <t>78-40-0</t>
  </si>
  <si>
    <t>Phosphoric acid, triethyl ester</t>
  </si>
  <si>
    <t>NOAEL 200 mg/kg bw/day (ECHA)</t>
  </si>
  <si>
    <t>109-52-4</t>
  </si>
  <si>
    <t>CCCCC(O)=O</t>
  </si>
  <si>
    <t>Pentanoic acid</t>
  </si>
  <si>
    <t>638-53-9</t>
  </si>
  <si>
    <t>CCCCCCCCCCCCC(O)=O</t>
  </si>
  <si>
    <t>Tridecanoic acid</t>
  </si>
  <si>
    <t>646-30-0</t>
  </si>
  <si>
    <t>Nonadecanoic acid</t>
  </si>
  <si>
    <t>111-70-6</t>
  </si>
  <si>
    <t>CCCCCCCO</t>
  </si>
  <si>
    <t>1-Heptanol</t>
  </si>
  <si>
    <t>112-42-5</t>
  </si>
  <si>
    <t>CCCCCCCCCCCO</t>
  </si>
  <si>
    <t>Undecyl alcohol</t>
  </si>
  <si>
    <t>112-70-9</t>
  </si>
  <si>
    <t>CCCCCCCCCCCCCO</t>
  </si>
  <si>
    <t>1-Tridecanol</t>
  </si>
  <si>
    <t>629-76-5</t>
  </si>
  <si>
    <t>CCCCCCCCCCCCCCCO</t>
  </si>
  <si>
    <t>1-Pentadecanol</t>
  </si>
  <si>
    <t>1454-84-8</t>
  </si>
  <si>
    <t>CCCCCCCCCCCCCCCCCCCO</t>
  </si>
  <si>
    <t>1-Nonadecanol</t>
  </si>
  <si>
    <t>CCCCCCCCCCCCCCCCCCCCO</t>
  </si>
  <si>
    <t>661-19-8</t>
  </si>
  <si>
    <t>CCCCCCCCCCCCCCCCCCCCCCO</t>
  </si>
  <si>
    <t>1-Docosanol</t>
  </si>
  <si>
    <t>506-51-4</t>
  </si>
  <si>
    <t>CCCCCCCCCCCCCCCCCCCCCCCCO</t>
  </si>
  <si>
    <t>1-Tetracosanol</t>
  </si>
  <si>
    <t>CFSG N.</t>
  </si>
  <si>
    <t>TTC value (mg /kg bw/d)</t>
  </si>
  <si>
    <t>TTC source</t>
  </si>
  <si>
    <t>Remarks chemical specific</t>
  </si>
  <si>
    <t>Remarks TTC-derived</t>
  </si>
  <si>
    <t>from Y. Alexis file</t>
  </si>
  <si>
    <t>?</t>
  </si>
  <si>
    <t>ALTER TABLE table_name ADD column_name data_type constraint;</t>
  </si>
  <si>
    <t>ALTER TABLE</t>
  </si>
  <si>
    <t xml:space="preserve"> NES_PAN_UPLOAD_TOXICOLOGY </t>
  </si>
  <si>
    <t xml:space="preserve"> ADD </t>
  </si>
  <si>
    <t>;</t>
  </si>
  <si>
    <t>Column group</t>
  </si>
  <si>
    <t>column subgroup</t>
  </si>
  <si>
    <t>column name (template)</t>
  </si>
  <si>
    <t>database column name (DBCN) first part</t>
  </si>
  <si>
    <t>(DBCN) second  part</t>
  </si>
  <si>
    <t>(DBCN) third part</t>
  </si>
  <si>
    <t>COLUMN_NAME (database)</t>
  </si>
  <si>
    <t>COLUMN_TYPE</t>
  </si>
  <si>
    <t>SIZE</t>
  </si>
  <si>
    <t>EXPERIMENT_ID</t>
  </si>
  <si>
    <t>NUMBER</t>
  </si>
  <si>
    <t xml:space="preserve">CHEMICAL IDENTIFIERS </t>
  </si>
  <si>
    <t>Structure</t>
  </si>
  <si>
    <t>STRUCTURE</t>
  </si>
  <si>
    <t>CLOB</t>
  </si>
  <si>
    <t>CAS_NUMBER</t>
  </si>
  <si>
    <t>VARCHAR(200)</t>
  </si>
  <si>
    <t>NESTLE_ID</t>
  </si>
  <si>
    <t>SMILES_ORIG</t>
  </si>
  <si>
    <t>VARCHAR(2000)</t>
  </si>
  <si>
    <t>SMILES_NEUT</t>
  </si>
  <si>
    <t>SMILES_NEUT_REL</t>
  </si>
  <si>
    <t>SMILES_VEGA</t>
  </si>
  <si>
    <t>SMILES_VEGA_DUP</t>
  </si>
  <si>
    <t>SMILES_VEGA_REL</t>
  </si>
  <si>
    <t>CHEMICAL_NAME</t>
  </si>
  <si>
    <t>CFSG_N</t>
  </si>
  <si>
    <t>MAN_GEN_SBL_YN</t>
  </si>
  <si>
    <t>EXPERT_REVIEW</t>
  </si>
  <si>
    <t>GENEOTOX_EFSA_CALL</t>
  </si>
  <si>
    <t>GENEOTOX_EFSA_DOI</t>
  </si>
  <si>
    <t>EXP_AMES_VEGA_CAESER</t>
  </si>
  <si>
    <t>EXP_AMES_VEGA_CAESER_REL</t>
  </si>
  <si>
    <t>EXP_AMES_VEGA_SARPY</t>
  </si>
  <si>
    <t>EXP_AMES_VEGA_SARPY_REL</t>
  </si>
  <si>
    <t>EXP_AMES_VEGA_ISS</t>
  </si>
  <si>
    <t>EXP_AMES_VEGA_ISS_REL</t>
  </si>
  <si>
    <t>EXP_AMES_VEGA_KNN</t>
  </si>
  <si>
    <t>EXP_AMES_VEGA_KNN_REL</t>
  </si>
  <si>
    <t>EXP_AMES_LS_BACT_MUTATE_ALERT</t>
  </si>
  <si>
    <t>EXP_AMES_LS_BACT_MUTATE</t>
  </si>
  <si>
    <t>EXP_AMES_LS_BACT_MUTATE_REL</t>
  </si>
  <si>
    <t>EXP_AMES_LS_SALMONELLA_MUT</t>
  </si>
  <si>
    <t>EXP_AMES_LS_SALMONELLA_MUT_REL</t>
  </si>
  <si>
    <t>EXP_AMES_LS_ECOLI_MUT</t>
  </si>
  <si>
    <t>EXP_AMES_LS_ECOLI_MUT_REL</t>
  </si>
  <si>
    <t>EXP_AMES_OTH_ECHA_REACH_DB</t>
  </si>
  <si>
    <t>EXP_AMES_OTH_ECHA_REACH_DB_REL</t>
  </si>
  <si>
    <t>EXP_AMES_OTH_ICE_DATASET</t>
  </si>
  <si>
    <t>EXP_AMES_OTH_ICE_DATASET_REL</t>
  </si>
  <si>
    <t>EXP_AMES_OTH_ECVAM</t>
  </si>
  <si>
    <t>EXP_AMES_OTH_ECVAM_REL</t>
  </si>
  <si>
    <t>CONSENSUS</t>
  </si>
  <si>
    <t>Consensus score</t>
  </si>
  <si>
    <t>CONSENSUS_SCORE</t>
  </si>
  <si>
    <t>PRED_AMES_VEGA_CAESER</t>
  </si>
  <si>
    <t>PRED_AMES_VEGA_CAESER_REL</t>
  </si>
  <si>
    <t>PRED_AMES_VEGA_SARPY</t>
  </si>
  <si>
    <t>PRED_AMES_VEGA_SARPY_REL</t>
  </si>
  <si>
    <t>PRED_AMES_VEGA_ISS</t>
  </si>
  <si>
    <t>PRED_AMES_VEGA_ISS_REL</t>
  </si>
  <si>
    <t>PRED_AMES_VEGA_KNN</t>
  </si>
  <si>
    <t>PRED_AMES_VEGA_KNN_REL</t>
  </si>
  <si>
    <t>PRED_AMES_LS_BACT_MUTATE_CONSENS</t>
  </si>
  <si>
    <t>PRED_AMES_LS_BACT_MUTATE_CONSENS_REL</t>
  </si>
  <si>
    <t>PRED_AMES_LS_BACT_MUTATE_ALERT</t>
  </si>
  <si>
    <t>PRED_AMES_LS_BACT_MUTATE_IDENT</t>
  </si>
  <si>
    <t>PRED_AMES_LS_BACT_MUTATE</t>
  </si>
  <si>
    <t>PRED_AMES_LS_BACT_MUTATE_PROB</t>
  </si>
  <si>
    <t>PRED_AMES_LS_BACT_MUTATE_REL</t>
  </si>
  <si>
    <t>PRED_AMES_LS_SALMONELLA_MUT</t>
  </si>
  <si>
    <t>PRED_AMES_LS_SALMONELLA_MUT_REL</t>
  </si>
  <si>
    <t>PRED_AMES_LS_ECOLI_MUT</t>
  </si>
  <si>
    <t>PRED_AMES_LS_ECOLI_MUT_REL</t>
  </si>
  <si>
    <t>MUTATGEN_FINAL_CALL</t>
  </si>
  <si>
    <t>MUTATGEN_FINAL_CALL_REL</t>
  </si>
  <si>
    <t>MUTATGEN_FINAL_CALL_EXP_PRED</t>
  </si>
  <si>
    <t>MUTATGEN_FINAL_CALL_SOURCE</t>
  </si>
  <si>
    <t>MUTATGEN_FINAL_CALL_COMMENTS</t>
  </si>
  <si>
    <t>EXP_MN_IVT_ECHA_REACH_DB</t>
  </si>
  <si>
    <t>MN_EXP_</t>
  </si>
  <si>
    <t>INVITRO_</t>
  </si>
  <si>
    <t>COMMENTS</t>
  </si>
  <si>
    <t>INVIVO_</t>
  </si>
  <si>
    <t>ECHA_REACH</t>
  </si>
  <si>
    <t>MN_PRED_</t>
  </si>
  <si>
    <t>VEGA_REL</t>
  </si>
  <si>
    <t>VEGA (IRFMN)</t>
  </si>
  <si>
    <t>LS_VIVO_MOUSE</t>
  </si>
  <si>
    <t>LS_VIVO_MOUSE_REL</t>
  </si>
  <si>
    <t>TOXTREE_STRUCT_ALERT</t>
  </si>
  <si>
    <t>TOXTREE_STRUCT_ALERT_COMMENTS</t>
  </si>
  <si>
    <t>MOUSE_LYM_EXP_</t>
  </si>
  <si>
    <t>ACT</t>
  </si>
  <si>
    <t>UNACT</t>
  </si>
  <si>
    <t>MOUSE_LYM_PRED_</t>
  </si>
  <si>
    <t>ACT_POS_PRED_PROB</t>
  </si>
  <si>
    <t>UNACT_POS_PRED_PROB</t>
  </si>
  <si>
    <t>CHROM_AB_EXP_</t>
  </si>
  <si>
    <t>LS_CHO</t>
  </si>
  <si>
    <t>LS_CHL</t>
  </si>
  <si>
    <t>VEGA_CORAL</t>
  </si>
  <si>
    <t>VEGA chrom ab(A7P)</t>
  </si>
  <si>
    <t>VEGA_A7P</t>
  </si>
  <si>
    <t>VEGA chrom ab other rodent(A7R)</t>
  </si>
  <si>
    <t>VEGA_A7R</t>
  </si>
  <si>
    <t>VEGAchrom ab rat (A7Q)</t>
  </si>
  <si>
    <t>VEGA_A7Q</t>
  </si>
  <si>
    <t>CHROM_AB_PRED_</t>
  </si>
  <si>
    <t>LS_A7P</t>
  </si>
  <si>
    <t>LS_A7R</t>
  </si>
  <si>
    <t>LS_A7Q</t>
  </si>
  <si>
    <t>OGE_EXP_</t>
  </si>
  <si>
    <t>LS_COMP</t>
  </si>
  <si>
    <t>LS_SCE</t>
  </si>
  <si>
    <t>LS_RODENT_MUT_VAL</t>
  </si>
  <si>
    <t>LS_RODENT_MUT_DL</t>
  </si>
  <si>
    <t>ECVAM_TDR</t>
  </si>
  <si>
    <t>ECVAM_UDS</t>
  </si>
  <si>
    <t>DNA_DAMAGE</t>
  </si>
  <si>
    <t xml:space="preserve">ECVAM COMET </t>
  </si>
  <si>
    <t>ECVAM_COMET</t>
  </si>
  <si>
    <t>ECVAM_COMET_COMMENTS</t>
  </si>
  <si>
    <t>OGE_PRED_</t>
  </si>
  <si>
    <t>TD50_EXP_</t>
  </si>
  <si>
    <t>CPDB_RAT</t>
  </si>
  <si>
    <t>CPDB_MOUSE</t>
  </si>
  <si>
    <t>TD50_PRED_</t>
  </si>
  <si>
    <t>ADMET_RAT</t>
  </si>
  <si>
    <t>ADMET_RAT_AD_INFO</t>
  </si>
  <si>
    <t>ADMET_MOUSE</t>
  </si>
  <si>
    <t>ADMET_MOUSE_AD_INFO</t>
  </si>
  <si>
    <t>LAZAR_RAT</t>
  </si>
  <si>
    <t>LAZAR_RAT_AD_INFO</t>
  </si>
  <si>
    <t>LAZAR_MOUSE</t>
  </si>
  <si>
    <t>LAZAR_MOUSE_AD_INFO</t>
  </si>
  <si>
    <t>NOAEL (IRFMN-CORAL)</t>
  </si>
  <si>
    <t>NOAEL_EXP_</t>
  </si>
  <si>
    <t>QSAR_SUBCRON_TOX_</t>
  </si>
  <si>
    <t>NOAEL</t>
  </si>
  <si>
    <t>Liver NOAEL (CORAL)</t>
  </si>
  <si>
    <t>NOAEL_LIVER</t>
  </si>
  <si>
    <t>CORAL</t>
  </si>
  <si>
    <t>EFSA_OFT_</t>
  </si>
  <si>
    <t>EFSA_HUMAN</t>
  </si>
  <si>
    <t>EFSA_ANIMAL</t>
  </si>
  <si>
    <t>EFSA_ANIMAL_TOX</t>
  </si>
  <si>
    <t>OECD_TOOLBOX_</t>
  </si>
  <si>
    <t>EFSA_TOOLBOX</t>
  </si>
  <si>
    <t>EFSA_TOOLBOX_TOX</t>
  </si>
  <si>
    <t>MUNRO_TOOLBOX</t>
  </si>
  <si>
    <t>MUNRO_TOOLBOX_TOX</t>
  </si>
  <si>
    <t>ECHA_TOX</t>
  </si>
  <si>
    <t xml:space="preserve">Liver LOAEL (CORAL) </t>
  </si>
  <si>
    <t>LOAEL_EXP_</t>
  </si>
  <si>
    <t>LIVER_LOAEL</t>
  </si>
  <si>
    <t>HELMA</t>
  </si>
  <si>
    <t>MAZZATORTA</t>
  </si>
  <si>
    <t>EFSA_HUMAN_TOX</t>
  </si>
  <si>
    <t>NOAEL_PRED_</t>
  </si>
  <si>
    <t>SUBCRON_</t>
  </si>
  <si>
    <t>LIVER_NOAEL</t>
  </si>
  <si>
    <t>LIVER_NOAEL_REL</t>
  </si>
  <si>
    <t>LIVER_LOAEL_REL</t>
  </si>
  <si>
    <t>GADELETA_NOAEL</t>
  </si>
  <si>
    <t>Gadaleta 2021 LOAEL</t>
  </si>
  <si>
    <t>GADELETA_LOAEL</t>
  </si>
  <si>
    <t>GADELETA_AD_INFO</t>
  </si>
  <si>
    <t>GADELETA_REL</t>
  </si>
  <si>
    <t>LOAEL_PRED_</t>
  </si>
  <si>
    <t>AD_INFO</t>
  </si>
  <si>
    <t>NLOAEL_FIN_CALL_</t>
  </si>
  <si>
    <t>MIN_NLOAEL</t>
  </si>
  <si>
    <t>SOURCE</t>
  </si>
  <si>
    <t>REL</t>
  </si>
  <si>
    <t>EXP_PRED</t>
  </si>
  <si>
    <t>UF_</t>
  </si>
  <si>
    <t>SUBCRON_2_CRON</t>
  </si>
  <si>
    <t>INTER_SPECIES</t>
  </si>
  <si>
    <t>INTRA_SPECIES</t>
  </si>
  <si>
    <t>LOAEL_2_NOAEL</t>
  </si>
  <si>
    <t>DB_UF</t>
  </si>
  <si>
    <t>SF_APPLIED</t>
  </si>
  <si>
    <t>CRAMER_CLASS</t>
  </si>
  <si>
    <t>CRAMER_CLASS_WITH_EXT</t>
  </si>
  <si>
    <t>TTC_VALUE</t>
  </si>
  <si>
    <t>HBGV_</t>
  </si>
  <si>
    <t>EFSA_OFT</t>
  </si>
  <si>
    <t>CHEM_SPEC_SBL_</t>
  </si>
  <si>
    <t>TTC_DERIVED_SBL_</t>
  </si>
  <si>
    <t>DART_EXP_</t>
  </si>
  <si>
    <t>TOX_MODEL</t>
  </si>
  <si>
    <t>VEGA-Developmental/Reproductive Toxicity library (PG)-experimental</t>
  </si>
  <si>
    <t>TOX_LIBRARY</t>
  </si>
  <si>
    <t>DART_PRED_</t>
  </si>
  <si>
    <t>TOX_MODEL_REL</t>
  </si>
  <si>
    <t>TOX_LIBRARY_REL</t>
  </si>
  <si>
    <t>QSAR_TOOLBOX</t>
  </si>
  <si>
    <t>ERAR_EXP_</t>
  </si>
  <si>
    <t>ESTROGEN_EFFECT</t>
  </si>
  <si>
    <t>ESTROGEN_BINDING_AFF</t>
  </si>
  <si>
    <t>ANDROGEN_AFFECT</t>
  </si>
  <si>
    <t>OTHER</t>
  </si>
  <si>
    <t>ERAR_PRED_</t>
  </si>
  <si>
    <t>ESTROGEN_EFFECT_REL</t>
  </si>
  <si>
    <t>ESTROGEN_BINDING_AFF_REL</t>
  </si>
  <si>
    <t>ANDROGEN_AFFECT_REL</t>
  </si>
  <si>
    <t>ESTROGEN_QSAR_TOOLBOX</t>
  </si>
  <si>
    <t>THYROID_RECPT_PRED_</t>
  </si>
  <si>
    <t>THYROID_ALPHA</t>
  </si>
  <si>
    <t>THYROID_ALPHA_REL</t>
  </si>
  <si>
    <t>THYROID_BETA</t>
  </si>
  <si>
    <t>THYROID_BETA_REL</t>
  </si>
  <si>
    <t>THYROID_RECPT_EXP_</t>
  </si>
  <si>
    <t>AROMATASE_PRED_</t>
  </si>
  <si>
    <t>ACTIVITY_1</t>
  </si>
  <si>
    <t>ACTIVITY_1_REL</t>
  </si>
  <si>
    <t>ACTIVITY_2</t>
  </si>
  <si>
    <t>ACTIVITY_2_REL</t>
  </si>
  <si>
    <t>AROMATASE_EXP_</t>
  </si>
  <si>
    <t>VEGA-Endocrine disruptor activity screening</t>
  </si>
  <si>
    <t>ENDOCRINE_DISRUPT_EXP_</t>
  </si>
  <si>
    <t>SCREENING</t>
  </si>
  <si>
    <t>SCREENING_REL</t>
  </si>
  <si>
    <t>ENDOCRINE_DISRUPT_PRED_</t>
  </si>
  <si>
    <t>to do/clarify:</t>
  </si>
  <si>
    <t>too many per group for genotox endpoints--&gt;?</t>
  </si>
  <si>
    <t>to name the tabs</t>
  </si>
  <si>
    <t>to download info from different tabs is possible, double check with David</t>
  </si>
  <si>
    <t>Yes, not flexible to select specific column in different tabs (but possible in one tab)</t>
  </si>
  <si>
    <t>template not very flexible, so if we want a specific visualization not possible--&gt;Vortex like for the SBLs</t>
  </si>
  <si>
    <t>to clarify if hierarchical visualization is possible</t>
  </si>
  <si>
    <t>not possible</t>
  </si>
  <si>
    <t>to decide if exp pred better as subheaders, ask which visualization is better (if Thyroid or endocrine)</t>
  </si>
  <si>
    <t>ER, Dotmatics prefers the previous visualization</t>
  </si>
  <si>
    <t>how many headers?</t>
  </si>
  <si>
    <t>max 3 lines</t>
  </si>
  <si>
    <t>visualization from different columns is possible (view wizard)</t>
  </si>
  <si>
    <t xml:space="preserve">Leadscope  </t>
  </si>
  <si>
    <t>Toxtree</t>
  </si>
  <si>
    <t>LAZAR TD50</t>
  </si>
  <si>
    <t>LAZAR LOAEL</t>
  </si>
  <si>
    <t>Mazzatorta LOAEL</t>
  </si>
  <si>
    <t>ADMET</t>
  </si>
  <si>
    <t>CORAL (not implemented)</t>
  </si>
  <si>
    <t>v1.0.4</t>
  </si>
  <si>
    <t>v3.1.0-40</t>
  </si>
  <si>
    <t>version 4</t>
  </si>
  <si>
    <t>v3.1.0</t>
  </si>
  <si>
    <t>v 4.4.1</t>
  </si>
  <si>
    <t>https://ice.ntp.niehs.nih.gov/DATASETDESCRIPTION</t>
  </si>
  <si>
    <t>https://data.jrc.ec.europa.eu/dataset?keyword=genotoxicity&amp;collection=EURL-ECVAM</t>
  </si>
  <si>
    <t xml:space="preserve">Lo Piparo 2014 </t>
  </si>
  <si>
    <t>Helma et al., 2018</t>
  </si>
  <si>
    <t>Mazzatorta et al. 2008</t>
  </si>
  <si>
    <t>v. 10.3</t>
  </si>
  <si>
    <t>Gadaleta et al. 2021</t>
  </si>
  <si>
    <t>Latest date of access: 22 Apr 2022</t>
  </si>
  <si>
    <t>Last updated: 14 Apr 2021 Negative chemicals</t>
  </si>
  <si>
    <t>Last updated: 20 Dec 2018 Positive chemicals</t>
  </si>
  <si>
    <t>Note Serena:</t>
  </si>
  <si>
    <t>color code</t>
  </si>
  <si>
    <t>name for each tab</t>
  </si>
  <si>
    <t>no need of access right now</t>
  </si>
  <si>
    <t>header between me &amp; Yves-Alexis not necessarily the same</t>
  </si>
  <si>
    <t>clarify levels of specificity for SMILES matching</t>
  </si>
  <si>
    <t>no match by similarity search (only one by one)</t>
  </si>
  <si>
    <t>ask which visualization is better (if Thyroid or endocrine)</t>
  </si>
  <si>
    <t>ER</t>
  </si>
  <si>
    <t>max 3 lines as headers</t>
  </si>
  <si>
    <t>Previous evaluations</t>
  </si>
  <si>
    <t xml:space="preserve">EXPERIMENTAL Ames </t>
  </si>
  <si>
    <t xml:space="preserve">PREDICTION Ames </t>
  </si>
  <si>
    <t>SBL based on tox data (mg/kg)</t>
  </si>
  <si>
    <t>SBL based on TTC (mg/kg)</t>
  </si>
  <si>
    <t>Experimental DART</t>
  </si>
  <si>
    <t>Prediction DART</t>
  </si>
  <si>
    <t>ED VEGA model?</t>
  </si>
  <si>
    <t>IARC classification</t>
  </si>
  <si>
    <t>Thyroid receptor Experimental</t>
  </si>
  <si>
    <t>Thyroid receptor Prediction</t>
  </si>
  <si>
    <t xml:space="preserve">Aromatase activity </t>
  </si>
  <si>
    <t>Endocrine disruptor activity screening experimentla</t>
  </si>
  <si>
    <t>VEGA databases 1.0.4</t>
  </si>
  <si>
    <t>Leadscope databases v3.1.0-40</t>
  </si>
  <si>
    <t>in-house test</t>
  </si>
  <si>
    <t>VEGA v. 1.2.0 Consensus &amp; single models</t>
  </si>
  <si>
    <t>Leadscope v 3.1.0-40 Bacterial Consensus &amp; single models</t>
  </si>
  <si>
    <t>EFSA OFT db version 4</t>
  </si>
  <si>
    <t>OECD QSAR Toolbox  v. 4.4.1</t>
  </si>
  <si>
    <t xml:space="preserve">EFSA OFT db version 4		</t>
  </si>
  <si>
    <t>Hepatotoxicity Flag</t>
  </si>
  <si>
    <t>CAS NUMBER</t>
  </si>
  <si>
    <t>CHEMICAL NAME</t>
  </si>
  <si>
    <t>Nestlé ID</t>
  </si>
  <si>
    <t>SMILES original</t>
  </si>
  <si>
    <t>"canonical" rdkit SMILES (NIPS)</t>
  </si>
  <si>
    <t xml:space="preserve">cdk SMILES VEGA </t>
  </si>
  <si>
    <t>CAESAR (version 2.1.13)</t>
  </si>
  <si>
    <t>SarPy  (version 1.0.8)</t>
  </si>
  <si>
    <t>ISS (version 1.0.3)</t>
  </si>
  <si>
    <t>KNN (version 1.0.1)</t>
  </si>
  <si>
    <t>Bacterial Mutation Alerts v8</t>
  </si>
  <si>
    <t>Bacterial Mutation v2</t>
  </si>
  <si>
    <t>Salmonella Mut v4</t>
  </si>
  <si>
    <t>E Coli-Sal 102A-T Mut v2</t>
  </si>
  <si>
    <t>ECHA REACH db (OECD QSAR Toolbox v. 4.4.1 )</t>
  </si>
  <si>
    <t>in vitro Ames MPF test</t>
  </si>
  <si>
    <t>Consensus (version 1.0.4)</t>
  </si>
  <si>
    <t>CAESAR  (version 2.1.13)</t>
  </si>
  <si>
    <t>Bacterial Mutation Alerts identified v8</t>
  </si>
  <si>
    <t>Bacterial Mutation Probability v2</t>
  </si>
  <si>
    <t>Confidence</t>
  </si>
  <si>
    <t>ECHA REACH db (OECD QSAR Toolbox v. 4.4.1)</t>
  </si>
  <si>
    <t>VEGA  (IRFMN-VERMEER) (version 1.0.1)</t>
  </si>
  <si>
    <t>In house-in vitro MN</t>
  </si>
  <si>
    <t>VEGA (IRFMN) (version 1.0.2)</t>
  </si>
  <si>
    <t>LS In Vivo Micronuc Mouse v2</t>
  </si>
  <si>
    <t>LS Mouse Lymphoma Act v2 Experimental Value</t>
  </si>
  <si>
    <t>LS Mouse Lymphoma Unact v2 Experimental Value</t>
  </si>
  <si>
    <t>LS Mouse Lymphoma Act v2 Prediction</t>
  </si>
  <si>
    <t>LS Mouse Lymphoma Act v2 Positive Prediction Probability</t>
  </si>
  <si>
    <t>VEGA Chromosomal aberration model (CORAL) (version 1.0.1)</t>
  </si>
  <si>
    <t xml:space="preserve">VEGA chrom ab(A7P) v2 </t>
  </si>
  <si>
    <t>VEGA chrom ab other rodent(A7R) v1</t>
  </si>
  <si>
    <t>VEGAchrom ab rat (A7Q) v1</t>
  </si>
  <si>
    <t xml:space="preserve">LS chrom ab(A7P) v2 </t>
  </si>
  <si>
    <t>LS chrom ab other rodent(A7R) v1</t>
  </si>
  <si>
    <t>LS chrom ab rat (A7Q) v1</t>
  </si>
  <si>
    <t>LS In Vitro SCE CHO v1</t>
  </si>
  <si>
    <t xml:space="preserve">LS In Vitro SCE Comp v1 </t>
  </si>
  <si>
    <t>LS In Vivo Rodent Mut v1 Experimental Value</t>
  </si>
  <si>
    <t>LS In Vivo Rodent DL Mut v1</t>
  </si>
  <si>
    <t xml:space="preserve">COMET </t>
  </si>
  <si>
    <t xml:space="preserve">LS In Vivo Rodent Mut v1 </t>
  </si>
  <si>
    <t xml:space="preserve">NOAEL (IRFMN-CORAL) (version 1.0.1) </t>
  </si>
  <si>
    <t>Liver NOAEL (CORAL) (version 1.0.1)</t>
  </si>
  <si>
    <t>Liver LOAEL (CORAL) (version 1.0.1)</t>
  </si>
  <si>
    <t>VEGA Hepatotoxicity model (IRFMN) (version 1.0.1)</t>
  </si>
  <si>
    <t>OECD QSAR Toolbox v. 4.4.1 (HESS)</t>
  </si>
  <si>
    <t>EFSA OFT version 4</t>
  </si>
  <si>
    <t>VEGA-Developmental Toxicity model (CAESAR) v. 2.1.8</t>
  </si>
  <si>
    <t>VEGA-Developmental/Reproductive Toxicity library (PG)-experimental v. 1.1.2</t>
  </si>
  <si>
    <t>P&amp;G DART scheme QSAR Toolbox v. 4.4.1</t>
  </si>
  <si>
    <t>VEGA Estrogen Receptor-mediated effect (IRFMN-CERAPP) v. 1.0.1</t>
  </si>
  <si>
    <t>VEGA Estrogen Receptor Relative Binding Affinity model (IRFMN) v. 1.0.2</t>
  </si>
  <si>
    <t>VEGA Androgen Receptor-mediated effect (IRFMN-COMPARA) v. 1.0.1</t>
  </si>
  <si>
    <t>VEGA Estrogen Receptor Binding  QSAR Toolbox v. 4.4.1</t>
  </si>
  <si>
    <t>VEGA Endocrine disruptor activity screening (IRFMN). v.1.0.0</t>
  </si>
  <si>
    <t>Endocrine disruptor activity screening</t>
  </si>
  <si>
    <t>No.</t>
  </si>
  <si>
    <t>INVT_ID</t>
  </si>
  <si>
    <t>Name 1</t>
  </si>
  <si>
    <t>Name 2</t>
  </si>
  <si>
    <t>CAS</t>
  </si>
  <si>
    <t>SMILES</t>
  </si>
  <si>
    <t>INVT_Ol01</t>
  </si>
  <si>
    <t>INVT_Ol02</t>
  </si>
  <si>
    <t>INVT_Ol03</t>
  </si>
  <si>
    <t>INVT_Ol04</t>
  </si>
  <si>
    <t>C12=CC(=CC=C1)C(OCCOC(CCCCC(OCCOC2=O)=O)=O)=O</t>
  </si>
  <si>
    <t>INVT_Ol05</t>
  </si>
  <si>
    <t>INVT_Ol06</t>
  </si>
  <si>
    <t>1,4,7‐trioxacyclohexadecane‐8,16‐dione</t>
  </si>
  <si>
    <t>INVT_Ol07</t>
  </si>
  <si>
    <t>INVT_Ol08</t>
  </si>
  <si>
    <t>INVT_Ol09</t>
  </si>
  <si>
    <t>DEG-PA</t>
  </si>
  <si>
    <t>3,4,6,7‐tetrahydro‐2,5,8‐benzotrioxacycloundecine‐1,9‐dione</t>
  </si>
  <si>
    <t>13988‐26‐6</t>
  </si>
  <si>
    <t>C1=C2C(=CC=C1)C(OCCOCCOC2=O)=O</t>
  </si>
  <si>
    <t>INVT_Ol10</t>
  </si>
  <si>
    <t>INVT_Ol11</t>
  </si>
  <si>
    <t>INVT_Ol12</t>
  </si>
  <si>
    <t>PG-PA-PG-PA</t>
  </si>
  <si>
    <t>INVT_Ol13</t>
  </si>
  <si>
    <t>5578‐82‐5</t>
  </si>
  <si>
    <t>C1COC(CCCCCCCCC(O1)=O)=O</t>
  </si>
  <si>
    <t>INVT_Ol14</t>
  </si>
  <si>
    <t>INVT_Ol15</t>
  </si>
  <si>
    <t>C1=C2C=CC(=C1)C(OCCOC(C=3C=CC(=CC3)C(OCCOC2=O)=O)=O)=O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</si>
</sst>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
  </numFmts>
  <fonts count="41" x14ac:knownFonts="1">
    <font>
      <sz val="11"/>
      <color theme="1"/>
      <name val="Calibri"/>
      <family val="2"/>
      <scheme val="minor"/>
    </font>
    <font>
      <sz val="11"/>
      <color rgb="FF006100"/>
      <name val="Calibri"/>
      <family val="2"/>
      <scheme val="minor"/>
    </font>
    <font>
      <sz val="11"/>
      <color rgb="FF9C5700"/>
      <name val="Calibri"/>
      <family val="2"/>
      <scheme val="minor"/>
    </font>
    <font>
      <b/>
      <sz val="11"/>
      <color rgb="FFFA7D00"/>
      <name val="Calibri"/>
      <family val="2"/>
      <scheme val="minor"/>
    </font>
    <font>
      <b/>
      <sz val="11"/>
      <color theme="1"/>
      <name val="Calibri"/>
      <family val="2"/>
      <scheme val="minor"/>
    </font>
    <font>
      <sz val="11"/>
      <name val="Calibri"/>
      <family val="2"/>
      <scheme val="minor"/>
    </font>
    <font>
      <b/>
      <sz val="18"/>
      <name val="Arial"/>
      <family val="2"/>
    </font>
    <font>
      <sz val="8"/>
      <name val="Calibri"/>
      <family val="2"/>
      <scheme val="minor"/>
    </font>
    <font>
      <sz val="11"/>
      <name val="Arial"/>
      <family val="2"/>
    </font>
    <font>
      <b/>
      <sz val="16"/>
      <color theme="1"/>
      <name val="Calibri"/>
      <family val="2"/>
      <scheme val="minor"/>
    </font>
    <font>
      <b/>
      <sz val="14"/>
      <color theme="1"/>
      <name val="Calibri"/>
      <family val="2"/>
      <scheme val="minor"/>
    </font>
    <font>
      <b/>
      <sz val="14"/>
      <name val="Arial"/>
      <family val="2"/>
    </font>
    <font>
      <b/>
      <sz val="11"/>
      <name val="Calibri"/>
      <family val="2"/>
      <scheme val="minor"/>
    </font>
    <font>
      <b/>
      <sz val="16"/>
      <color rgb="FF000000"/>
      <name val="Calibri"/>
      <family val="2"/>
    </font>
    <font>
      <b/>
      <sz val="11"/>
      <color rgb="FF000000"/>
      <name val="Calibri"/>
      <family val="2"/>
    </font>
    <font>
      <b/>
      <sz val="11"/>
      <color rgb="FF000000"/>
      <name val="Calibri"/>
      <family val="2"/>
      <scheme val="minor"/>
    </font>
    <font>
      <b/>
      <sz val="16"/>
      <color rgb="FF000000"/>
      <name val="Calibri"/>
      <family val="2"/>
      <scheme val="minor"/>
    </font>
    <font>
      <b/>
      <sz val="12"/>
      <color theme="1"/>
      <name val="Calibri"/>
      <family val="2"/>
      <scheme val="minor"/>
    </font>
    <font>
      <b/>
      <sz val="11"/>
      <color rgb="FF444444"/>
      <name val="Calibri"/>
      <family val="2"/>
      <charset val="1"/>
    </font>
    <font>
      <u/>
      <sz val="11"/>
      <color theme="10"/>
      <name val="Calibri"/>
      <family val="2"/>
      <scheme val="minor"/>
    </font>
    <font>
      <sz val="11"/>
      <color rgb="FF000000"/>
      <name val="Calibri"/>
      <family val="2"/>
    </font>
    <font>
      <b/>
      <sz val="11"/>
      <name val="Arial"/>
      <family val="2"/>
    </font>
    <font>
      <sz val="11"/>
      <color rgb="FF000000"/>
      <name val="Calibri"/>
      <family val="2"/>
      <scheme val="minor"/>
    </font>
    <font>
      <sz val="11"/>
      <color rgb="FFFFC000"/>
      <name val="Calibri"/>
      <family val="2"/>
      <scheme val="minor"/>
    </font>
    <font>
      <b/>
      <sz val="11"/>
      <color rgb="FFFF0000"/>
      <name val="Calibri"/>
      <family val="2"/>
      <scheme val="minor"/>
    </font>
    <font>
      <b/>
      <sz val="11"/>
      <color rgb="FFFFFF00"/>
      <name val="Calibri"/>
      <family val="2"/>
      <scheme val="minor"/>
    </font>
    <font>
      <sz val="10"/>
      <name val="Arial"/>
      <family val="2"/>
    </font>
    <font>
      <sz val="11"/>
      <name val="Helv"/>
    </font>
    <font>
      <vertAlign val="superscript"/>
      <sz val="13"/>
      <color indexed="10"/>
      <name val="Calibri"/>
      <family val="2"/>
      <scheme val="minor"/>
    </font>
    <font>
      <vertAlign val="superscript"/>
      <sz val="13"/>
      <color indexed="10"/>
      <name val="Helv"/>
    </font>
    <font>
      <u/>
      <sz val="11"/>
      <color rgb="FFFF0000"/>
      <name val="Calibri"/>
      <family val="2"/>
    </font>
    <font>
      <sz val="11"/>
      <color rgb="FFFFFF00"/>
      <name val="Calibri"/>
      <family val="2"/>
      <scheme val="minor"/>
    </font>
    <font>
      <sz val="11"/>
      <color theme="0" tint="-0.249977111117893"/>
      <name val="Calibri"/>
      <family val="2"/>
      <scheme val="minor"/>
    </font>
    <font>
      <b/>
      <sz val="11"/>
      <name val="Calibri"/>
      <family val="2"/>
    </font>
    <font>
      <b/>
      <sz val="11"/>
      <color rgb="FFFFC000"/>
      <name val="Calibri"/>
      <family val="2"/>
      <scheme val="minor"/>
    </font>
    <font>
      <sz val="11"/>
      <color theme="0" tint="-0.499984740745262"/>
      <name val="Calibri"/>
      <family val="2"/>
      <scheme val="minor"/>
    </font>
    <font>
      <sz val="10"/>
      <color theme="1"/>
      <name val="Calibri"/>
      <family val="2"/>
      <scheme val="minor"/>
    </font>
    <font>
      <sz val="8"/>
      <color rgb="FF313131"/>
      <name val="Arial"/>
      <family val="2"/>
    </font>
    <font>
      <sz val="10"/>
      <color indexed="8"/>
      <name val="Arial"/>
      <family val="2"/>
    </font>
    <font>
      <sz val="11"/>
      <color theme="1"/>
      <name val="Aptos"/>
      <family val="2"/>
    </font>
    <font>
      <sz val="11"/>
      <color rgb="FFFF0000"/>
      <name val="Calibri"/>
      <family val="2"/>
      <scheme val="minor"/>
    </font>
  </fonts>
  <fills count="26">
    <fill>
      <patternFill patternType="none"/>
    </fill>
    <fill>
      <patternFill patternType="gray125"/>
    </fill>
    <fill>
      <patternFill patternType="solid">
        <fgColor rgb="FFC6EFCE"/>
      </patternFill>
    </fill>
    <fill>
      <patternFill patternType="solid">
        <fgColor rgb="FFFFEB9C"/>
      </patternFill>
    </fill>
    <fill>
      <patternFill patternType="solid">
        <fgColor rgb="FFF2F2F2"/>
      </patternFill>
    </fill>
    <fill>
      <patternFill patternType="solid">
        <fgColor rgb="FFFFFF00"/>
        <bgColor indexed="64"/>
      </patternFill>
    </fill>
    <fill>
      <patternFill patternType="solid">
        <fgColor rgb="FFA9D08E"/>
        <bgColor indexed="64"/>
      </patternFill>
    </fill>
    <fill>
      <patternFill patternType="solid">
        <fgColor rgb="FFBDD7EE"/>
        <bgColor indexed="64"/>
      </patternFill>
    </fill>
    <fill>
      <patternFill patternType="solid">
        <fgColor rgb="FFFFC000"/>
        <bgColor indexed="64"/>
      </patternFill>
    </fill>
    <fill>
      <patternFill patternType="solid">
        <fgColor rgb="FFD0CECE"/>
        <bgColor indexed="64"/>
      </patternFill>
    </fill>
    <fill>
      <patternFill patternType="solid">
        <fgColor rgb="FFF8CBAD"/>
        <bgColor indexed="64"/>
      </patternFill>
    </fill>
    <fill>
      <patternFill patternType="solid">
        <fgColor rgb="FFFFF2CC"/>
        <bgColor indexed="64"/>
      </patternFill>
    </fill>
    <fill>
      <patternFill patternType="solid">
        <fgColor rgb="FF70AD47"/>
        <bgColor indexed="64"/>
      </patternFill>
    </fill>
    <fill>
      <patternFill patternType="solid">
        <fgColor rgb="FFFFFFFF"/>
        <bgColor indexed="64"/>
      </patternFill>
    </fill>
    <fill>
      <patternFill patternType="solid">
        <fgColor rgb="FF8497B0"/>
        <bgColor indexed="64"/>
      </patternFill>
    </fill>
    <fill>
      <patternFill patternType="solid">
        <fgColor rgb="FFBC8ED1"/>
        <bgColor indexed="64"/>
      </patternFill>
    </fill>
    <fill>
      <patternFill patternType="solid">
        <fgColor rgb="FFFFE699"/>
        <bgColor indexed="64"/>
      </patternFill>
    </fill>
    <fill>
      <patternFill patternType="solid">
        <fgColor rgb="FFFFC5C5"/>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rgb="FFF4B084"/>
        <bgColor indexed="64"/>
      </patternFill>
    </fill>
    <fill>
      <patternFill patternType="solid">
        <fgColor theme="5" tint="0.59999389629810485"/>
        <bgColor indexed="64"/>
      </patternFill>
    </fill>
    <fill>
      <patternFill patternType="solid">
        <fgColor theme="8"/>
        <bgColor indexed="64"/>
      </patternFill>
    </fill>
    <fill>
      <patternFill patternType="solid">
        <fgColor theme="9" tint="0.79998168889431442"/>
        <bgColor indexed="64"/>
      </patternFill>
    </fill>
    <fill>
      <patternFill patternType="solid">
        <fgColor theme="5"/>
        <bgColor indexed="64"/>
      </patternFill>
    </fill>
  </fills>
  <borders count="70">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indexed="64"/>
      </left>
      <right style="thin">
        <color indexed="64"/>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style="thin">
        <color indexed="64"/>
      </left>
      <right/>
      <top style="thin">
        <color rgb="FF000000"/>
      </top>
      <bottom/>
      <diagonal/>
    </border>
    <border>
      <left/>
      <right style="thin">
        <color indexed="64"/>
      </right>
      <top style="thin">
        <color rgb="FF000000"/>
      </top>
      <bottom style="thin">
        <color indexed="64"/>
      </bottom>
      <diagonal/>
    </border>
    <border>
      <left/>
      <right style="medium">
        <color indexed="64"/>
      </right>
      <top style="thin">
        <color rgb="FF000000"/>
      </top>
      <bottom style="thin">
        <color indexed="64"/>
      </bottom>
      <diagonal/>
    </border>
    <border>
      <left style="medium">
        <color indexed="64"/>
      </left>
      <right/>
      <top style="thin">
        <color rgb="FF000000"/>
      </top>
      <bottom/>
      <diagonal/>
    </border>
    <border>
      <left/>
      <right style="medium">
        <color indexed="64"/>
      </right>
      <top style="thin">
        <color rgb="FF000000"/>
      </top>
      <bottom/>
      <diagonal/>
    </border>
    <border>
      <left style="medium">
        <color indexed="64"/>
      </left>
      <right/>
      <top style="thin">
        <color rgb="FF000000"/>
      </top>
      <bottom style="thin">
        <color indexed="64"/>
      </bottom>
      <diagonal/>
    </border>
    <border>
      <left style="thin">
        <color indexed="64"/>
      </left>
      <right style="thin">
        <color indexed="64"/>
      </right>
      <top style="thin">
        <color rgb="FF000000"/>
      </top>
      <bottom/>
      <diagonal/>
    </border>
    <border>
      <left/>
      <right style="thin">
        <color indexed="64"/>
      </right>
      <top/>
      <bottom/>
      <diagonal/>
    </border>
    <border>
      <left/>
      <right style="thin">
        <color indexed="64"/>
      </right>
      <top style="thin">
        <color rgb="FF000000"/>
      </top>
      <bottom/>
      <diagonal/>
    </border>
    <border>
      <left style="thin">
        <color indexed="64"/>
      </left>
      <right/>
      <top/>
      <bottom style="medium">
        <color indexed="64"/>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style="thin">
        <color indexed="64"/>
      </bottom>
      <diagonal/>
    </border>
    <border>
      <left style="thin">
        <color rgb="FF000000"/>
      </left>
      <right/>
      <top style="thin">
        <color rgb="FF000000"/>
      </top>
      <bottom/>
      <diagonal/>
    </border>
    <border>
      <left/>
      <right style="thin">
        <color rgb="FF000000"/>
      </right>
      <top style="thin">
        <color rgb="FF000000"/>
      </top>
      <bottom style="thin">
        <color indexed="64"/>
      </bottom>
      <diagonal/>
    </border>
    <border>
      <left style="thin">
        <color indexed="64"/>
      </left>
      <right style="thin">
        <color rgb="FF000000"/>
      </right>
      <top style="thin">
        <color rgb="FF000000"/>
      </top>
      <bottom/>
      <diagonal/>
    </border>
    <border>
      <left style="thin">
        <color indexed="64"/>
      </left>
      <right style="thin">
        <color rgb="FF000000"/>
      </right>
      <top style="thin">
        <color indexed="64"/>
      </top>
      <bottom style="thin">
        <color indexed="64"/>
      </bottom>
      <diagonal/>
    </border>
    <border>
      <left style="thin">
        <color indexed="64"/>
      </left>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indexed="64"/>
      </bottom>
      <diagonal/>
    </border>
    <border>
      <left/>
      <right style="thin">
        <color rgb="FF000000"/>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s>
  <cellStyleXfs count="7">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xf numFmtId="0" fontId="19" fillId="0" borderId="0" applyNumberFormat="0" applyFill="0" applyBorder="0" applyAlignment="0" applyProtection="0"/>
    <xf numFmtId="0" fontId="26" fillId="0" borderId="0"/>
    <xf numFmtId="0" fontId="38" fillId="0" borderId="0"/>
  </cellStyleXfs>
  <cellXfs count="714">
    <xf numFmtId="0" fontId="0" fillId="0" borderId="0" xfId="0"/>
    <xf numFmtId="0" fontId="5" fillId="0" borderId="0" xfId="0" applyFont="1" applyAlignment="1">
      <alignment horizontal="center"/>
    </xf>
    <xf numFmtId="0" fontId="0" fillId="0" borderId="0" xfId="0" applyAlignment="1">
      <alignment horizontal="center" vertical="center"/>
    </xf>
    <xf numFmtId="0" fontId="0" fillId="0" borderId="0" xfId="0" applyAlignment="1">
      <alignment horizontal="left" vertical="center"/>
    </xf>
    <xf numFmtId="2" fontId="0" fillId="0" borderId="0" xfId="0" applyNumberFormat="1" applyAlignment="1">
      <alignment horizontal="right"/>
    </xf>
    <xf numFmtId="2" fontId="0" fillId="0" borderId="0" xfId="0" applyNumberFormat="1"/>
    <xf numFmtId="164" fontId="0" fillId="0" borderId="0" xfId="0" applyNumberFormat="1"/>
    <xf numFmtId="165" fontId="0" fillId="0" borderId="0" xfId="0" applyNumberFormat="1"/>
    <xf numFmtId="0" fontId="0" fillId="0" borderId="0" xfId="0" applyAlignment="1">
      <alignment horizontal="center"/>
    </xf>
    <xf numFmtId="2" fontId="0" fillId="0" borderId="0" xfId="0" applyNumberFormat="1" applyAlignment="1">
      <alignment horizontal="center"/>
    </xf>
    <xf numFmtId="0" fontId="8" fillId="0" borderId="0" xfId="0" applyFont="1" applyAlignment="1">
      <alignment horizontal="center"/>
    </xf>
    <xf numFmtId="0" fontId="0" fillId="0" borderId="8" xfId="0" applyBorder="1" applyAlignment="1">
      <alignment horizontal="center" wrapText="1"/>
    </xf>
    <xf numFmtId="0" fontId="4" fillId="0" borderId="0" xfId="0" applyFont="1"/>
    <xf numFmtId="0" fontId="12" fillId="0" borderId="2" xfId="0" applyFont="1" applyBorder="1" applyAlignment="1">
      <alignment horizontal="center" vertical="center"/>
    </xf>
    <xf numFmtId="0" fontId="12" fillId="0" borderId="20" xfId="2" applyFont="1" applyFill="1" applyBorder="1" applyAlignment="1">
      <alignment horizontal="center" vertical="center" wrapText="1"/>
    </xf>
    <xf numFmtId="0" fontId="12" fillId="0" borderId="20" xfId="0" applyFont="1" applyBorder="1" applyAlignment="1">
      <alignment horizontal="center" vertical="center" wrapText="1"/>
    </xf>
    <xf numFmtId="0" fontId="12" fillId="0" borderId="20" xfId="1" applyFont="1" applyFill="1" applyBorder="1" applyAlignment="1">
      <alignment horizontal="center" vertical="center" wrapText="1"/>
    </xf>
    <xf numFmtId="0" fontId="12" fillId="0" borderId="21" xfId="1" applyFont="1" applyFill="1" applyBorder="1" applyAlignment="1">
      <alignment horizontal="center" vertical="center"/>
    </xf>
    <xf numFmtId="0" fontId="12" fillId="0" borderId="2" xfId="1" applyFont="1" applyFill="1" applyBorder="1" applyAlignment="1">
      <alignment horizontal="center" vertical="center"/>
    </xf>
    <xf numFmtId="0" fontId="12" fillId="0" borderId="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11" xfId="0" applyFont="1" applyBorder="1" applyAlignment="1">
      <alignment horizontal="center" vertical="top" wrapText="1"/>
    </xf>
    <xf numFmtId="0" fontId="12" fillId="0" borderId="24" xfId="0" applyFont="1" applyBorder="1" applyAlignment="1">
      <alignment horizontal="center" vertical="top" wrapText="1"/>
    </xf>
    <xf numFmtId="2" fontId="12" fillId="0" borderId="2" xfId="0" applyNumberFormat="1" applyFont="1" applyBorder="1" applyAlignment="1">
      <alignment horizontal="center" vertical="center" wrapText="1"/>
    </xf>
    <xf numFmtId="0" fontId="4" fillId="0" borderId="2" xfId="0" applyFont="1" applyBorder="1" applyAlignment="1">
      <alignment horizontal="center" vertical="center"/>
    </xf>
    <xf numFmtId="0" fontId="4" fillId="0" borderId="2" xfId="0" applyFont="1" applyBorder="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vertical="center"/>
    </xf>
    <xf numFmtId="0" fontId="3" fillId="0" borderId="1" xfId="3" applyFill="1" applyAlignment="1">
      <alignment horizontal="center"/>
    </xf>
    <xf numFmtId="0" fontId="8" fillId="0" borderId="0" xfId="0" applyFont="1"/>
    <xf numFmtId="0" fontId="8" fillId="0" borderId="0" xfId="0" applyFont="1" applyAlignment="1">
      <alignment vertical="center"/>
    </xf>
    <xf numFmtId="0" fontId="15" fillId="0" borderId="2" xfId="0" applyFont="1" applyBorder="1" applyAlignment="1">
      <alignment horizontal="center" vertical="center"/>
    </xf>
    <xf numFmtId="0" fontId="12" fillId="0" borderId="5" xfId="0" applyFont="1" applyBorder="1" applyAlignment="1">
      <alignment horizontal="center" vertical="center" wrapText="1"/>
    </xf>
    <xf numFmtId="0" fontId="14" fillId="0" borderId="2" xfId="0" applyFont="1" applyBorder="1" applyAlignment="1">
      <alignment horizontal="center" vertical="center" wrapText="1"/>
    </xf>
    <xf numFmtId="0" fontId="15" fillId="0" borderId="2" xfId="0" applyFont="1" applyBorder="1" applyAlignment="1">
      <alignment horizontal="center" vertical="center" wrapText="1"/>
    </xf>
    <xf numFmtId="0" fontId="14" fillId="0" borderId="2" xfId="0" applyFont="1" applyBorder="1" applyAlignment="1">
      <alignment horizontal="center" vertical="top" wrapText="1"/>
    </xf>
    <xf numFmtId="0" fontId="10" fillId="0" borderId="35" xfId="0" applyFont="1" applyBorder="1" applyAlignment="1">
      <alignment horizontal="center" vertical="center" wrapText="1"/>
    </xf>
    <xf numFmtId="0" fontId="0" fillId="0" borderId="31" xfId="0" applyBorder="1"/>
    <xf numFmtId="0" fontId="4" fillId="0" borderId="27" xfId="0" applyFont="1" applyBorder="1" applyAlignment="1">
      <alignment horizontal="center" vertical="center"/>
    </xf>
    <xf numFmtId="0" fontId="4" fillId="0" borderId="2" xfId="0" applyFont="1" applyBorder="1" applyAlignment="1">
      <alignment horizontal="center" vertical="top" wrapText="1"/>
    </xf>
    <xf numFmtId="0" fontId="0" fillId="0" borderId="49" xfId="0" applyBorder="1"/>
    <xf numFmtId="0" fontId="0" fillId="0" borderId="48" xfId="0" applyBorder="1" applyAlignment="1">
      <alignment horizontal="center"/>
    </xf>
    <xf numFmtId="0" fontId="17" fillId="0" borderId="2" xfId="0" applyFont="1" applyBorder="1" applyAlignment="1">
      <alignment horizontal="center" vertical="center" wrapText="1"/>
    </xf>
    <xf numFmtId="0" fontId="12" fillId="0" borderId="27" xfId="0" applyFont="1" applyBorder="1" applyAlignment="1">
      <alignment horizontal="center" vertical="center" wrapText="1"/>
    </xf>
    <xf numFmtId="0" fontId="12" fillId="0" borderId="3" xfId="0" applyFont="1" applyBorder="1" applyAlignment="1">
      <alignment horizontal="center" vertical="center"/>
    </xf>
    <xf numFmtId="0" fontId="12" fillId="0" borderId="20" xfId="0" applyFont="1" applyBorder="1" applyAlignment="1">
      <alignment horizontal="center"/>
    </xf>
    <xf numFmtId="0" fontId="14" fillId="0" borderId="2" xfId="0" applyFont="1" applyBorder="1" applyAlignment="1">
      <alignment horizontal="center" vertical="center"/>
    </xf>
    <xf numFmtId="0" fontId="14" fillId="0" borderId="19" xfId="1" applyFont="1" applyFill="1" applyBorder="1" applyAlignment="1">
      <alignment horizontal="center" vertical="center" wrapText="1"/>
    </xf>
    <xf numFmtId="0" fontId="14" fillId="0" borderId="2" xfId="1" applyFont="1" applyFill="1" applyBorder="1" applyAlignment="1">
      <alignment horizontal="center" vertical="center" wrapText="1"/>
    </xf>
    <xf numFmtId="0" fontId="12" fillId="0" borderId="22" xfId="1" applyFont="1" applyFill="1" applyBorder="1" applyAlignment="1">
      <alignment horizontal="center" vertical="center" wrapText="1"/>
    </xf>
    <xf numFmtId="0" fontId="12" fillId="0" borderId="17" xfId="0" applyFont="1" applyBorder="1" applyAlignment="1">
      <alignment horizontal="center" vertical="center"/>
    </xf>
    <xf numFmtId="0" fontId="12" fillId="0" borderId="2" xfId="1" applyFont="1" applyFill="1" applyBorder="1" applyAlignment="1">
      <alignment horizontal="center" vertical="center" wrapText="1"/>
    </xf>
    <xf numFmtId="0" fontId="14" fillId="0" borderId="23" xfId="0" applyFont="1" applyBorder="1" applyAlignment="1">
      <alignment horizontal="center" vertical="center" wrapText="1"/>
    </xf>
    <xf numFmtId="0" fontId="12" fillId="0" borderId="3" xfId="0" applyFont="1" applyBorder="1" applyAlignment="1">
      <alignment horizontal="center" vertical="center" wrapText="1"/>
    </xf>
    <xf numFmtId="0" fontId="14" fillId="0" borderId="27" xfId="0" applyFont="1" applyBorder="1" applyAlignment="1">
      <alignment horizontal="center" wrapText="1"/>
    </xf>
    <xf numFmtId="0" fontId="12" fillId="0" borderId="27" xfId="0" applyFont="1" applyBorder="1" applyAlignment="1">
      <alignment horizontal="center" vertical="center"/>
    </xf>
    <xf numFmtId="0" fontId="14" fillId="0" borderId="27" xfId="0" applyFont="1" applyBorder="1" applyAlignment="1">
      <alignment horizontal="center" vertical="top" wrapText="1"/>
    </xf>
    <xf numFmtId="0" fontId="14" fillId="0" borderId="24" xfId="0" applyFont="1" applyBorder="1" applyAlignment="1">
      <alignment horizontal="center" vertical="center" wrapText="1"/>
    </xf>
    <xf numFmtId="0" fontId="12" fillId="0" borderId="11" xfId="0" applyFont="1" applyBorder="1" applyAlignment="1">
      <alignment horizontal="center" vertical="center"/>
    </xf>
    <xf numFmtId="0" fontId="12" fillId="0" borderId="3" xfId="0" applyFont="1" applyBorder="1" applyAlignment="1">
      <alignment horizontal="center" vertical="top" wrapText="1"/>
    </xf>
    <xf numFmtId="0" fontId="12" fillId="0" borderId="4" xfId="0" applyFont="1" applyBorder="1" applyAlignment="1">
      <alignment horizontal="center" vertical="top" wrapText="1"/>
    </xf>
    <xf numFmtId="0" fontId="4" fillId="0" borderId="27" xfId="0" applyFont="1" applyBorder="1" applyAlignment="1">
      <alignment horizontal="center" vertical="center" wrapText="1"/>
    </xf>
    <xf numFmtId="0" fontId="12" fillId="0" borderId="5" xfId="0" applyFont="1" applyBorder="1" applyAlignment="1">
      <alignment horizontal="center" vertical="top" wrapText="1"/>
    </xf>
    <xf numFmtId="0" fontId="14" fillId="0" borderId="27" xfId="0" applyFont="1" applyBorder="1" applyAlignment="1">
      <alignment horizontal="center" vertical="center" wrapText="1"/>
    </xf>
    <xf numFmtId="0" fontId="15" fillId="0" borderId="27"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32" xfId="0" applyFont="1" applyBorder="1" applyAlignment="1">
      <alignment horizontal="center" vertical="center" wrapText="1"/>
    </xf>
    <xf numFmtId="0" fontId="14" fillId="0" borderId="34" xfId="0" applyFont="1" applyBorder="1" applyAlignment="1">
      <alignment horizontal="center" vertical="center" wrapText="1"/>
    </xf>
    <xf numFmtId="165" fontId="12" fillId="0" borderId="24" xfId="0" applyNumberFormat="1" applyFont="1" applyBorder="1" applyAlignment="1">
      <alignment horizontal="center" vertical="top" wrapText="1"/>
    </xf>
    <xf numFmtId="165" fontId="12" fillId="0" borderId="25" xfId="0" applyNumberFormat="1" applyFont="1" applyBorder="1" applyAlignment="1">
      <alignment horizontal="center" vertical="top"/>
    </xf>
    <xf numFmtId="0" fontId="12" fillId="0" borderId="47" xfId="0" applyFont="1" applyBorder="1" applyAlignment="1">
      <alignment horizontal="center" vertical="top" wrapText="1"/>
    </xf>
    <xf numFmtId="165" fontId="12" fillId="0" borderId="19" xfId="0" applyNumberFormat="1" applyFont="1" applyBorder="1" applyAlignment="1">
      <alignment horizontal="center" vertical="top" wrapText="1"/>
    </xf>
    <xf numFmtId="0" fontId="4" fillId="0" borderId="5" xfId="0" applyFont="1" applyBorder="1" applyAlignment="1">
      <alignment horizontal="center" vertical="center"/>
    </xf>
    <xf numFmtId="0" fontId="12" fillId="0" borderId="2" xfId="0" applyFont="1" applyBorder="1" applyAlignment="1">
      <alignment horizontal="center" vertical="top" wrapText="1"/>
    </xf>
    <xf numFmtId="2" fontId="15" fillId="0" borderId="2" xfId="0" applyNumberFormat="1" applyFont="1" applyBorder="1" applyAlignment="1">
      <alignment horizontal="center" vertical="top"/>
    </xf>
    <xf numFmtId="2" fontId="12" fillId="0" borderId="2" xfId="0" applyNumberFormat="1" applyFont="1" applyBorder="1" applyAlignment="1">
      <alignment horizontal="center" vertical="center"/>
    </xf>
    <xf numFmtId="0" fontId="4" fillId="0" borderId="3" xfId="0" applyFont="1" applyBorder="1" applyAlignment="1">
      <alignment horizontal="center" vertical="top" wrapText="1"/>
    </xf>
    <xf numFmtId="0" fontId="4" fillId="0" borderId="29" xfId="0" applyFont="1" applyBorder="1" applyAlignment="1">
      <alignment horizontal="center" vertical="top"/>
    </xf>
    <xf numFmtId="0" fontId="12" fillId="0" borderId="0" xfId="0" applyFont="1" applyAlignment="1">
      <alignment horizontal="center"/>
    </xf>
    <xf numFmtId="0" fontId="14" fillId="0" borderId="16" xfId="0" applyFont="1" applyBorder="1" applyAlignment="1">
      <alignment horizontal="left" vertical="center" wrapText="1"/>
    </xf>
    <xf numFmtId="0" fontId="15" fillId="0" borderId="17" xfId="0" applyFont="1" applyBorder="1" applyAlignment="1">
      <alignment horizontal="left" vertical="center" wrapText="1"/>
    </xf>
    <xf numFmtId="0" fontId="14" fillId="0" borderId="2" xfId="0" applyFont="1" applyBorder="1" applyAlignment="1">
      <alignment horizontal="left" vertical="center" wrapText="1"/>
    </xf>
    <xf numFmtId="0" fontId="15" fillId="0" borderId="18" xfId="0" applyFont="1" applyBorder="1" applyAlignment="1">
      <alignment horizontal="left" vertical="center" wrapText="1"/>
    </xf>
    <xf numFmtId="0" fontId="15" fillId="0" borderId="5" xfId="0" applyFont="1" applyBorder="1" applyAlignment="1">
      <alignment horizontal="left" vertical="center" wrapText="1"/>
    </xf>
    <xf numFmtId="165" fontId="10" fillId="0" borderId="35" xfId="0" applyNumberFormat="1" applyFont="1" applyBorder="1" applyAlignment="1">
      <alignment vertical="center"/>
    </xf>
    <xf numFmtId="0" fontId="4" fillId="0" borderId="30" xfId="0" applyFont="1" applyBorder="1" applyAlignment="1">
      <alignment horizontal="center"/>
    </xf>
    <xf numFmtId="0" fontId="12" fillId="5" borderId="2" xfId="0" applyFont="1" applyFill="1" applyBorder="1" applyAlignment="1">
      <alignment horizontal="center" vertical="center"/>
    </xf>
    <xf numFmtId="0" fontId="12" fillId="5" borderId="2" xfId="0" applyFont="1" applyFill="1" applyBorder="1" applyAlignment="1">
      <alignment horizontal="center" vertical="center" wrapText="1"/>
    </xf>
    <xf numFmtId="0" fontId="0" fillId="5" borderId="0" xfId="0" applyFill="1" applyAlignment="1">
      <alignment horizontal="center" vertical="center"/>
    </xf>
    <xf numFmtId="0" fontId="0" fillId="5" borderId="4" xfId="0" applyFill="1" applyBorder="1" applyAlignment="1">
      <alignment horizontal="center" vertical="center"/>
    </xf>
    <xf numFmtId="0" fontId="12" fillId="5" borderId="3" xfId="0" applyFont="1" applyFill="1" applyBorder="1" applyAlignment="1">
      <alignment horizontal="center" vertical="center" wrapText="1"/>
    </xf>
    <xf numFmtId="0" fontId="0" fillId="5" borderId="49" xfId="0" applyFill="1" applyBorder="1"/>
    <xf numFmtId="0" fontId="0" fillId="5" borderId="0" xfId="0" applyFill="1"/>
    <xf numFmtId="0" fontId="0" fillId="5" borderId="48" xfId="0" applyFill="1" applyBorder="1"/>
    <xf numFmtId="0" fontId="11" fillId="5" borderId="2" xfId="0" applyFont="1" applyFill="1" applyBorder="1" applyAlignment="1">
      <alignment horizontal="center" vertical="center"/>
    </xf>
    <xf numFmtId="0" fontId="0" fillId="0" borderId="27" xfId="0" applyBorder="1" applyAlignment="1">
      <alignment horizontal="center"/>
    </xf>
    <xf numFmtId="0" fontId="4" fillId="0" borderId="27" xfId="0" applyFont="1" applyBorder="1" applyAlignment="1">
      <alignment horizontal="center" vertical="top" wrapText="1"/>
    </xf>
    <xf numFmtId="0" fontId="11" fillId="0" borderId="30" xfId="0" applyFont="1" applyBorder="1" applyAlignment="1">
      <alignment horizontal="center" vertical="center" wrapText="1"/>
    </xf>
    <xf numFmtId="0" fontId="11" fillId="0" borderId="27" xfId="0" applyFont="1" applyBorder="1" applyAlignment="1">
      <alignment horizontal="center" vertical="top" wrapText="1"/>
    </xf>
    <xf numFmtId="0" fontId="12" fillId="0" borderId="35" xfId="0" applyFont="1" applyBorder="1" applyAlignment="1">
      <alignment horizontal="center" vertical="center" wrapText="1"/>
    </xf>
    <xf numFmtId="0" fontId="0" fillId="0" borderId="31" xfId="0" applyBorder="1" applyAlignment="1">
      <alignment horizontal="center" wrapText="1"/>
    </xf>
    <xf numFmtId="0" fontId="0" fillId="5" borderId="8" xfId="0" applyFill="1" applyBorder="1" applyAlignment="1">
      <alignment horizontal="center" wrapText="1"/>
    </xf>
    <xf numFmtId="0" fontId="0" fillId="5" borderId="31" xfId="0" applyFill="1" applyBorder="1" applyAlignment="1">
      <alignment horizontal="center" wrapText="1"/>
    </xf>
    <xf numFmtId="165" fontId="0" fillId="5" borderId="0" xfId="0" applyNumberFormat="1" applyFill="1"/>
    <xf numFmtId="0" fontId="12" fillId="6" borderId="0" xfId="0" applyFont="1" applyFill="1" applyAlignment="1">
      <alignment horizontal="left"/>
    </xf>
    <xf numFmtId="0" fontId="18" fillId="8" borderId="0" xfId="0" applyFont="1" applyFill="1" applyAlignment="1">
      <alignment vertical="top" wrapText="1"/>
    </xf>
    <xf numFmtId="0" fontId="14" fillId="0" borderId="16" xfId="0" applyFont="1" applyBorder="1" applyAlignment="1">
      <alignment horizontal="center" vertical="center" wrapText="1"/>
    </xf>
    <xf numFmtId="0" fontId="14" fillId="0" borderId="16" xfId="1" applyFont="1" applyFill="1" applyBorder="1" applyAlignment="1">
      <alignment horizontal="center" vertical="center" wrapText="1"/>
    </xf>
    <xf numFmtId="0" fontId="12" fillId="0" borderId="16" xfId="0" applyFont="1" applyBorder="1" applyAlignment="1">
      <alignment horizontal="center" vertical="center" wrapText="1"/>
    </xf>
    <xf numFmtId="0" fontId="4" fillId="9" borderId="0" xfId="0" applyFont="1" applyFill="1" applyAlignment="1">
      <alignment horizontal="left" vertical="center"/>
    </xf>
    <xf numFmtId="165" fontId="0" fillId="12" borderId="49" xfId="0" applyNumberFormat="1" applyFill="1" applyBorder="1"/>
    <xf numFmtId="165" fontId="0" fillId="12" borderId="0" xfId="0" applyNumberFormat="1" applyFill="1"/>
    <xf numFmtId="0" fontId="0" fillId="12" borderId="0" xfId="0" applyFill="1"/>
    <xf numFmtId="0" fontId="0" fillId="0" borderId="48" xfId="0" applyBorder="1"/>
    <xf numFmtId="0" fontId="11" fillId="11" borderId="52" xfId="0" applyFont="1" applyFill="1" applyBorder="1" applyAlignment="1">
      <alignment horizontal="center" vertical="center" wrapText="1"/>
    </xf>
    <xf numFmtId="0" fontId="12" fillId="11" borderId="31" xfId="0" applyFont="1" applyFill="1" applyBorder="1" applyAlignment="1">
      <alignment horizontal="center"/>
    </xf>
    <xf numFmtId="0" fontId="4" fillId="11" borderId="50" xfId="0" applyFont="1" applyFill="1" applyBorder="1"/>
    <xf numFmtId="0" fontId="4" fillId="11" borderId="31" xfId="0" applyFont="1" applyFill="1" applyBorder="1"/>
    <xf numFmtId="0" fontId="12" fillId="11" borderId="50" xfId="0" applyFont="1" applyFill="1" applyBorder="1" applyAlignment="1">
      <alignment horizontal="center"/>
    </xf>
    <xf numFmtId="0" fontId="12" fillId="11" borderId="31" xfId="0" applyFont="1" applyFill="1" applyBorder="1" applyAlignment="1">
      <alignment horizontal="left"/>
    </xf>
    <xf numFmtId="0" fontId="0" fillId="11" borderId="31" xfId="0" applyFill="1" applyBorder="1"/>
    <xf numFmtId="0" fontId="0" fillId="11" borderId="50" xfId="0" applyFill="1" applyBorder="1"/>
    <xf numFmtId="0" fontId="0" fillId="11" borderId="52" xfId="0" applyFill="1" applyBorder="1"/>
    <xf numFmtId="0" fontId="12" fillId="11" borderId="52" xfId="0" applyFont="1" applyFill="1" applyBorder="1" applyAlignment="1">
      <alignment horizontal="left"/>
    </xf>
    <xf numFmtId="0" fontId="0" fillId="6" borderId="0" xfId="0" applyFill="1"/>
    <xf numFmtId="0" fontId="12" fillId="11" borderId="27" xfId="0" applyFont="1" applyFill="1" applyBorder="1" applyAlignment="1">
      <alignment horizontal="left" vertical="top"/>
    </xf>
    <xf numFmtId="0" fontId="4" fillId="11" borderId="27" xfId="0" applyFont="1" applyFill="1" applyBorder="1" applyAlignment="1">
      <alignment horizontal="left" vertical="top" wrapText="1"/>
    </xf>
    <xf numFmtId="0" fontId="12" fillId="11" borderId="27" xfId="0" applyFont="1" applyFill="1" applyBorder="1" applyAlignment="1">
      <alignment horizontal="left" vertical="top" wrapText="1"/>
    </xf>
    <xf numFmtId="0" fontId="14" fillId="6" borderId="2" xfId="0" applyFont="1" applyFill="1" applyBorder="1" applyAlignment="1">
      <alignment horizontal="left" vertical="top" wrapText="1"/>
    </xf>
    <xf numFmtId="0" fontId="12" fillId="5" borderId="2" xfId="0" applyFont="1" applyFill="1" applyBorder="1" applyAlignment="1">
      <alignment horizontal="left" vertical="top"/>
    </xf>
    <xf numFmtId="0" fontId="12" fillId="5" borderId="2" xfId="0" applyFont="1" applyFill="1" applyBorder="1" applyAlignment="1">
      <alignment horizontal="left" vertical="top" wrapText="1"/>
    </xf>
    <xf numFmtId="0" fontId="12" fillId="5" borderId="3" xfId="0" applyFont="1" applyFill="1" applyBorder="1" applyAlignment="1">
      <alignment horizontal="left" vertical="top"/>
    </xf>
    <xf numFmtId="0" fontId="12" fillId="5" borderId="4" xfId="0" applyFont="1" applyFill="1" applyBorder="1" applyAlignment="1">
      <alignment horizontal="left" vertical="top"/>
    </xf>
    <xf numFmtId="0" fontId="12" fillId="5" borderId="20" xfId="0" applyFont="1" applyFill="1" applyBorder="1" applyAlignment="1">
      <alignment horizontal="left" vertical="top"/>
    </xf>
    <xf numFmtId="0" fontId="14" fillId="6" borderId="2" xfId="0" applyFont="1" applyFill="1" applyBorder="1" applyAlignment="1">
      <alignment horizontal="left" vertical="top"/>
    </xf>
    <xf numFmtId="0" fontId="12" fillId="6" borderId="2" xfId="0" applyFont="1" applyFill="1" applyBorder="1" applyAlignment="1">
      <alignment horizontal="left" vertical="top" wrapText="1"/>
    </xf>
    <xf numFmtId="0" fontId="14" fillId="6" borderId="16" xfId="1" applyFont="1" applyFill="1" applyBorder="1" applyAlignment="1">
      <alignment horizontal="left" vertical="top"/>
    </xf>
    <xf numFmtId="0" fontId="14" fillId="6" borderId="16" xfId="0" applyFont="1" applyFill="1" applyBorder="1" applyAlignment="1">
      <alignment horizontal="left" vertical="top"/>
    </xf>
    <xf numFmtId="0" fontId="12" fillId="6" borderId="17" xfId="0" applyFont="1" applyFill="1" applyBorder="1" applyAlignment="1">
      <alignment horizontal="left" vertical="top"/>
    </xf>
    <xf numFmtId="0" fontId="12" fillId="6" borderId="16" xfId="0" applyFont="1" applyFill="1" applyBorder="1" applyAlignment="1">
      <alignment horizontal="left" vertical="top"/>
    </xf>
    <xf numFmtId="0" fontId="12" fillId="6" borderId="2" xfId="1" applyFont="1" applyFill="1" applyBorder="1" applyAlignment="1">
      <alignment horizontal="left" vertical="top" wrapText="1"/>
    </xf>
    <xf numFmtId="0" fontId="12" fillId="6" borderId="2" xfId="1" applyFont="1" applyFill="1" applyBorder="1" applyAlignment="1">
      <alignment horizontal="left" vertical="top"/>
    </xf>
    <xf numFmtId="0" fontId="14" fillId="6" borderId="23" xfId="0" applyFont="1" applyFill="1" applyBorder="1" applyAlignment="1">
      <alignment horizontal="left" vertical="top" wrapText="1"/>
    </xf>
    <xf numFmtId="0" fontId="12" fillId="5" borderId="3" xfId="0" applyFont="1" applyFill="1" applyBorder="1" applyAlignment="1">
      <alignment horizontal="left" vertical="top" wrapText="1"/>
    </xf>
    <xf numFmtId="0" fontId="14" fillId="9" borderId="27" xfId="0" applyFont="1" applyFill="1" applyBorder="1" applyAlignment="1">
      <alignment horizontal="left" vertical="top" wrapText="1"/>
    </xf>
    <xf numFmtId="0" fontId="12" fillId="9" borderId="5" xfId="0" applyFont="1" applyFill="1" applyBorder="1" applyAlignment="1">
      <alignment horizontal="left" vertical="top" wrapText="1"/>
    </xf>
    <xf numFmtId="0" fontId="14" fillId="9" borderId="2" xfId="0" applyFont="1" applyFill="1" applyBorder="1" applyAlignment="1">
      <alignment horizontal="left" vertical="top" wrapText="1"/>
    </xf>
    <xf numFmtId="0" fontId="12" fillId="9" borderId="2" xfId="0" applyFont="1" applyFill="1" applyBorder="1" applyAlignment="1">
      <alignment horizontal="left" vertical="top" wrapText="1"/>
    </xf>
    <xf numFmtId="0" fontId="12" fillId="9" borderId="3" xfId="0" applyFont="1" applyFill="1" applyBorder="1" applyAlignment="1">
      <alignment horizontal="left" vertical="top" wrapText="1"/>
    </xf>
    <xf numFmtId="0" fontId="12" fillId="9" borderId="27" xfId="0" applyFont="1" applyFill="1" applyBorder="1" applyAlignment="1">
      <alignment horizontal="left" vertical="top"/>
    </xf>
    <xf numFmtId="0" fontId="14" fillId="9" borderId="27" xfId="0" applyFont="1" applyFill="1" applyBorder="1" applyAlignment="1">
      <alignment horizontal="left" vertical="top"/>
    </xf>
    <xf numFmtId="0" fontId="14" fillId="9" borderId="24" xfId="0" applyFont="1" applyFill="1" applyBorder="1" applyAlignment="1">
      <alignment horizontal="left" vertical="top" wrapText="1"/>
    </xf>
    <xf numFmtId="0" fontId="12" fillId="9" borderId="2" xfId="0" applyFont="1" applyFill="1" applyBorder="1" applyAlignment="1">
      <alignment horizontal="left" vertical="top"/>
    </xf>
    <xf numFmtId="0" fontId="12" fillId="9" borderId="24" xfId="0" applyFont="1" applyFill="1" applyBorder="1" applyAlignment="1">
      <alignment horizontal="left" vertical="top" wrapText="1"/>
    </xf>
    <xf numFmtId="0" fontId="12" fillId="9" borderId="11" xfId="0" applyFont="1" applyFill="1" applyBorder="1" applyAlignment="1">
      <alignment horizontal="left" vertical="top"/>
    </xf>
    <xf numFmtId="0" fontId="12" fillId="8" borderId="3" xfId="0" applyFont="1" applyFill="1" applyBorder="1" applyAlignment="1">
      <alignment horizontal="left" vertical="top" wrapText="1"/>
    </xf>
    <xf numFmtId="0" fontId="12" fillId="8" borderId="4" xfId="0" applyFont="1" applyFill="1" applyBorder="1" applyAlignment="1">
      <alignment horizontal="left" vertical="top" wrapText="1"/>
    </xf>
    <xf numFmtId="0" fontId="4" fillId="8" borderId="27" xfId="0" applyFont="1" applyFill="1" applyBorder="1" applyAlignment="1">
      <alignment horizontal="left" vertical="top" wrapText="1"/>
    </xf>
    <xf numFmtId="0" fontId="12" fillId="8" borderId="5" xfId="0" applyFont="1" applyFill="1" applyBorder="1" applyAlignment="1">
      <alignment horizontal="left" vertical="top" wrapText="1"/>
    </xf>
    <xf numFmtId="0" fontId="15" fillId="9" borderId="27" xfId="0" applyFont="1" applyFill="1" applyBorder="1" applyAlignment="1">
      <alignment horizontal="left" vertical="top" wrapText="1"/>
    </xf>
    <xf numFmtId="0" fontId="12" fillId="9" borderId="27" xfId="0" applyFont="1" applyFill="1" applyBorder="1" applyAlignment="1">
      <alignment horizontal="left" vertical="top" wrapText="1"/>
    </xf>
    <xf numFmtId="0" fontId="14" fillId="9" borderId="5" xfId="0" applyFont="1" applyFill="1" applyBorder="1" applyAlignment="1">
      <alignment horizontal="left" vertical="top" wrapText="1"/>
    </xf>
    <xf numFmtId="0" fontId="14" fillId="9" borderId="33" xfId="0" applyFont="1" applyFill="1" applyBorder="1" applyAlignment="1">
      <alignment horizontal="left" vertical="top" wrapText="1"/>
    </xf>
    <xf numFmtId="0" fontId="14" fillId="9" borderId="32" xfId="0" applyFont="1" applyFill="1" applyBorder="1" applyAlignment="1">
      <alignment horizontal="left" vertical="top" wrapText="1"/>
    </xf>
    <xf numFmtId="0" fontId="14" fillId="9" borderId="34" xfId="0" applyFont="1" applyFill="1" applyBorder="1" applyAlignment="1">
      <alignment horizontal="left" vertical="top" wrapText="1"/>
    </xf>
    <xf numFmtId="0" fontId="12" fillId="0" borderId="24" xfId="0" applyFont="1" applyBorder="1" applyAlignment="1">
      <alignment horizontal="left" vertical="top" wrapText="1"/>
    </xf>
    <xf numFmtId="165" fontId="12" fillId="0" borderId="24" xfId="0" applyNumberFormat="1" applyFont="1" applyBorder="1" applyAlignment="1">
      <alignment horizontal="left" vertical="top" wrapText="1"/>
    </xf>
    <xf numFmtId="165" fontId="12" fillId="0" borderId="25" xfId="0" applyNumberFormat="1" applyFont="1" applyBorder="1" applyAlignment="1">
      <alignment horizontal="left" vertical="top"/>
    </xf>
    <xf numFmtId="0" fontId="12" fillId="0" borderId="11" xfId="0" applyFont="1" applyBorder="1" applyAlignment="1">
      <alignment horizontal="left" vertical="top" wrapText="1"/>
    </xf>
    <xf numFmtId="0" fontId="12" fillId="0" borderId="47" xfId="0" applyFont="1" applyBorder="1" applyAlignment="1">
      <alignment horizontal="left" vertical="top" wrapText="1"/>
    </xf>
    <xf numFmtId="165" fontId="12" fillId="0" borderId="19" xfId="0" applyNumberFormat="1" applyFont="1" applyBorder="1" applyAlignment="1">
      <alignment horizontal="left" vertical="top" wrapText="1"/>
    </xf>
    <xf numFmtId="0" fontId="12" fillId="7" borderId="2" xfId="0" applyFont="1" applyFill="1" applyBorder="1" applyAlignment="1">
      <alignment horizontal="left" vertical="top" wrapText="1"/>
    </xf>
    <xf numFmtId="0" fontId="12" fillId="7" borderId="2" xfId="0" applyFont="1" applyFill="1" applyBorder="1" applyAlignment="1">
      <alignment horizontal="left" vertical="top"/>
    </xf>
    <xf numFmtId="2" fontId="12" fillId="7" borderId="2" xfId="0" applyNumberFormat="1" applyFont="1" applyFill="1" applyBorder="1" applyAlignment="1">
      <alignment horizontal="left" vertical="top" wrapText="1"/>
    </xf>
    <xf numFmtId="0" fontId="12" fillId="12" borderId="2" xfId="0" applyFont="1" applyFill="1" applyBorder="1" applyAlignment="1">
      <alignment horizontal="left" vertical="top" wrapText="1"/>
    </xf>
    <xf numFmtId="0" fontId="17" fillId="5" borderId="2" xfId="0" applyFont="1" applyFill="1" applyBorder="1" applyAlignment="1">
      <alignment horizontal="left" vertical="top" wrapText="1"/>
    </xf>
    <xf numFmtId="165" fontId="4" fillId="12" borderId="27" xfId="0" applyNumberFormat="1" applyFont="1" applyFill="1" applyBorder="1" applyAlignment="1">
      <alignment horizontal="left" vertical="top"/>
    </xf>
    <xf numFmtId="0" fontId="4" fillId="10" borderId="2" xfId="0" applyFont="1" applyFill="1" applyBorder="1" applyAlignment="1">
      <alignment horizontal="left" vertical="top" wrapText="1"/>
    </xf>
    <xf numFmtId="0" fontId="4" fillId="11" borderId="2" xfId="0" applyFont="1" applyFill="1" applyBorder="1" applyAlignment="1">
      <alignment horizontal="left" vertical="top" wrapText="1"/>
    </xf>
    <xf numFmtId="0" fontId="4" fillId="11" borderId="3" xfId="0" applyFont="1" applyFill="1" applyBorder="1" applyAlignment="1">
      <alignment horizontal="left" vertical="top" wrapText="1"/>
    </xf>
    <xf numFmtId="0" fontId="4" fillId="11" borderId="29" xfId="0" applyFont="1" applyFill="1" applyBorder="1" applyAlignment="1">
      <alignment horizontal="left" vertical="top"/>
    </xf>
    <xf numFmtId="0" fontId="12" fillId="11" borderId="29" xfId="0" applyFont="1" applyFill="1" applyBorder="1" applyAlignment="1">
      <alignment horizontal="left" vertical="top" wrapText="1"/>
    </xf>
    <xf numFmtId="0" fontId="12" fillId="0" borderId="0" xfId="0" applyFont="1" applyAlignment="1">
      <alignment horizontal="left" vertical="top"/>
    </xf>
    <xf numFmtId="0" fontId="12" fillId="5" borderId="0" xfId="0" applyFont="1" applyFill="1" applyAlignment="1">
      <alignment horizontal="left"/>
    </xf>
    <xf numFmtId="0" fontId="0" fillId="0" borderId="0" xfId="0" applyAlignment="1">
      <alignment horizontal="left"/>
    </xf>
    <xf numFmtId="0" fontId="19" fillId="10" borderId="0" xfId="4" applyFill="1"/>
    <xf numFmtId="0" fontId="12" fillId="11" borderId="32" xfId="0" applyFont="1" applyFill="1" applyBorder="1" applyAlignment="1">
      <alignment horizontal="center"/>
    </xf>
    <xf numFmtId="0" fontId="12" fillId="5" borderId="55" xfId="0" applyFont="1" applyFill="1" applyBorder="1" applyAlignment="1">
      <alignment horizontal="left" vertical="top"/>
    </xf>
    <xf numFmtId="0" fontId="20" fillId="0" borderId="0" xfId="0" applyFont="1"/>
    <xf numFmtId="0" fontId="0" fillId="13" borderId="0" xfId="0" applyFill="1"/>
    <xf numFmtId="0" fontId="4" fillId="14" borderId="27" xfId="0" applyFont="1" applyFill="1" applyBorder="1" applyAlignment="1">
      <alignment horizontal="left" vertical="top"/>
    </xf>
    <xf numFmtId="0" fontId="4" fillId="14" borderId="5" xfId="0" applyFont="1" applyFill="1" applyBorder="1" applyAlignment="1">
      <alignment horizontal="left" vertical="top"/>
    </xf>
    <xf numFmtId="0" fontId="4" fillId="14" borderId="2" xfId="0" applyFont="1" applyFill="1" applyBorder="1" applyAlignment="1">
      <alignment horizontal="left" vertical="top"/>
    </xf>
    <xf numFmtId="0" fontId="10" fillId="14" borderId="38" xfId="0" applyFont="1" applyFill="1" applyBorder="1" applyAlignment="1">
      <alignment horizontal="center" vertical="center" wrapText="1"/>
    </xf>
    <xf numFmtId="0" fontId="14" fillId="15" borderId="16" xfId="0" applyFont="1" applyFill="1" applyBorder="1" applyAlignment="1">
      <alignment horizontal="left" vertical="top" wrapText="1"/>
    </xf>
    <xf numFmtId="0" fontId="15" fillId="15" borderId="17" xfId="0" applyFont="1" applyFill="1" applyBorder="1" applyAlignment="1">
      <alignment horizontal="left" vertical="top" wrapText="1"/>
    </xf>
    <xf numFmtId="0" fontId="14" fillId="15" borderId="2" xfId="0" applyFont="1" applyFill="1" applyBorder="1" applyAlignment="1">
      <alignment horizontal="left" vertical="top" wrapText="1"/>
    </xf>
    <xf numFmtId="0" fontId="14" fillId="15" borderId="19" xfId="1" applyFont="1" applyFill="1" applyBorder="1" applyAlignment="1">
      <alignment horizontal="left" vertical="top" wrapText="1"/>
    </xf>
    <xf numFmtId="0" fontId="14" fillId="15" borderId="2" xfId="1" applyFont="1" applyFill="1" applyBorder="1" applyAlignment="1">
      <alignment horizontal="left" vertical="top" wrapText="1"/>
    </xf>
    <xf numFmtId="0" fontId="15" fillId="15" borderId="2" xfId="0" applyFont="1" applyFill="1" applyBorder="1" applyAlignment="1">
      <alignment horizontal="left" vertical="top"/>
    </xf>
    <xf numFmtId="0" fontId="14" fillId="15" borderId="2" xfId="0" applyFont="1" applyFill="1" applyBorder="1" applyAlignment="1">
      <alignment horizontal="left" vertical="top"/>
    </xf>
    <xf numFmtId="0" fontId="15" fillId="15" borderId="2" xfId="0" applyFont="1" applyFill="1" applyBorder="1" applyAlignment="1">
      <alignment horizontal="left" vertical="top" wrapText="1"/>
    </xf>
    <xf numFmtId="0" fontId="12" fillId="15" borderId="2" xfId="0" applyFont="1" applyFill="1" applyBorder="1" applyAlignment="1">
      <alignment horizontal="left" vertical="top" wrapText="1"/>
    </xf>
    <xf numFmtId="0" fontId="12" fillId="15" borderId="20" xfId="2" applyFont="1" applyFill="1" applyBorder="1" applyAlignment="1">
      <alignment horizontal="left" vertical="top" wrapText="1"/>
    </xf>
    <xf numFmtId="0" fontId="12" fillId="15" borderId="20" xfId="0" applyFont="1" applyFill="1" applyBorder="1" applyAlignment="1">
      <alignment horizontal="left" vertical="top" wrapText="1"/>
    </xf>
    <xf numFmtId="0" fontId="12" fillId="15" borderId="20" xfId="1" applyFont="1" applyFill="1" applyBorder="1" applyAlignment="1">
      <alignment horizontal="left" vertical="top" wrapText="1"/>
    </xf>
    <xf numFmtId="0" fontId="12" fillId="15" borderId="21" xfId="1" applyFont="1" applyFill="1" applyBorder="1" applyAlignment="1">
      <alignment horizontal="left" vertical="top"/>
    </xf>
    <xf numFmtId="0" fontId="12" fillId="15" borderId="0" xfId="0" applyFont="1" applyFill="1" applyAlignment="1">
      <alignment horizontal="left"/>
    </xf>
    <xf numFmtId="0" fontId="4" fillId="16" borderId="2" xfId="0" applyFont="1" applyFill="1" applyBorder="1" applyAlignment="1">
      <alignment horizontal="left" vertical="top" wrapText="1"/>
    </xf>
    <xf numFmtId="0" fontId="12" fillId="16" borderId="2" xfId="0" applyFont="1" applyFill="1" applyBorder="1" applyAlignment="1">
      <alignment horizontal="left" vertical="top" wrapText="1"/>
    </xf>
    <xf numFmtId="0" fontId="12" fillId="16" borderId="2" xfId="0" applyFont="1" applyFill="1" applyBorder="1" applyAlignment="1">
      <alignment horizontal="left" vertical="top"/>
    </xf>
    <xf numFmtId="0" fontId="11" fillId="10" borderId="35" xfId="0" applyFont="1" applyFill="1" applyBorder="1" applyAlignment="1">
      <alignment horizontal="center" vertical="center"/>
    </xf>
    <xf numFmtId="2" fontId="15" fillId="16" borderId="2" xfId="0" applyNumberFormat="1" applyFont="1" applyFill="1" applyBorder="1" applyAlignment="1">
      <alignment horizontal="left" vertical="top"/>
    </xf>
    <xf numFmtId="2" fontId="12" fillId="16" borderId="2" xfId="0" applyNumberFormat="1" applyFont="1" applyFill="1" applyBorder="1" applyAlignment="1">
      <alignment horizontal="left" vertical="top"/>
    </xf>
    <xf numFmtId="2" fontId="12" fillId="16" borderId="2" xfId="0" applyNumberFormat="1" applyFont="1" applyFill="1" applyBorder="1" applyAlignment="1">
      <alignment horizontal="left" vertical="top" wrapText="1"/>
    </xf>
    <xf numFmtId="0" fontId="4" fillId="5" borderId="2" xfId="0" applyFont="1" applyFill="1" applyBorder="1" applyAlignment="1">
      <alignment horizontal="left" vertical="top" wrapText="1"/>
    </xf>
    <xf numFmtId="0" fontId="21" fillId="5" borderId="2" xfId="0" applyFont="1" applyFill="1" applyBorder="1" applyAlignment="1">
      <alignment horizontal="left" vertical="top"/>
    </xf>
    <xf numFmtId="0" fontId="12" fillId="15" borderId="2" xfId="2" applyFont="1" applyFill="1" applyBorder="1" applyAlignment="1">
      <alignment horizontal="left" vertical="top" wrapText="1"/>
    </xf>
    <xf numFmtId="0" fontId="12" fillId="15" borderId="2" xfId="1" applyFont="1" applyFill="1" applyBorder="1" applyAlignment="1">
      <alignment horizontal="left" vertical="top" wrapText="1"/>
    </xf>
    <xf numFmtId="0" fontId="12" fillId="15" borderId="2" xfId="1" applyFont="1" applyFill="1" applyBorder="1" applyAlignment="1">
      <alignment horizontal="left" vertical="top"/>
    </xf>
    <xf numFmtId="0" fontId="12" fillId="6" borderId="2" xfId="0" applyFont="1" applyFill="1" applyBorder="1" applyAlignment="1">
      <alignment horizontal="left" vertical="top"/>
    </xf>
    <xf numFmtId="0" fontId="12" fillId="8" borderId="2" xfId="0" applyFont="1" applyFill="1" applyBorder="1" applyAlignment="1">
      <alignment horizontal="left" vertical="top" wrapText="1"/>
    </xf>
    <xf numFmtId="0" fontId="4" fillId="8" borderId="2" xfId="0" applyFont="1" applyFill="1" applyBorder="1" applyAlignment="1">
      <alignment horizontal="left" vertical="top" wrapText="1"/>
    </xf>
    <xf numFmtId="0" fontId="15" fillId="9" borderId="2" xfId="0" applyFont="1" applyFill="1" applyBorder="1" applyAlignment="1">
      <alignment horizontal="left" vertical="top" wrapText="1"/>
    </xf>
    <xf numFmtId="0" fontId="12" fillId="0" borderId="2" xfId="0" applyFont="1" applyBorder="1" applyAlignment="1">
      <alignment horizontal="left" vertical="top" wrapText="1"/>
    </xf>
    <xf numFmtId="165" fontId="12" fillId="0" borderId="2" xfId="0" applyNumberFormat="1" applyFont="1" applyBorder="1" applyAlignment="1">
      <alignment horizontal="left" vertical="top" wrapText="1"/>
    </xf>
    <xf numFmtId="165" fontId="12" fillId="0" borderId="2" xfId="0" applyNumberFormat="1" applyFont="1" applyBorder="1" applyAlignment="1">
      <alignment horizontal="left" vertical="top"/>
    </xf>
    <xf numFmtId="0" fontId="4" fillId="12" borderId="2" xfId="0" applyFont="1" applyFill="1" applyBorder="1" applyAlignment="1">
      <alignment horizontal="left" vertical="top" wrapText="1"/>
    </xf>
    <xf numFmtId="165" fontId="4" fillId="12" borderId="2" xfId="0" applyNumberFormat="1" applyFont="1" applyFill="1" applyBorder="1" applyAlignment="1">
      <alignment horizontal="left" vertical="top"/>
    </xf>
    <xf numFmtId="0" fontId="4" fillId="11" borderId="2" xfId="0" applyFont="1" applyFill="1" applyBorder="1" applyAlignment="1">
      <alignment horizontal="left" vertical="top"/>
    </xf>
    <xf numFmtId="0" fontId="12" fillId="11" borderId="2" xfId="0" applyFont="1" applyFill="1" applyBorder="1" applyAlignment="1">
      <alignment horizontal="left" vertical="top" wrapText="1"/>
    </xf>
    <xf numFmtId="0" fontId="12" fillId="11" borderId="2" xfId="0" applyFont="1" applyFill="1" applyBorder="1" applyAlignment="1">
      <alignment horizontal="left" vertical="top"/>
    </xf>
    <xf numFmtId="1" fontId="12" fillId="5" borderId="2" xfId="0" applyNumberFormat="1" applyFont="1" applyFill="1" applyBorder="1" applyAlignment="1">
      <alignment horizontal="left" vertical="top"/>
    </xf>
    <xf numFmtId="1" fontId="12" fillId="5" borderId="2" xfId="0" applyNumberFormat="1" applyFont="1" applyFill="1" applyBorder="1" applyAlignment="1">
      <alignment horizontal="left" vertical="top" wrapText="1"/>
    </xf>
    <xf numFmtId="1" fontId="15" fillId="15" borderId="2" xfId="0" applyNumberFormat="1" applyFont="1" applyFill="1" applyBorder="1" applyAlignment="1">
      <alignment horizontal="left" vertical="top" wrapText="1"/>
    </xf>
    <xf numFmtId="1" fontId="15" fillId="15" borderId="2" xfId="0" applyNumberFormat="1" applyFont="1" applyFill="1" applyBorder="1" applyAlignment="1">
      <alignment horizontal="left" vertical="top"/>
    </xf>
    <xf numFmtId="1" fontId="12" fillId="15" borderId="2" xfId="0" applyNumberFormat="1" applyFont="1" applyFill="1" applyBorder="1" applyAlignment="1">
      <alignment horizontal="left" vertical="top" wrapText="1"/>
    </xf>
    <xf numFmtId="1" fontId="12" fillId="15" borderId="2" xfId="2" applyNumberFormat="1" applyFont="1" applyFill="1" applyBorder="1" applyAlignment="1">
      <alignment horizontal="left" vertical="top" wrapText="1"/>
    </xf>
    <xf numFmtId="1" fontId="12" fillId="15" borderId="2" xfId="1" applyNumberFormat="1" applyFont="1" applyFill="1" applyBorder="1" applyAlignment="1">
      <alignment horizontal="left" vertical="top" wrapText="1"/>
    </xf>
    <xf numFmtId="1" fontId="12" fillId="15" borderId="2" xfId="1" applyNumberFormat="1" applyFont="1" applyFill="1" applyBorder="1" applyAlignment="1">
      <alignment horizontal="left" vertical="top"/>
    </xf>
    <xf numFmtId="1" fontId="12" fillId="6" borderId="2" xfId="1" applyNumberFormat="1" applyFont="1" applyFill="1" applyBorder="1" applyAlignment="1">
      <alignment horizontal="left" vertical="top" wrapText="1"/>
    </xf>
    <xf numFmtId="1" fontId="12" fillId="6" borderId="2" xfId="0" applyNumberFormat="1" applyFont="1" applyFill="1" applyBorder="1" applyAlignment="1">
      <alignment horizontal="left" vertical="top"/>
    </xf>
    <xf numFmtId="1" fontId="12" fillId="6" borderId="2" xfId="1" applyNumberFormat="1" applyFont="1" applyFill="1" applyBorder="1" applyAlignment="1">
      <alignment horizontal="left" vertical="top"/>
    </xf>
    <xf numFmtId="1" fontId="12" fillId="6" borderId="2" xfId="0" applyNumberFormat="1" applyFont="1" applyFill="1" applyBorder="1" applyAlignment="1">
      <alignment horizontal="left" vertical="top" wrapText="1"/>
    </xf>
    <xf numFmtId="1" fontId="12" fillId="9" borderId="2" xfId="0" applyNumberFormat="1" applyFont="1" applyFill="1" applyBorder="1" applyAlignment="1">
      <alignment horizontal="left" vertical="top" wrapText="1"/>
    </xf>
    <xf numFmtId="1" fontId="12" fillId="9" borderId="2" xfId="0" applyNumberFormat="1" applyFont="1" applyFill="1" applyBorder="1" applyAlignment="1">
      <alignment horizontal="left" vertical="top"/>
    </xf>
    <xf numFmtId="1" fontId="12" fillId="8" borderId="2" xfId="0" applyNumberFormat="1" applyFont="1" applyFill="1" applyBorder="1" applyAlignment="1">
      <alignment horizontal="left" vertical="top" wrapText="1"/>
    </xf>
    <xf numFmtId="1" fontId="4" fillId="8" borderId="2" xfId="0" applyNumberFormat="1" applyFont="1" applyFill="1" applyBorder="1" applyAlignment="1">
      <alignment horizontal="left" vertical="top" wrapText="1"/>
    </xf>
    <xf numFmtId="1" fontId="15" fillId="9" borderId="2" xfId="0" applyNumberFormat="1" applyFont="1" applyFill="1" applyBorder="1" applyAlignment="1">
      <alignment horizontal="left" vertical="top" wrapText="1"/>
    </xf>
    <xf numFmtId="1" fontId="12" fillId="0" borderId="2" xfId="0" applyNumberFormat="1" applyFont="1" applyBorder="1" applyAlignment="1">
      <alignment horizontal="left" vertical="top" wrapText="1"/>
    </xf>
    <xf numFmtId="1" fontId="12" fillId="0" borderId="2" xfId="0" applyNumberFormat="1" applyFont="1" applyBorder="1" applyAlignment="1">
      <alignment horizontal="left" vertical="top"/>
    </xf>
    <xf numFmtId="1" fontId="4" fillId="14" borderId="2" xfId="0" applyNumberFormat="1" applyFont="1" applyFill="1" applyBorder="1" applyAlignment="1">
      <alignment horizontal="left" vertical="top"/>
    </xf>
    <xf numFmtId="1" fontId="4" fillId="16" borderId="2" xfId="0" applyNumberFormat="1" applyFont="1" applyFill="1" applyBorder="1" applyAlignment="1">
      <alignment horizontal="left" vertical="top" wrapText="1"/>
    </xf>
    <xf numFmtId="1" fontId="12" fillId="16" borderId="2" xfId="0" applyNumberFormat="1" applyFont="1" applyFill="1" applyBorder="1" applyAlignment="1">
      <alignment horizontal="left" vertical="top" wrapText="1"/>
    </xf>
    <xf numFmtId="1" fontId="12" fillId="16" borderId="2" xfId="0" applyNumberFormat="1" applyFont="1" applyFill="1" applyBorder="1" applyAlignment="1">
      <alignment horizontal="left" vertical="top"/>
    </xf>
    <xf numFmtId="1" fontId="12" fillId="7" borderId="2" xfId="0" applyNumberFormat="1" applyFont="1" applyFill="1" applyBorder="1" applyAlignment="1">
      <alignment horizontal="left" vertical="top" wrapText="1"/>
    </xf>
    <xf numFmtId="1" fontId="12" fillId="7" borderId="2" xfId="0" applyNumberFormat="1" applyFont="1" applyFill="1" applyBorder="1" applyAlignment="1">
      <alignment horizontal="left" vertical="top"/>
    </xf>
    <xf numFmtId="1" fontId="15" fillId="16" borderId="2" xfId="0" applyNumberFormat="1" applyFont="1" applyFill="1" applyBorder="1" applyAlignment="1">
      <alignment horizontal="left" vertical="top"/>
    </xf>
    <xf numFmtId="1" fontId="12" fillId="12" borderId="2" xfId="0" applyNumberFormat="1" applyFont="1" applyFill="1" applyBorder="1" applyAlignment="1">
      <alignment horizontal="left" vertical="top" wrapText="1"/>
    </xf>
    <xf numFmtId="1" fontId="4" fillId="5" borderId="2" xfId="0" applyNumberFormat="1" applyFont="1" applyFill="1" applyBorder="1" applyAlignment="1">
      <alignment horizontal="left" vertical="top" wrapText="1"/>
    </xf>
    <xf numFmtId="1" fontId="4" fillId="12" borderId="2" xfId="0" applyNumberFormat="1" applyFont="1" applyFill="1" applyBorder="1" applyAlignment="1">
      <alignment horizontal="left" vertical="top" wrapText="1"/>
    </xf>
    <xf numFmtId="1" fontId="4" fillId="12" borderId="2" xfId="0" applyNumberFormat="1" applyFont="1" applyFill="1" applyBorder="1" applyAlignment="1">
      <alignment horizontal="left" vertical="top"/>
    </xf>
    <xf numFmtId="1" fontId="21" fillId="5" borderId="2" xfId="0" applyNumberFormat="1" applyFont="1" applyFill="1" applyBorder="1" applyAlignment="1">
      <alignment horizontal="left" vertical="top"/>
    </xf>
    <xf numFmtId="1" fontId="4" fillId="10" borderId="2" xfId="0" applyNumberFormat="1" applyFont="1" applyFill="1" applyBorder="1" applyAlignment="1">
      <alignment horizontal="left" vertical="top" wrapText="1"/>
    </xf>
    <xf numFmtId="1" fontId="4" fillId="11" borderId="2" xfId="0" applyNumberFormat="1" applyFont="1" applyFill="1" applyBorder="1" applyAlignment="1">
      <alignment horizontal="left" vertical="top" wrapText="1"/>
    </xf>
    <xf numFmtId="1" fontId="4" fillId="11" borderId="2" xfId="0" applyNumberFormat="1" applyFont="1" applyFill="1" applyBorder="1" applyAlignment="1">
      <alignment horizontal="left" vertical="top"/>
    </xf>
    <xf numFmtId="1" fontId="12" fillId="11" borderId="2" xfId="0" applyNumberFormat="1" applyFont="1" applyFill="1" applyBorder="1" applyAlignment="1">
      <alignment horizontal="left" vertical="top" wrapText="1"/>
    </xf>
    <xf numFmtId="1" fontId="12" fillId="11" borderId="2" xfId="0" applyNumberFormat="1" applyFont="1" applyFill="1" applyBorder="1" applyAlignment="1">
      <alignment horizontal="left" vertical="top"/>
    </xf>
    <xf numFmtId="0" fontId="4" fillId="0" borderId="2" xfId="0" applyFont="1" applyBorder="1" applyAlignment="1">
      <alignment horizontal="left"/>
    </xf>
    <xf numFmtId="0" fontId="4" fillId="0" borderId="2" xfId="0" applyFont="1" applyBorder="1" applyAlignment="1">
      <alignment horizontal="left" vertical="center" wrapText="1"/>
    </xf>
    <xf numFmtId="1" fontId="4" fillId="0" borderId="2" xfId="0" applyNumberFormat="1" applyFont="1" applyBorder="1" applyAlignment="1">
      <alignment horizontal="left"/>
    </xf>
    <xf numFmtId="0" fontId="0" fillId="0" borderId="2" xfId="0" applyBorder="1" applyAlignment="1">
      <alignment horizontal="left"/>
    </xf>
    <xf numFmtId="0" fontId="0" fillId="0" borderId="2" xfId="0" applyBorder="1" applyAlignment="1">
      <alignment horizontal="left" vertical="center" wrapText="1"/>
    </xf>
    <xf numFmtId="1" fontId="0" fillId="0" borderId="2" xfId="0" applyNumberFormat="1" applyBorder="1" applyAlignment="1">
      <alignment horizontal="left"/>
    </xf>
    <xf numFmtId="0" fontId="4" fillId="5" borderId="2" xfId="0" applyFont="1" applyFill="1" applyBorder="1" applyAlignment="1">
      <alignment horizontal="left" vertical="center"/>
    </xf>
    <xf numFmtId="0" fontId="0" fillId="5" borderId="2" xfId="0" applyFill="1" applyBorder="1" applyAlignment="1">
      <alignment horizontal="left" wrapText="1"/>
    </xf>
    <xf numFmtId="0" fontId="4" fillId="15" borderId="2" xfId="0" applyFont="1" applyFill="1" applyBorder="1" applyAlignment="1">
      <alignment horizontal="left" vertical="center" wrapText="1"/>
    </xf>
    <xf numFmtId="0" fontId="4" fillId="15" borderId="2" xfId="0" applyFont="1" applyFill="1" applyBorder="1" applyAlignment="1">
      <alignment horizontal="left" vertical="center"/>
    </xf>
    <xf numFmtId="0" fontId="4" fillId="6" borderId="2" xfId="0" applyFont="1" applyFill="1" applyBorder="1" applyAlignment="1">
      <alignment horizontal="left" vertical="center" wrapText="1"/>
    </xf>
    <xf numFmtId="0" fontId="0" fillId="5" borderId="2" xfId="0" applyFill="1" applyBorder="1" applyAlignment="1">
      <alignment horizontal="left" vertical="center"/>
    </xf>
    <xf numFmtId="0" fontId="4" fillId="9" borderId="2" xfId="0" applyFont="1" applyFill="1" applyBorder="1" applyAlignment="1">
      <alignment horizontal="left" vertical="center" wrapText="1"/>
    </xf>
    <xf numFmtId="0" fontId="4" fillId="8" borderId="2" xfId="0" applyFont="1" applyFill="1" applyBorder="1" applyAlignment="1">
      <alignment horizontal="left" vertical="center" wrapText="1"/>
    </xf>
    <xf numFmtId="0" fontId="4" fillId="0" borderId="2" xfId="0" applyFont="1" applyBorder="1" applyAlignment="1">
      <alignment horizontal="left" vertical="center"/>
    </xf>
    <xf numFmtId="0" fontId="4" fillId="14" borderId="2" xfId="0" applyFont="1" applyFill="1" applyBorder="1" applyAlignment="1">
      <alignment horizontal="left" vertical="center" wrapText="1"/>
    </xf>
    <xf numFmtId="0" fontId="0" fillId="14" borderId="2" xfId="0" applyFill="1" applyBorder="1" applyAlignment="1">
      <alignment horizontal="left"/>
    </xf>
    <xf numFmtId="0" fontId="4" fillId="16" borderId="2" xfId="0" applyFont="1" applyFill="1" applyBorder="1" applyAlignment="1">
      <alignment horizontal="left" vertical="center" wrapText="1"/>
    </xf>
    <xf numFmtId="0" fontId="4" fillId="16" borderId="2" xfId="0" applyFont="1" applyFill="1" applyBorder="1" applyAlignment="1">
      <alignment horizontal="left" vertical="center"/>
    </xf>
    <xf numFmtId="0" fontId="4" fillId="7" borderId="2" xfId="0" applyFont="1" applyFill="1" applyBorder="1" applyAlignment="1">
      <alignment horizontal="left" vertical="center"/>
    </xf>
    <xf numFmtId="0" fontId="4" fillId="7" borderId="2" xfId="0" applyFont="1" applyFill="1" applyBorder="1" applyAlignment="1">
      <alignment horizontal="left" vertical="center" wrapText="1"/>
    </xf>
    <xf numFmtId="2" fontId="4" fillId="16" borderId="2" xfId="0" applyNumberFormat="1" applyFont="1" applyFill="1" applyBorder="1" applyAlignment="1">
      <alignment horizontal="left" vertical="center"/>
    </xf>
    <xf numFmtId="2" fontId="4" fillId="7" borderId="2" xfId="0" applyNumberFormat="1" applyFont="1" applyFill="1" applyBorder="1" applyAlignment="1">
      <alignment horizontal="left" vertical="center"/>
    </xf>
    <xf numFmtId="2" fontId="4" fillId="16" borderId="2" xfId="0" applyNumberFormat="1" applyFont="1" applyFill="1" applyBorder="1" applyAlignment="1">
      <alignment horizontal="left" vertical="center" wrapText="1"/>
    </xf>
    <xf numFmtId="0" fontId="4" fillId="12" borderId="2" xfId="0" applyFont="1" applyFill="1" applyBorder="1" applyAlignment="1">
      <alignment horizontal="left" vertical="center"/>
    </xf>
    <xf numFmtId="2" fontId="4" fillId="12" borderId="2" xfId="0" applyNumberFormat="1" applyFont="1" applyFill="1" applyBorder="1" applyAlignment="1">
      <alignment horizontal="left" vertical="top" wrapText="1"/>
    </xf>
    <xf numFmtId="0" fontId="4" fillId="5" borderId="2" xfId="0" applyFont="1" applyFill="1" applyBorder="1" applyAlignment="1">
      <alignment horizontal="left" vertical="center" wrapText="1"/>
    </xf>
    <xf numFmtId="165" fontId="0" fillId="5" borderId="2" xfId="0" applyNumberFormat="1" applyFill="1" applyBorder="1" applyAlignment="1">
      <alignment horizontal="left"/>
    </xf>
    <xf numFmtId="165" fontId="4" fillId="5" borderId="2" xfId="0" applyNumberFormat="1" applyFont="1" applyFill="1" applyBorder="1" applyAlignment="1">
      <alignment horizontal="left" vertical="center"/>
    </xf>
    <xf numFmtId="0" fontId="4" fillId="12" borderId="2" xfId="0" applyFont="1" applyFill="1" applyBorder="1" applyAlignment="1">
      <alignment horizontal="left" vertical="center" wrapText="1"/>
    </xf>
    <xf numFmtId="165" fontId="0" fillId="12" borderId="2" xfId="0" applyNumberFormat="1" applyFill="1" applyBorder="1" applyAlignment="1">
      <alignment horizontal="left"/>
    </xf>
    <xf numFmtId="0" fontId="0" fillId="12" borderId="2" xfId="0" applyFill="1" applyBorder="1" applyAlignment="1">
      <alignment horizontal="left"/>
    </xf>
    <xf numFmtId="0" fontId="21" fillId="5" borderId="2" xfId="0" applyFont="1" applyFill="1" applyBorder="1" applyAlignment="1">
      <alignment horizontal="left" vertical="center"/>
    </xf>
    <xf numFmtId="0" fontId="0" fillId="5" borderId="2" xfId="0" applyFill="1" applyBorder="1" applyAlignment="1">
      <alignment horizontal="left"/>
    </xf>
    <xf numFmtId="0" fontId="21" fillId="10" borderId="2" xfId="0" applyFont="1" applyFill="1" applyBorder="1" applyAlignment="1">
      <alignment horizontal="left" vertical="center" wrapText="1"/>
    </xf>
    <xf numFmtId="0" fontId="0" fillId="10" borderId="2" xfId="0" applyFill="1" applyBorder="1" applyAlignment="1">
      <alignment horizontal="left"/>
    </xf>
    <xf numFmtId="0" fontId="21" fillId="11" borderId="2" xfId="0" applyFont="1" applyFill="1" applyBorder="1" applyAlignment="1">
      <alignment horizontal="left" vertical="center" wrapText="1"/>
    </xf>
    <xf numFmtId="0" fontId="0" fillId="11" borderId="2" xfId="0" applyFill="1" applyBorder="1" applyAlignment="1">
      <alignment horizontal="left"/>
    </xf>
    <xf numFmtId="0" fontId="4" fillId="11" borderId="2" xfId="0" applyFont="1" applyFill="1" applyBorder="1" applyAlignment="1">
      <alignment horizontal="left"/>
    </xf>
    <xf numFmtId="0" fontId="12" fillId="11" borderId="2" xfId="0" applyFont="1" applyFill="1" applyBorder="1" applyAlignment="1">
      <alignment horizontal="left"/>
    </xf>
    <xf numFmtId="0" fontId="0" fillId="0" borderId="0" xfId="0" applyAlignment="1">
      <alignment vertical="center"/>
    </xf>
    <xf numFmtId="0" fontId="22" fillId="0" borderId="0" xfId="0" applyFont="1"/>
    <xf numFmtId="49" fontId="22" fillId="0" borderId="0" xfId="0" applyNumberFormat="1" applyFont="1"/>
    <xf numFmtId="0" fontId="22" fillId="0" borderId="0" xfId="0" applyFont="1" applyAlignment="1">
      <alignment horizontal="left"/>
    </xf>
    <xf numFmtId="0" fontId="5" fillId="0" borderId="0" xfId="0" applyFont="1"/>
    <xf numFmtId="0" fontId="22" fillId="17" borderId="0" xfId="0" applyFont="1" applyFill="1" applyAlignment="1">
      <alignment horizontal="left"/>
    </xf>
    <xf numFmtId="0" fontId="22" fillId="17" borderId="0" xfId="0" applyFont="1" applyFill="1"/>
    <xf numFmtId="0" fontId="22" fillId="0" borderId="0" xfId="0" applyFont="1" applyAlignment="1">
      <alignment wrapText="1"/>
    </xf>
    <xf numFmtId="0" fontId="5" fillId="0" borderId="0" xfId="0" applyFont="1" applyAlignment="1">
      <alignment vertical="center"/>
    </xf>
    <xf numFmtId="0" fontId="15" fillId="15" borderId="62" xfId="0" applyFont="1" applyFill="1" applyBorder="1" applyAlignment="1">
      <alignment horizontal="left" vertical="top" wrapText="1"/>
    </xf>
    <xf numFmtId="0" fontId="15" fillId="15" borderId="63" xfId="0" applyFont="1" applyFill="1" applyBorder="1" applyAlignment="1">
      <alignment horizontal="left" vertical="top" wrapText="1"/>
    </xf>
    <xf numFmtId="0" fontId="15" fillId="15" borderId="10" xfId="0" applyFont="1" applyFill="1" applyBorder="1" applyAlignment="1">
      <alignment horizontal="left" vertical="top" wrapText="1"/>
    </xf>
    <xf numFmtId="0" fontId="14" fillId="9" borderId="65" xfId="0" applyFont="1" applyFill="1" applyBorder="1" applyAlignment="1">
      <alignment horizontal="left" vertical="top" wrapText="1"/>
    </xf>
    <xf numFmtId="0" fontId="12" fillId="5" borderId="44" xfId="0" applyFont="1" applyFill="1" applyBorder="1" applyAlignment="1">
      <alignment horizontal="left" vertical="top" wrapText="1"/>
    </xf>
    <xf numFmtId="165" fontId="0" fillId="0" borderId="0" xfId="0" applyNumberFormat="1" applyAlignment="1">
      <alignment horizontal="center"/>
    </xf>
    <xf numFmtId="0" fontId="27" fillId="0" borderId="0" xfId="0" applyFont="1" applyAlignment="1">
      <alignment horizontal="center" vertical="top" wrapText="1"/>
    </xf>
    <xf numFmtId="0" fontId="5" fillId="0" borderId="0" xfId="0" applyFont="1" applyAlignment="1">
      <alignment horizontal="left" wrapText="1"/>
    </xf>
    <xf numFmtId="0" fontId="5" fillId="0" borderId="0" xfId="0" applyFont="1" applyAlignment="1">
      <alignment horizontal="center" vertical="top" wrapText="1"/>
    </xf>
    <xf numFmtId="0" fontId="5" fillId="0" borderId="0" xfId="0" applyFont="1" applyAlignment="1">
      <alignment horizontal="left" vertical="center" wrapText="1"/>
    </xf>
    <xf numFmtId="0" fontId="5" fillId="0" borderId="0" xfId="0" applyFont="1" applyAlignment="1">
      <alignment horizontal="left" vertical="center"/>
    </xf>
    <xf numFmtId="0" fontId="5" fillId="0" borderId="0" xfId="0" applyFont="1" applyAlignment="1">
      <alignment horizontal="left" vertical="top"/>
    </xf>
    <xf numFmtId="0" fontId="27" fillId="0" borderId="0" xfId="0" applyFont="1" applyAlignment="1">
      <alignment horizontal="left" vertical="center" wrapText="1"/>
    </xf>
    <xf numFmtId="0" fontId="27" fillId="0" borderId="0" xfId="0" applyFont="1" applyAlignment="1">
      <alignment horizontal="left" vertical="top"/>
    </xf>
    <xf numFmtId="0" fontId="27" fillId="0" borderId="0" xfId="0" applyFont="1" applyAlignment="1">
      <alignment horizontal="left" vertical="center"/>
    </xf>
    <xf numFmtId="0" fontId="27" fillId="0" borderId="0" xfId="0" applyFont="1" applyAlignment="1">
      <alignment horizontal="left" vertical="top" wrapText="1"/>
    </xf>
    <xf numFmtId="0" fontId="5" fillId="0" borderId="0" xfId="0" applyFont="1" applyAlignment="1">
      <alignment horizontal="center" wrapText="1"/>
    </xf>
    <xf numFmtId="0" fontId="5" fillId="0" borderId="0" xfId="0" applyFont="1" applyAlignment="1">
      <alignment horizontal="left" vertical="top" wrapText="1"/>
    </xf>
    <xf numFmtId="0" fontId="5" fillId="0" borderId="0" xfId="0" applyFont="1" applyAlignment="1">
      <alignment horizontal="center" vertical="center" wrapText="1"/>
    </xf>
    <xf numFmtId="0" fontId="27" fillId="0" borderId="0" xfId="0" applyFont="1" applyAlignment="1">
      <alignment vertical="top" wrapText="1"/>
    </xf>
    <xf numFmtId="0" fontId="30" fillId="0" borderId="0" xfId="0" applyFont="1" applyAlignment="1">
      <alignment vertical="center"/>
    </xf>
    <xf numFmtId="0" fontId="30" fillId="0" borderId="19" xfId="0" applyFont="1" applyBorder="1" applyAlignment="1">
      <alignment vertical="center"/>
    </xf>
    <xf numFmtId="0" fontId="4" fillId="14" borderId="2" xfId="0" applyFont="1" applyFill="1" applyBorder="1" applyAlignment="1">
      <alignment horizontal="left" vertical="top" wrapText="1"/>
    </xf>
    <xf numFmtId="0" fontId="0" fillId="0" borderId="19" xfId="0" applyBorder="1"/>
    <xf numFmtId="0" fontId="24" fillId="7" borderId="2" xfId="0" applyFont="1" applyFill="1" applyBorder="1" applyAlignment="1">
      <alignment horizontal="left" vertical="top" wrapText="1"/>
    </xf>
    <xf numFmtId="0" fontId="10" fillId="7" borderId="36" xfId="0" applyFont="1" applyFill="1" applyBorder="1" applyAlignment="1">
      <alignment horizontal="center" vertical="center"/>
    </xf>
    <xf numFmtId="0" fontId="32" fillId="0" borderId="28" xfId="0" applyFont="1" applyBorder="1"/>
    <xf numFmtId="0" fontId="32" fillId="0" borderId="19" xfId="0" applyFont="1" applyBorder="1" applyAlignment="1">
      <alignment horizontal="center"/>
    </xf>
    <xf numFmtId="0" fontId="32" fillId="0" borderId="28" xfId="0" applyFont="1" applyBorder="1" applyAlignment="1">
      <alignment horizontal="center" vertical="center"/>
    </xf>
    <xf numFmtId="0" fontId="32" fillId="0" borderId="57" xfId="0" applyFont="1" applyBorder="1"/>
    <xf numFmtId="166" fontId="0" fillId="0" borderId="0" xfId="0" applyNumberFormat="1"/>
    <xf numFmtId="166" fontId="10" fillId="5" borderId="35" xfId="0" applyNumberFormat="1" applyFont="1" applyFill="1" applyBorder="1" applyAlignment="1">
      <alignment horizontal="center" vertical="center"/>
    </xf>
    <xf numFmtId="166" fontId="0" fillId="5" borderId="0" xfId="0" applyNumberFormat="1" applyFill="1"/>
    <xf numFmtId="166" fontId="17" fillId="5" borderId="2" xfId="0" applyNumberFormat="1" applyFont="1" applyFill="1" applyBorder="1" applyAlignment="1">
      <alignment horizontal="left" vertical="top" wrapText="1"/>
    </xf>
    <xf numFmtId="164" fontId="0" fillId="12" borderId="49" xfId="0" applyNumberFormat="1" applyFill="1" applyBorder="1"/>
    <xf numFmtId="164" fontId="17" fillId="12" borderId="3" xfId="0" applyNumberFormat="1" applyFont="1" applyFill="1" applyBorder="1" applyAlignment="1">
      <alignment horizontal="left" vertical="top" wrapText="1"/>
    </xf>
    <xf numFmtId="164" fontId="0" fillId="12" borderId="0" xfId="0" applyNumberFormat="1" applyFill="1"/>
    <xf numFmtId="164" fontId="4" fillId="12" borderId="27" xfId="0" applyNumberFormat="1" applyFont="1" applyFill="1" applyBorder="1" applyAlignment="1">
      <alignment horizontal="left" vertical="top"/>
    </xf>
    <xf numFmtId="0" fontId="0" fillId="0" borderId="66" xfId="0" applyBorder="1"/>
    <xf numFmtId="0" fontId="0" fillId="0" borderId="67" xfId="0" applyBorder="1"/>
    <xf numFmtId="0" fontId="0" fillId="0" borderId="68" xfId="0" applyBorder="1"/>
    <xf numFmtId="164" fontId="8" fillId="0" borderId="0" xfId="0" applyNumberFormat="1" applyFont="1"/>
    <xf numFmtId="164" fontId="8" fillId="0" borderId="0" xfId="0" applyNumberFormat="1" applyFont="1" applyAlignment="1">
      <alignment vertical="center"/>
    </xf>
    <xf numFmtId="164" fontId="8" fillId="0" borderId="0" xfId="0" applyNumberFormat="1" applyFont="1" applyAlignment="1">
      <alignment horizontal="center"/>
    </xf>
    <xf numFmtId="164" fontId="0" fillId="5" borderId="49" xfId="0" applyNumberFormat="1" applyFill="1" applyBorder="1"/>
    <xf numFmtId="164" fontId="0" fillId="5" borderId="0" xfId="0" applyNumberFormat="1" applyFill="1"/>
    <xf numFmtId="164" fontId="0" fillId="5" borderId="48" xfId="0" applyNumberFormat="1" applyFill="1" applyBorder="1"/>
    <xf numFmtId="164" fontId="11" fillId="5" borderId="2" xfId="0" applyNumberFormat="1" applyFont="1" applyFill="1" applyBorder="1" applyAlignment="1">
      <alignment horizontal="left" vertical="top"/>
    </xf>
    <xf numFmtId="164" fontId="12" fillId="16" borderId="2" xfId="0" applyNumberFormat="1" applyFont="1" applyFill="1" applyBorder="1" applyAlignment="1">
      <alignment horizontal="left" vertical="top" wrapText="1"/>
    </xf>
    <xf numFmtId="0" fontId="12" fillId="12" borderId="2" xfId="0" applyFont="1" applyFill="1" applyBorder="1" applyAlignment="1">
      <alignment horizontal="center" vertical="top" wrapText="1"/>
    </xf>
    <xf numFmtId="0" fontId="33" fillId="6" borderId="23" xfId="0" applyFont="1" applyFill="1" applyBorder="1" applyAlignment="1">
      <alignment horizontal="left" vertical="top" wrapText="1"/>
    </xf>
    <xf numFmtId="0" fontId="4" fillId="11" borderId="29" xfId="0" applyFont="1" applyFill="1" applyBorder="1"/>
    <xf numFmtId="0" fontId="4" fillId="11" borderId="26" xfId="0" applyFont="1" applyFill="1" applyBorder="1"/>
    <xf numFmtId="0" fontId="4" fillId="11" borderId="30" xfId="0" applyFont="1" applyFill="1" applyBorder="1"/>
    <xf numFmtId="0" fontId="0" fillId="11" borderId="29" xfId="0" applyFill="1" applyBorder="1"/>
    <xf numFmtId="0" fontId="0" fillId="11" borderId="27" xfId="0" applyFill="1" applyBorder="1"/>
    <xf numFmtId="164" fontId="11" fillId="5" borderId="35" xfId="0" applyNumberFormat="1" applyFont="1" applyFill="1" applyBorder="1" applyAlignment="1">
      <alignment horizontal="center" vertical="center"/>
    </xf>
    <xf numFmtId="0" fontId="9" fillId="15" borderId="31" xfId="0" applyFont="1" applyFill="1" applyBorder="1" applyAlignment="1">
      <alignment horizontal="center" vertical="center" wrapText="1"/>
    </xf>
    <xf numFmtId="0" fontId="10" fillId="0" borderId="31" xfId="0" applyFont="1" applyBorder="1" applyAlignment="1">
      <alignment horizontal="center" vertical="center" wrapText="1"/>
    </xf>
    <xf numFmtId="0" fontId="10" fillId="0" borderId="46" xfId="0" applyFont="1" applyBorder="1" applyAlignment="1">
      <alignment horizontal="center" vertical="center" wrapText="1"/>
    </xf>
    <xf numFmtId="164" fontId="11" fillId="5" borderId="5" xfId="0" applyNumberFormat="1" applyFont="1" applyFill="1" applyBorder="1" applyAlignment="1">
      <alignment vertical="top"/>
    </xf>
    <xf numFmtId="166" fontId="10" fillId="5" borderId="36" xfId="0" applyNumberFormat="1" applyFont="1" applyFill="1" applyBorder="1" applyAlignment="1">
      <alignment horizontal="center" vertical="center"/>
    </xf>
    <xf numFmtId="166" fontId="17" fillId="5" borderId="3" xfId="0" applyNumberFormat="1" applyFont="1" applyFill="1" applyBorder="1" applyAlignment="1">
      <alignment horizontal="left" vertical="top" wrapText="1"/>
    </xf>
    <xf numFmtId="0" fontId="0" fillId="0" borderId="28" xfId="0" applyBorder="1" applyAlignment="1">
      <alignment horizontal="center"/>
    </xf>
    <xf numFmtId="0" fontId="0" fillId="0" borderId="28" xfId="0" applyBorder="1"/>
    <xf numFmtId="0" fontId="34" fillId="0" borderId="28" xfId="0" applyFont="1" applyBorder="1"/>
    <xf numFmtId="0" fontId="23" fillId="0" borderId="28" xfId="0" applyFont="1" applyBorder="1"/>
    <xf numFmtId="0" fontId="5" fillId="0" borderId="28" xfId="0" applyFont="1" applyBorder="1" applyAlignment="1">
      <alignment vertical="center"/>
    </xf>
    <xf numFmtId="0" fontId="5" fillId="0" borderId="57" xfId="0" applyFont="1" applyBorder="1" applyAlignment="1">
      <alignment vertical="center"/>
    </xf>
    <xf numFmtId="0" fontId="34" fillId="0" borderId="0" xfId="0" applyFont="1"/>
    <xf numFmtId="0" fontId="23" fillId="0" borderId="0" xfId="0" applyFont="1"/>
    <xf numFmtId="0" fontId="5" fillId="0" borderId="58" xfId="0" applyFont="1" applyBorder="1" applyAlignment="1">
      <alignment vertical="center"/>
    </xf>
    <xf numFmtId="0" fontId="0" fillId="0" borderId="0" xfId="0" applyAlignment="1">
      <alignment wrapText="1"/>
    </xf>
    <xf numFmtId="0" fontId="12" fillId="15" borderId="57" xfId="1" applyFont="1" applyFill="1" applyBorder="1" applyAlignment="1">
      <alignment horizontal="left" vertical="top" wrapText="1"/>
    </xf>
    <xf numFmtId="164" fontId="11" fillId="5" borderId="2" xfId="0" applyNumberFormat="1" applyFont="1" applyFill="1" applyBorder="1" applyAlignment="1">
      <alignment horizontal="left" vertical="top" wrapText="1"/>
    </xf>
    <xf numFmtId="164" fontId="11" fillId="5" borderId="2" xfId="0" applyNumberFormat="1" applyFont="1" applyFill="1" applyBorder="1" applyAlignment="1">
      <alignment horizontal="center" vertical="top" wrapText="1"/>
    </xf>
    <xf numFmtId="0" fontId="12" fillId="6" borderId="22" xfId="1" applyFont="1" applyFill="1" applyBorder="1" applyAlignment="1">
      <alignment horizontal="left" vertical="top" wrapText="1"/>
    </xf>
    <xf numFmtId="0" fontId="12" fillId="6" borderId="4" xfId="1" applyFont="1" applyFill="1" applyBorder="1" applyAlignment="1">
      <alignment horizontal="left" vertical="top" wrapText="1"/>
    </xf>
    <xf numFmtId="0" fontId="12" fillId="6" borderId="64" xfId="0" applyFont="1" applyFill="1" applyBorder="1" applyAlignment="1">
      <alignment horizontal="left" vertical="top" wrapText="1"/>
    </xf>
    <xf numFmtId="0" fontId="33" fillId="9" borderId="27" xfId="0" applyFont="1" applyFill="1" applyBorder="1" applyAlignment="1">
      <alignment horizontal="left" vertical="top" wrapText="1"/>
    </xf>
    <xf numFmtId="0" fontId="4" fillId="18" borderId="2" xfId="0" applyFont="1" applyFill="1" applyBorder="1" applyAlignment="1">
      <alignment horizontal="center" vertical="center"/>
    </xf>
    <xf numFmtId="0" fontId="33" fillId="16" borderId="2" xfId="0" applyFont="1" applyFill="1" applyBorder="1" applyAlignment="1">
      <alignment horizontal="left" vertical="top" wrapText="1"/>
    </xf>
    <xf numFmtId="0" fontId="12" fillId="10" borderId="2" xfId="0" applyFont="1" applyFill="1" applyBorder="1" applyAlignment="1">
      <alignment horizontal="left" vertical="top" wrapText="1"/>
    </xf>
    <xf numFmtId="0" fontId="0" fillId="19" borderId="30" xfId="0" applyFill="1" applyBorder="1"/>
    <xf numFmtId="0" fontId="12" fillId="19" borderId="29" xfId="0" applyFont="1" applyFill="1" applyBorder="1" applyAlignment="1">
      <alignment horizontal="center"/>
    </xf>
    <xf numFmtId="0" fontId="0" fillId="0" borderId="69" xfId="0" applyBorder="1"/>
    <xf numFmtId="2" fontId="0" fillId="5" borderId="0" xfId="0" applyNumberFormat="1" applyFill="1" applyAlignment="1">
      <alignment horizontal="right"/>
    </xf>
    <xf numFmtId="0" fontId="5" fillId="0" borderId="19" xfId="0" applyFont="1" applyBorder="1" applyAlignment="1">
      <alignment horizontal="center"/>
    </xf>
    <xf numFmtId="0" fontId="32" fillId="0" borderId="57" xfId="0" applyFont="1" applyBorder="1" applyAlignment="1">
      <alignment horizontal="center"/>
    </xf>
    <xf numFmtId="0" fontId="5" fillId="0" borderId="57" xfId="0" applyFont="1" applyBorder="1" applyAlignment="1">
      <alignment horizontal="center"/>
    </xf>
    <xf numFmtId="0" fontId="5" fillId="0" borderId="58" xfId="0" applyFont="1" applyBorder="1" applyAlignment="1">
      <alignment horizontal="center"/>
    </xf>
    <xf numFmtId="0" fontId="32" fillId="0" borderId="28" xfId="0" applyFont="1" applyBorder="1" applyAlignment="1">
      <alignment horizontal="center"/>
    </xf>
    <xf numFmtId="0" fontId="5" fillId="0" borderId="28" xfId="0" applyFont="1" applyBorder="1" applyAlignment="1">
      <alignment horizontal="center"/>
    </xf>
    <xf numFmtId="0" fontId="5" fillId="0" borderId="0" xfId="0" applyFont="1" applyAlignment="1">
      <alignment horizontal="left"/>
    </xf>
    <xf numFmtId="0" fontId="5" fillId="0" borderId="0" xfId="0" applyFont="1" applyAlignment="1">
      <alignment horizontal="center" vertical="center"/>
    </xf>
    <xf numFmtId="0" fontId="5" fillId="0" borderId="28" xfId="0" applyFont="1" applyBorder="1"/>
    <xf numFmtId="0" fontId="12" fillId="0" borderId="28" xfId="0" applyFont="1" applyBorder="1" applyAlignment="1">
      <alignment horizontal="left" vertical="top" wrapText="1"/>
    </xf>
    <xf numFmtId="0" fontId="4" fillId="19" borderId="2" xfId="0" applyFont="1" applyFill="1" applyBorder="1" applyAlignment="1">
      <alignment horizontal="left" vertical="top" wrapText="1"/>
    </xf>
    <xf numFmtId="0" fontId="0" fillId="19" borderId="27" xfId="0" applyFill="1" applyBorder="1"/>
    <xf numFmtId="1" fontId="0" fillId="0" borderId="0" xfId="0" applyNumberFormat="1"/>
    <xf numFmtId="49" fontId="0" fillId="0" borderId="0" xfId="0" applyNumberFormat="1"/>
    <xf numFmtId="2" fontId="35" fillId="0" borderId="0" xfId="0" applyNumberFormat="1" applyFont="1"/>
    <xf numFmtId="0" fontId="10" fillId="19" borderId="36" xfId="0" applyFont="1" applyFill="1" applyBorder="1" applyAlignment="1">
      <alignment horizontal="center" vertical="center"/>
    </xf>
    <xf numFmtId="0" fontId="10" fillId="19" borderId="57" xfId="0" applyFont="1" applyFill="1" applyBorder="1" applyAlignment="1">
      <alignment horizontal="center" vertical="center"/>
    </xf>
    <xf numFmtId="0" fontId="4" fillId="19" borderId="2" xfId="0" applyFont="1" applyFill="1" applyBorder="1" applyAlignment="1">
      <alignment horizontal="center" vertical="center"/>
    </xf>
    <xf numFmtId="0" fontId="12" fillId="20" borderId="20" xfId="0" applyFont="1" applyFill="1" applyBorder="1" applyAlignment="1">
      <alignment horizontal="center" vertical="center" wrapText="1"/>
    </xf>
    <xf numFmtId="1" fontId="14" fillId="15" borderId="2" xfId="0" applyNumberFormat="1" applyFont="1" applyFill="1" applyBorder="1" applyAlignment="1">
      <alignment horizontal="left" vertical="top" wrapText="1"/>
    </xf>
    <xf numFmtId="0" fontId="14" fillId="15" borderId="2" xfId="0" applyFont="1" applyFill="1" applyBorder="1" applyAlignment="1">
      <alignment horizontal="left" vertical="center" wrapText="1"/>
    </xf>
    <xf numFmtId="1" fontId="14" fillId="15" borderId="2" xfId="1" applyNumberFormat="1" applyFont="1" applyFill="1" applyBorder="1" applyAlignment="1">
      <alignment horizontal="left" vertical="top" wrapText="1"/>
    </xf>
    <xf numFmtId="1" fontId="14" fillId="15" borderId="2" xfId="0" applyNumberFormat="1" applyFont="1" applyFill="1" applyBorder="1" applyAlignment="1">
      <alignment horizontal="left" vertical="top"/>
    </xf>
    <xf numFmtId="0" fontId="14" fillId="6" borderId="2" xfId="0" applyFont="1" applyFill="1" applyBorder="1" applyAlignment="1">
      <alignment horizontal="left" vertical="center"/>
    </xf>
    <xf numFmtId="0" fontId="14" fillId="6" borderId="2" xfId="1" applyFont="1" applyFill="1" applyBorder="1" applyAlignment="1">
      <alignment horizontal="left" vertical="top"/>
    </xf>
    <xf numFmtId="1" fontId="14" fillId="6" borderId="2" xfId="1" applyNumberFormat="1" applyFont="1" applyFill="1" applyBorder="1" applyAlignment="1">
      <alignment horizontal="left" vertical="top"/>
    </xf>
    <xf numFmtId="1" fontId="14" fillId="6" borderId="2" xfId="0" applyNumberFormat="1" applyFont="1" applyFill="1" applyBorder="1" applyAlignment="1">
      <alignment horizontal="left" vertical="top"/>
    </xf>
    <xf numFmtId="0" fontId="14" fillId="6" borderId="2" xfId="0" applyFont="1" applyFill="1" applyBorder="1" applyAlignment="1">
      <alignment horizontal="left" vertical="center" wrapText="1"/>
    </xf>
    <xf numFmtId="1" fontId="14" fillId="6" borderId="2" xfId="0" applyNumberFormat="1" applyFont="1" applyFill="1" applyBorder="1" applyAlignment="1">
      <alignment horizontal="left" vertical="top" wrapText="1"/>
    </xf>
    <xf numFmtId="1" fontId="14" fillId="9" borderId="2" xfId="0" applyNumberFormat="1" applyFont="1" applyFill="1" applyBorder="1" applyAlignment="1">
      <alignment horizontal="left" vertical="top" wrapText="1"/>
    </xf>
    <xf numFmtId="0" fontId="14" fillId="9" borderId="2" xfId="0" applyFont="1" applyFill="1" applyBorder="1" applyAlignment="1">
      <alignment horizontal="left" vertical="top"/>
    </xf>
    <xf numFmtId="1" fontId="14" fillId="9" borderId="2" xfId="0" applyNumberFormat="1" applyFont="1" applyFill="1" applyBorder="1" applyAlignment="1">
      <alignment horizontal="left" vertical="top"/>
    </xf>
    <xf numFmtId="0" fontId="14" fillId="16" borderId="2" xfId="0" applyFont="1" applyFill="1" applyBorder="1" applyAlignment="1">
      <alignment horizontal="left" vertical="top" wrapText="1"/>
    </xf>
    <xf numFmtId="1" fontId="14" fillId="16" borderId="2" xfId="0" applyNumberFormat="1" applyFont="1" applyFill="1" applyBorder="1" applyAlignment="1">
      <alignment horizontal="left" vertical="top" wrapText="1"/>
    </xf>
    <xf numFmtId="164" fontId="17" fillId="5" borderId="2" xfId="0" applyNumberFormat="1" applyFont="1" applyFill="1" applyBorder="1" applyAlignment="1">
      <alignment horizontal="left" vertical="top" wrapText="1"/>
    </xf>
    <xf numFmtId="0" fontId="36" fillId="0" borderId="2" xfId="0" applyFont="1" applyBorder="1" applyAlignment="1">
      <alignment horizontal="left" vertical="top" wrapText="1"/>
    </xf>
    <xf numFmtId="165" fontId="0" fillId="0" borderId="0" xfId="0" applyNumberFormat="1" applyAlignment="1">
      <alignment horizontal="right"/>
    </xf>
    <xf numFmtId="0" fontId="0" fillId="21" borderId="0" xfId="0" applyFill="1"/>
    <xf numFmtId="0" fontId="37" fillId="0" borderId="0" xfId="0" applyFont="1"/>
    <xf numFmtId="0" fontId="39" fillId="0" borderId="0" xfId="0" applyFont="1"/>
    <xf numFmtId="165" fontId="0" fillId="22" borderId="0" xfId="0" applyNumberFormat="1" applyFill="1" applyAlignment="1">
      <alignment horizontal="right"/>
    </xf>
    <xf numFmtId="165" fontId="0" fillId="22" borderId="0" xfId="0" applyNumberFormat="1" applyFill="1" applyAlignment="1">
      <alignment horizontal="center"/>
    </xf>
    <xf numFmtId="0" fontId="0" fillId="22" borderId="0" xfId="0" applyFill="1"/>
    <xf numFmtId="164" fontId="0" fillId="22" borderId="0" xfId="0" applyNumberFormat="1" applyFill="1"/>
    <xf numFmtId="165" fontId="0" fillId="22" borderId="0" xfId="0" applyNumberFormat="1" applyFill="1"/>
    <xf numFmtId="164" fontId="8" fillId="0" borderId="0" xfId="0" applyNumberFormat="1" applyFont="1" applyAlignment="1">
      <alignment vertical="center" wrapText="1"/>
    </xf>
    <xf numFmtId="164" fontId="8" fillId="0" borderId="0" xfId="0" applyNumberFormat="1" applyFont="1" applyAlignment="1">
      <alignment horizontal="center" wrapText="1"/>
    </xf>
    <xf numFmtId="165" fontId="0" fillId="0" borderId="0" xfId="0" applyNumberFormat="1" applyAlignment="1">
      <alignment horizontal="center" wrapText="1"/>
    </xf>
    <xf numFmtId="165" fontId="0" fillId="22" borderId="0" xfId="0" applyNumberFormat="1" applyFill="1" applyAlignment="1">
      <alignment horizontal="center" wrapText="1"/>
    </xf>
    <xf numFmtId="165" fontId="0" fillId="0" borderId="0" xfId="0" applyNumberFormat="1" applyAlignment="1">
      <alignment horizontal="right" wrapText="1"/>
    </xf>
    <xf numFmtId="164" fontId="0" fillId="0" borderId="0" xfId="0" applyNumberFormat="1" applyAlignment="1">
      <alignment wrapText="1"/>
    </xf>
    <xf numFmtId="165" fontId="0" fillId="22" borderId="0" xfId="0" applyNumberFormat="1" applyFill="1" applyAlignment="1">
      <alignment horizontal="right" wrapText="1"/>
    </xf>
    <xf numFmtId="0" fontId="0" fillId="0" borderId="31" xfId="0" applyBorder="1" applyAlignment="1">
      <alignment wrapText="1"/>
    </xf>
    <xf numFmtId="0" fontId="12" fillId="0" borderId="0" xfId="0" applyFont="1" applyAlignment="1">
      <alignment horizontal="left" vertical="top" wrapText="1"/>
    </xf>
    <xf numFmtId="0" fontId="0" fillId="23" borderId="0" xfId="0" applyFill="1" applyAlignment="1">
      <alignment wrapText="1"/>
    </xf>
    <xf numFmtId="165" fontId="0" fillId="24" borderId="0" xfId="0" applyNumberFormat="1" applyFill="1" applyAlignment="1">
      <alignment horizontal="center" wrapText="1"/>
    </xf>
    <xf numFmtId="164" fontId="0" fillId="24" borderId="0" xfId="0" applyNumberFormat="1" applyFill="1" applyAlignment="1">
      <alignment wrapText="1"/>
    </xf>
    <xf numFmtId="0" fontId="22" fillId="5" borderId="0" xfId="0" applyFont="1" applyFill="1"/>
    <xf numFmtId="0" fontId="5" fillId="5" borderId="0" xfId="0" applyFont="1" applyFill="1"/>
    <xf numFmtId="0" fontId="22" fillId="5" borderId="0" xfId="0" applyFont="1" applyFill="1" applyAlignment="1">
      <alignment wrapText="1"/>
    </xf>
    <xf numFmtId="0" fontId="0" fillId="5" borderId="28" xfId="0" applyFill="1" applyBorder="1" applyAlignment="1">
      <alignment horizontal="center"/>
    </xf>
    <xf numFmtId="0" fontId="0" fillId="5" borderId="0" xfId="0" applyFill="1" applyAlignment="1">
      <alignment horizontal="center"/>
    </xf>
    <xf numFmtId="0" fontId="0" fillId="5" borderId="0" xfId="0" applyFill="1" applyAlignment="1">
      <alignment horizontal="left" vertical="center"/>
    </xf>
    <xf numFmtId="165" fontId="0" fillId="5" borderId="0" xfId="0" applyNumberFormat="1" applyFill="1" applyAlignment="1">
      <alignment horizontal="center"/>
    </xf>
    <xf numFmtId="0" fontId="0" fillId="5" borderId="0" xfId="0" applyFill="1" applyAlignment="1">
      <alignment vertical="center"/>
    </xf>
    <xf numFmtId="0" fontId="5" fillId="5" borderId="28" xfId="0" applyFont="1" applyFill="1" applyBorder="1" applyAlignment="1">
      <alignment horizontal="center"/>
    </xf>
    <xf numFmtId="0" fontId="5" fillId="5" borderId="0" xfId="0" applyFont="1" applyFill="1" applyAlignment="1">
      <alignment horizontal="center"/>
    </xf>
    <xf numFmtId="2" fontId="0" fillId="5" borderId="0" xfId="0" applyNumberFormat="1" applyFill="1" applyAlignment="1">
      <alignment horizontal="center"/>
    </xf>
    <xf numFmtId="0" fontId="32" fillId="5" borderId="28" xfId="0" applyFont="1" applyFill="1" applyBorder="1"/>
    <xf numFmtId="0" fontId="32" fillId="5" borderId="28" xfId="0" applyFont="1" applyFill="1" applyBorder="1" applyAlignment="1">
      <alignment horizontal="center"/>
    </xf>
    <xf numFmtId="0" fontId="0" fillId="5" borderId="67" xfId="0" applyFill="1" applyBorder="1"/>
    <xf numFmtId="2" fontId="0" fillId="5" borderId="0" xfId="0" applyNumberFormat="1" applyFill="1"/>
    <xf numFmtId="0" fontId="22" fillId="25" borderId="0" xfId="0" applyFont="1" applyFill="1"/>
    <xf numFmtId="165" fontId="0" fillId="25" borderId="0" xfId="0" applyNumberFormat="1" applyFill="1"/>
    <xf numFmtId="165" fontId="0" fillId="25" borderId="0" xfId="0" applyNumberFormat="1" applyFill="1" applyAlignment="1">
      <alignment horizontal="right"/>
    </xf>
    <xf numFmtId="165" fontId="0" fillId="25" borderId="0" xfId="0" applyNumberFormat="1" applyFill="1" applyAlignment="1">
      <alignment horizontal="center" wrapText="1"/>
    </xf>
    <xf numFmtId="164" fontId="0" fillId="25" borderId="0" xfId="0" applyNumberFormat="1" applyFill="1"/>
    <xf numFmtId="0" fontId="0" fillId="25" borderId="0" xfId="0" applyFill="1"/>
    <xf numFmtId="0" fontId="0" fillId="25" borderId="0" xfId="0" applyFill="1" applyAlignment="1">
      <alignment wrapText="1"/>
    </xf>
    <xf numFmtId="165" fontId="40" fillId="0" borderId="0" xfId="0" applyNumberFormat="1" applyFont="1" applyAlignment="1">
      <alignment horizontal="right"/>
    </xf>
    <xf numFmtId="165" fontId="40" fillId="0" borderId="0" xfId="0" applyNumberFormat="1" applyFont="1" applyAlignment="1">
      <alignment horizontal="center" wrapText="1"/>
    </xf>
    <xf numFmtId="0" fontId="12" fillId="5" borderId="0" xfId="0" applyFont="1" applyFill="1" applyAlignment="1">
      <alignment horizontal="left" vertical="top"/>
    </xf>
    <xf numFmtId="0" fontId="11" fillId="11" borderId="27" xfId="0" applyFont="1" applyFill="1" applyBorder="1" applyAlignment="1">
      <alignment horizontal="center" vertical="center" wrapText="1"/>
    </xf>
    <xf numFmtId="0" fontId="12" fillId="11" borderId="29" xfId="0" applyFont="1" applyFill="1" applyBorder="1" applyAlignment="1">
      <alignment horizontal="center"/>
    </xf>
    <xf numFmtId="0" fontId="12" fillId="11" borderId="26" xfId="0" applyFont="1" applyFill="1" applyBorder="1" applyAlignment="1">
      <alignment horizontal="center"/>
    </xf>
    <xf numFmtId="0" fontId="11" fillId="11" borderId="29" xfId="0" applyFont="1" applyFill="1" applyBorder="1" applyAlignment="1">
      <alignment horizontal="center" vertical="center" wrapText="1"/>
    </xf>
    <xf numFmtId="0" fontId="11" fillId="11" borderId="26" xfId="0" applyFont="1" applyFill="1" applyBorder="1" applyAlignment="1">
      <alignment horizontal="center" vertical="center" wrapText="1"/>
    </xf>
    <xf numFmtId="0" fontId="11" fillId="11" borderId="30" xfId="0" applyFont="1" applyFill="1" applyBorder="1" applyAlignment="1">
      <alignment horizontal="center" vertical="center" wrapText="1"/>
    </xf>
    <xf numFmtId="0" fontId="4" fillId="11" borderId="29" xfId="0" applyFont="1" applyFill="1" applyBorder="1" applyAlignment="1">
      <alignment horizontal="center"/>
    </xf>
    <xf numFmtId="0" fontId="4" fillId="11" borderId="26" xfId="0" applyFont="1" applyFill="1" applyBorder="1" applyAlignment="1">
      <alignment horizontal="center"/>
    </xf>
    <xf numFmtId="0" fontId="4" fillId="11" borderId="30" xfId="0" applyFont="1" applyFill="1" applyBorder="1" applyAlignment="1">
      <alignment horizontal="center"/>
    </xf>
    <xf numFmtId="0" fontId="9" fillId="5" borderId="38" xfId="0" applyFont="1" applyFill="1" applyBorder="1" applyAlignment="1">
      <alignment horizontal="center" vertical="center"/>
    </xf>
    <xf numFmtId="0" fontId="9" fillId="5" borderId="31" xfId="0" applyFont="1" applyFill="1" applyBorder="1" applyAlignment="1">
      <alignment horizontal="center" vertical="center"/>
    </xf>
    <xf numFmtId="0" fontId="9" fillId="5" borderId="46" xfId="0" applyFont="1" applyFill="1" applyBorder="1" applyAlignment="1">
      <alignment horizontal="center" vertical="center"/>
    </xf>
    <xf numFmtId="0" fontId="9" fillId="5" borderId="37" xfId="0" applyFont="1" applyFill="1" applyBorder="1" applyAlignment="1">
      <alignment horizontal="center" vertical="center"/>
    </xf>
    <xf numFmtId="0" fontId="9" fillId="5" borderId="39" xfId="0" applyFont="1" applyFill="1" applyBorder="1" applyAlignment="1">
      <alignment horizontal="center" vertical="center"/>
    </xf>
    <xf numFmtId="0" fontId="9" fillId="5" borderId="36" xfId="0" applyFont="1" applyFill="1" applyBorder="1" applyAlignment="1">
      <alignment horizontal="center" vertical="center"/>
    </xf>
    <xf numFmtId="0" fontId="9" fillId="5" borderId="53" xfId="0" applyFont="1" applyFill="1" applyBorder="1" applyAlignment="1">
      <alignment horizontal="center" vertical="center"/>
    </xf>
    <xf numFmtId="0" fontId="4" fillId="5" borderId="29" xfId="0" applyFont="1" applyFill="1" applyBorder="1" applyAlignment="1">
      <alignment horizontal="center" vertical="center"/>
    </xf>
    <xf numFmtId="0" fontId="4" fillId="5" borderId="30" xfId="0" applyFont="1" applyFill="1" applyBorder="1" applyAlignment="1">
      <alignment horizontal="center" vertical="center"/>
    </xf>
    <xf numFmtId="0" fontId="9" fillId="15" borderId="0" xfId="0" applyFont="1" applyFill="1" applyAlignment="1">
      <alignment horizontal="center" vertical="center"/>
    </xf>
    <xf numFmtId="0" fontId="13" fillId="15" borderId="36" xfId="0" applyFont="1" applyFill="1" applyBorder="1" applyAlignment="1">
      <alignment horizontal="center" vertical="center" wrapText="1"/>
    </xf>
    <xf numFmtId="0" fontId="16" fillId="15" borderId="37" xfId="0" applyFont="1" applyFill="1" applyBorder="1" applyAlignment="1">
      <alignment horizontal="center" vertical="center" wrapText="1"/>
    </xf>
    <xf numFmtId="0" fontId="16" fillId="15" borderId="39" xfId="0" applyFont="1" applyFill="1" applyBorder="1" applyAlignment="1">
      <alignment horizontal="center" vertical="center" wrapText="1"/>
    </xf>
    <xf numFmtId="0" fontId="13" fillId="6" borderId="3" xfId="0" applyFont="1" applyFill="1" applyBorder="1" applyAlignment="1">
      <alignment horizontal="center" vertical="center"/>
    </xf>
    <xf numFmtId="0" fontId="13" fillId="6" borderId="4" xfId="0" applyFont="1" applyFill="1" applyBorder="1" applyAlignment="1">
      <alignment horizontal="center" vertical="center"/>
    </xf>
    <xf numFmtId="0" fontId="13" fillId="6" borderId="5" xfId="0" applyFont="1" applyFill="1" applyBorder="1" applyAlignment="1">
      <alignment horizontal="center" vertical="center"/>
    </xf>
    <xf numFmtId="0" fontId="13" fillId="6" borderId="3"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13" fillId="6" borderId="5" xfId="0" applyFont="1" applyFill="1" applyBorder="1" applyAlignment="1">
      <alignment horizontal="center" vertical="center" wrapText="1"/>
    </xf>
    <xf numFmtId="0" fontId="0" fillId="5" borderId="4" xfId="0" applyFill="1" applyBorder="1" applyAlignment="1">
      <alignment horizontal="center" wrapText="1"/>
    </xf>
    <xf numFmtId="0" fontId="0" fillId="5" borderId="61" xfId="0" applyFill="1" applyBorder="1" applyAlignment="1">
      <alignment horizontal="center" wrapText="1"/>
    </xf>
    <xf numFmtId="0" fontId="9" fillId="15" borderId="56" xfId="0" applyFont="1" applyFill="1" applyBorder="1" applyAlignment="1">
      <alignment horizontal="center" vertical="center" wrapText="1"/>
    </xf>
    <xf numFmtId="0" fontId="9" fillId="15" borderId="26" xfId="0" applyFont="1" applyFill="1" applyBorder="1" applyAlignment="1">
      <alignment horizontal="center" vertical="center" wrapText="1"/>
    </xf>
    <xf numFmtId="0" fontId="9" fillId="15" borderId="31" xfId="0" applyFont="1" applyFill="1" applyBorder="1" applyAlignment="1">
      <alignment horizontal="center" vertical="center" wrapText="1"/>
    </xf>
    <xf numFmtId="0" fontId="9" fillId="6" borderId="36" xfId="0" applyFont="1" applyFill="1" applyBorder="1" applyAlignment="1">
      <alignment horizontal="center" vertical="center" wrapText="1"/>
    </xf>
    <xf numFmtId="0" fontId="9" fillId="6" borderId="37"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4" fillId="9" borderId="6" xfId="0" applyFont="1" applyFill="1" applyBorder="1" applyAlignment="1">
      <alignment horizontal="center" vertical="center" wrapText="1"/>
    </xf>
    <xf numFmtId="0" fontId="4" fillId="9" borderId="7" xfId="0" applyFont="1" applyFill="1" applyBorder="1" applyAlignment="1">
      <alignment horizontal="center" vertical="center" wrapText="1"/>
    </xf>
    <xf numFmtId="2" fontId="4" fillId="7" borderId="3" xfId="0" applyNumberFormat="1" applyFont="1" applyFill="1" applyBorder="1" applyAlignment="1">
      <alignment horizontal="center" vertical="center"/>
    </xf>
    <xf numFmtId="2" fontId="4" fillId="7" borderId="4" xfId="0" applyNumberFormat="1" applyFont="1" applyFill="1" applyBorder="1" applyAlignment="1">
      <alignment horizontal="center" vertical="center"/>
    </xf>
    <xf numFmtId="2" fontId="4" fillId="7" borderId="5" xfId="0" applyNumberFormat="1" applyFont="1" applyFill="1" applyBorder="1" applyAlignment="1">
      <alignment horizontal="center" vertical="center"/>
    </xf>
    <xf numFmtId="0" fontId="4" fillId="9" borderId="9" xfId="0" applyFont="1" applyFill="1" applyBorder="1" applyAlignment="1">
      <alignment horizontal="center" vertical="center" wrapText="1"/>
    </xf>
    <xf numFmtId="0" fontId="4" fillId="9" borderId="8" xfId="0" applyFont="1" applyFill="1" applyBorder="1" applyAlignment="1">
      <alignment horizontal="center" vertical="center" wrapText="1"/>
    </xf>
    <xf numFmtId="0" fontId="4" fillId="9" borderId="12" xfId="0" applyFont="1" applyFill="1" applyBorder="1" applyAlignment="1">
      <alignment horizontal="center" vertical="center" wrapText="1"/>
    </xf>
    <xf numFmtId="0" fontId="10" fillId="16" borderId="57" xfId="0" applyFont="1" applyFill="1" applyBorder="1" applyAlignment="1">
      <alignment horizontal="center" vertical="center"/>
    </xf>
    <xf numFmtId="0" fontId="10" fillId="16" borderId="58" xfId="0" applyFont="1" applyFill="1" applyBorder="1" applyAlignment="1">
      <alignment horizontal="center" vertical="center"/>
    </xf>
    <xf numFmtId="0" fontId="10" fillId="16" borderId="59" xfId="0" applyFont="1" applyFill="1" applyBorder="1" applyAlignment="1">
      <alignment horizontal="center" vertical="center"/>
    </xf>
    <xf numFmtId="0" fontId="0" fillId="10" borderId="60" xfId="0" applyFill="1" applyBorder="1" applyAlignment="1">
      <alignment horizontal="center"/>
    </xf>
    <xf numFmtId="0" fontId="0" fillId="10" borderId="4" xfId="0" applyFill="1" applyBorder="1" applyAlignment="1">
      <alignment horizontal="center"/>
    </xf>
    <xf numFmtId="0" fontId="9" fillId="9" borderId="36" xfId="0" applyFont="1" applyFill="1" applyBorder="1" applyAlignment="1">
      <alignment horizontal="center" vertical="center" wrapText="1"/>
    </xf>
    <xf numFmtId="0" fontId="9" fillId="9" borderId="37" xfId="0" applyFont="1" applyFill="1" applyBorder="1" applyAlignment="1">
      <alignment horizontal="center" vertical="center" wrapText="1"/>
    </xf>
    <xf numFmtId="0" fontId="9" fillId="9" borderId="40" xfId="0" applyFont="1" applyFill="1" applyBorder="1" applyAlignment="1">
      <alignment horizontal="center" vertical="center" wrapText="1"/>
    </xf>
    <xf numFmtId="0" fontId="4" fillId="7" borderId="2" xfId="0" applyFont="1" applyFill="1" applyBorder="1" applyAlignment="1">
      <alignment horizontal="center" vertical="center"/>
    </xf>
    <xf numFmtId="2" fontId="4" fillId="16" borderId="2" xfId="0" applyNumberFormat="1" applyFont="1" applyFill="1" applyBorder="1" applyAlignment="1">
      <alignment horizontal="center" vertical="center"/>
    </xf>
    <xf numFmtId="0" fontId="4" fillId="16" borderId="2" xfId="0" applyFont="1" applyFill="1" applyBorder="1" applyAlignment="1">
      <alignment horizontal="center" vertical="center"/>
    </xf>
    <xf numFmtId="0" fontId="10" fillId="7" borderId="3" xfId="0" applyFont="1" applyFill="1" applyBorder="1" applyAlignment="1">
      <alignment horizontal="center" vertical="center"/>
    </xf>
    <xf numFmtId="0" fontId="10" fillId="7" borderId="4" xfId="0" applyFont="1" applyFill="1" applyBorder="1" applyAlignment="1">
      <alignment horizontal="center" vertical="center"/>
    </xf>
    <xf numFmtId="0" fontId="10" fillId="7" borderId="5" xfId="0" applyFont="1" applyFill="1" applyBorder="1" applyAlignment="1">
      <alignment horizontal="center" vertical="center"/>
    </xf>
    <xf numFmtId="0" fontId="9" fillId="0" borderId="43" xfId="0" applyFont="1" applyBorder="1" applyAlignment="1">
      <alignment horizontal="center" vertical="center" wrapText="1"/>
    </xf>
    <xf numFmtId="0" fontId="9" fillId="0" borderId="37" xfId="0" applyFont="1" applyBorder="1" applyAlignment="1">
      <alignment horizontal="center" vertical="center" wrapText="1"/>
    </xf>
    <xf numFmtId="0" fontId="9" fillId="0" borderId="40" xfId="0" applyFont="1" applyBorder="1" applyAlignment="1">
      <alignment horizontal="center" vertical="center" wrapText="1"/>
    </xf>
    <xf numFmtId="0" fontId="10" fillId="14" borderId="44" xfId="0" applyFont="1" applyFill="1" applyBorder="1" applyAlignment="1">
      <alignment horizontal="center" vertical="center" wrapText="1"/>
    </xf>
    <xf numFmtId="0" fontId="10" fillId="7" borderId="44" xfId="0" applyFont="1" applyFill="1" applyBorder="1" applyAlignment="1">
      <alignment horizontal="center" vertical="center"/>
    </xf>
    <xf numFmtId="0" fontId="10" fillId="7" borderId="35" xfId="0" applyFont="1" applyFill="1" applyBorder="1" applyAlignment="1">
      <alignment horizontal="center" vertical="center"/>
    </xf>
    <xf numFmtId="0" fontId="4" fillId="9" borderId="28" xfId="0" applyFont="1" applyFill="1" applyBorder="1" applyAlignment="1">
      <alignment horizontal="center" vertical="center" wrapText="1"/>
    </xf>
    <xf numFmtId="0" fontId="4" fillId="9" borderId="0" xfId="0" applyFont="1" applyFill="1" applyAlignment="1">
      <alignment horizontal="center" vertical="center" wrapText="1"/>
    </xf>
    <xf numFmtId="0" fontId="4" fillId="9" borderId="45" xfId="0" applyFont="1" applyFill="1" applyBorder="1" applyAlignment="1">
      <alignment horizontal="center" vertical="center" wrapText="1"/>
    </xf>
    <xf numFmtId="0" fontId="4" fillId="0" borderId="14" xfId="0" applyFont="1" applyBorder="1" applyAlignment="1">
      <alignment horizontal="center" vertical="center" wrapText="1"/>
    </xf>
    <xf numFmtId="0" fontId="4" fillId="9" borderId="3" xfId="0" applyFont="1" applyFill="1" applyBorder="1" applyAlignment="1">
      <alignment horizontal="center" vertical="center" wrapText="1"/>
    </xf>
    <xf numFmtId="0" fontId="4" fillId="9" borderId="4" xfId="0" applyFont="1" applyFill="1" applyBorder="1" applyAlignment="1">
      <alignment horizontal="center" vertical="center" wrapText="1"/>
    </xf>
    <xf numFmtId="0" fontId="4" fillId="9" borderId="10" xfId="0" applyFont="1" applyFill="1" applyBorder="1" applyAlignment="1">
      <alignment horizontal="center" vertical="center" wrapText="1"/>
    </xf>
    <xf numFmtId="0" fontId="4" fillId="8" borderId="3"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4" fillId="8" borderId="5" xfId="0" applyFont="1" applyFill="1" applyBorder="1" applyAlignment="1">
      <alignment horizontal="center" vertical="center" wrapText="1"/>
    </xf>
    <xf numFmtId="0" fontId="4" fillId="8" borderId="10" xfId="0" applyFont="1" applyFill="1" applyBorder="1" applyAlignment="1">
      <alignment horizontal="center" vertical="center" wrapText="1"/>
    </xf>
    <xf numFmtId="0" fontId="9" fillId="0" borderId="31" xfId="0" applyFont="1" applyBorder="1" applyAlignment="1">
      <alignment horizontal="center" vertical="center" wrapText="1"/>
    </xf>
    <xf numFmtId="0" fontId="9" fillId="0" borderId="46" xfId="0" applyFont="1" applyBorder="1" applyAlignment="1">
      <alignment horizontal="center" vertical="center" wrapText="1"/>
    </xf>
    <xf numFmtId="0" fontId="10" fillId="16" borderId="38" xfId="0" applyFont="1" applyFill="1" applyBorder="1" applyAlignment="1">
      <alignment horizontal="center" vertical="center" wrapText="1"/>
    </xf>
    <xf numFmtId="0" fontId="10" fillId="16" borderId="31" xfId="0" applyFont="1" applyFill="1" applyBorder="1" applyAlignment="1">
      <alignment horizontal="center" vertical="center" wrapText="1"/>
    </xf>
    <xf numFmtId="0" fontId="10" fillId="16" borderId="46" xfId="0" applyFont="1" applyFill="1" applyBorder="1" applyAlignment="1">
      <alignment horizontal="center" vertical="center" wrapText="1"/>
    </xf>
    <xf numFmtId="0" fontId="9" fillId="9" borderId="41" xfId="0" applyFont="1" applyFill="1" applyBorder="1" applyAlignment="1">
      <alignment horizontal="center" vertical="center" wrapText="1"/>
    </xf>
    <xf numFmtId="0" fontId="9" fillId="9" borderId="31" xfId="0" applyFont="1" applyFill="1" applyBorder="1" applyAlignment="1">
      <alignment horizontal="center" vertical="center" wrapText="1"/>
    </xf>
    <xf numFmtId="0" fontId="9" fillId="9" borderId="42" xfId="0" applyFont="1" applyFill="1" applyBorder="1" applyAlignment="1">
      <alignment horizontal="center" vertical="center" wrapText="1"/>
    </xf>
    <xf numFmtId="0" fontId="0" fillId="10" borderId="61" xfId="0" applyFill="1" applyBorder="1" applyAlignment="1">
      <alignment horizontal="center"/>
    </xf>
    <xf numFmtId="164" fontId="10" fillId="12" borderId="36" xfId="0" applyNumberFormat="1" applyFont="1" applyFill="1" applyBorder="1" applyAlignment="1">
      <alignment horizontal="center" vertical="center" wrapText="1"/>
    </xf>
    <xf numFmtId="164" fontId="10" fillId="12" borderId="37" xfId="0" applyNumberFormat="1" applyFont="1" applyFill="1" applyBorder="1" applyAlignment="1">
      <alignment horizontal="center" vertical="center" wrapText="1"/>
    </xf>
    <xf numFmtId="164" fontId="10" fillId="12" borderId="39" xfId="0" applyNumberFormat="1" applyFont="1" applyFill="1" applyBorder="1" applyAlignment="1">
      <alignment horizontal="center" vertical="center" wrapText="1"/>
    </xf>
    <xf numFmtId="0" fontId="0" fillId="11" borderId="49" xfId="0" applyFill="1" applyBorder="1" applyAlignment="1">
      <alignment horizontal="center"/>
    </xf>
    <xf numFmtId="0" fontId="0" fillId="11" borderId="0" xfId="0" applyFill="1" applyAlignment="1">
      <alignment horizontal="center"/>
    </xf>
    <xf numFmtId="2" fontId="4" fillId="16" borderId="3" xfId="0" applyNumberFormat="1" applyFont="1" applyFill="1" applyBorder="1" applyAlignment="1">
      <alignment horizontal="center" vertical="center" wrapText="1"/>
    </xf>
    <xf numFmtId="2" fontId="4" fillId="16" borderId="4" xfId="0" applyNumberFormat="1" applyFont="1" applyFill="1" applyBorder="1" applyAlignment="1">
      <alignment horizontal="center" vertical="center" wrapText="1"/>
    </xf>
    <xf numFmtId="2" fontId="4" fillId="16" borderId="5" xfId="0" applyNumberFormat="1" applyFont="1" applyFill="1" applyBorder="1" applyAlignment="1">
      <alignment horizontal="center" vertical="center" wrapText="1"/>
    </xf>
    <xf numFmtId="2" fontId="4" fillId="12" borderId="3" xfId="0" applyNumberFormat="1" applyFont="1" applyFill="1" applyBorder="1" applyAlignment="1">
      <alignment horizontal="center" vertical="top" wrapText="1"/>
    </xf>
    <xf numFmtId="2" fontId="4" fillId="12" borderId="4" xfId="0" applyNumberFormat="1" applyFont="1" applyFill="1" applyBorder="1" applyAlignment="1">
      <alignment horizontal="center" vertical="top" wrapText="1"/>
    </xf>
    <xf numFmtId="2" fontId="4" fillId="12" borderId="5" xfId="0" applyNumberFormat="1" applyFont="1" applyFill="1" applyBorder="1" applyAlignment="1">
      <alignment horizontal="center" vertical="top" wrapText="1"/>
    </xf>
    <xf numFmtId="0" fontId="0" fillId="11" borderId="4" xfId="0" applyFill="1" applyBorder="1" applyAlignment="1">
      <alignment horizontal="center"/>
    </xf>
    <xf numFmtId="0" fontId="10" fillId="5" borderId="35" xfId="0" applyFont="1" applyFill="1" applyBorder="1" applyAlignment="1">
      <alignment horizontal="center" vertical="center" wrapText="1"/>
    </xf>
    <xf numFmtId="0" fontId="11" fillId="10" borderId="35" xfId="0" applyFont="1" applyFill="1" applyBorder="1" applyAlignment="1">
      <alignment horizontal="center" vertical="center" wrapText="1"/>
    </xf>
    <xf numFmtId="166" fontId="10" fillId="5" borderId="36" xfId="0" applyNumberFormat="1" applyFont="1" applyFill="1" applyBorder="1" applyAlignment="1">
      <alignment horizontal="center" vertical="center"/>
    </xf>
    <xf numFmtId="166" fontId="10" fillId="5" borderId="39" xfId="0" applyNumberFormat="1" applyFont="1" applyFill="1" applyBorder="1" applyAlignment="1">
      <alignment horizontal="center" vertical="center"/>
    </xf>
    <xf numFmtId="164" fontId="11" fillId="5" borderId="36" xfId="0" applyNumberFormat="1" applyFont="1" applyFill="1" applyBorder="1" applyAlignment="1">
      <alignment horizontal="center" vertical="center"/>
    </xf>
    <xf numFmtId="164" fontId="11" fillId="5" borderId="37" xfId="0" applyNumberFormat="1" applyFont="1" applyFill="1" applyBorder="1" applyAlignment="1">
      <alignment horizontal="center" vertical="center"/>
    </xf>
    <xf numFmtId="164" fontId="11" fillId="5" borderId="39" xfId="0" applyNumberFormat="1" applyFont="1" applyFill="1" applyBorder="1" applyAlignment="1">
      <alignment horizontal="center" vertical="center"/>
    </xf>
    <xf numFmtId="0" fontId="11" fillId="11" borderId="35" xfId="0" applyFont="1" applyFill="1" applyBorder="1" applyAlignment="1">
      <alignment horizontal="center" vertical="center" wrapText="1"/>
    </xf>
    <xf numFmtId="0" fontId="11" fillId="11" borderId="38" xfId="0" applyFont="1" applyFill="1" applyBorder="1" applyAlignment="1">
      <alignment horizontal="center" vertical="center" wrapText="1"/>
    </xf>
    <xf numFmtId="0" fontId="11" fillId="11" borderId="54" xfId="0" applyFont="1" applyFill="1" applyBorder="1" applyAlignment="1">
      <alignment horizontal="center" vertical="center" wrapText="1"/>
    </xf>
    <xf numFmtId="0" fontId="10" fillId="16" borderId="36" xfId="0" applyFont="1" applyFill="1" applyBorder="1" applyAlignment="1">
      <alignment horizontal="center" vertical="center"/>
    </xf>
    <xf numFmtId="0" fontId="10" fillId="16" borderId="37" xfId="0" applyFont="1" applyFill="1" applyBorder="1" applyAlignment="1">
      <alignment horizontal="center" vertical="center"/>
    </xf>
    <xf numFmtId="0" fontId="10" fillId="16" borderId="39" xfId="0" applyFont="1" applyFill="1" applyBorder="1" applyAlignment="1">
      <alignment horizontal="center" vertical="center"/>
    </xf>
    <xf numFmtId="0" fontId="10" fillId="12" borderId="35" xfId="0" applyFont="1" applyFill="1" applyBorder="1" applyAlignment="1">
      <alignment horizontal="center" vertical="center"/>
    </xf>
    <xf numFmtId="0" fontId="0" fillId="0" borderId="32" xfId="0" applyBorder="1" applyAlignment="1">
      <alignment horizontal="center" vertical="center"/>
    </xf>
    <xf numFmtId="164" fontId="0" fillId="5" borderId="3" xfId="0" applyNumberFormat="1" applyFill="1" applyBorder="1" applyAlignment="1">
      <alignment horizontal="center"/>
    </xf>
    <xf numFmtId="164" fontId="0" fillId="5" borderId="4" xfId="0" applyNumberFormat="1" applyFill="1" applyBorder="1" applyAlignment="1">
      <alignment horizontal="center"/>
    </xf>
    <xf numFmtId="164" fontId="0" fillId="5" borderId="5" xfId="0" applyNumberFormat="1" applyFill="1" applyBorder="1" applyAlignment="1">
      <alignment horizontal="center"/>
    </xf>
    <xf numFmtId="0" fontId="9" fillId="15" borderId="3" xfId="0" applyFont="1" applyFill="1" applyBorder="1" applyAlignment="1">
      <alignment horizontal="center" vertical="center" wrapText="1"/>
    </xf>
    <xf numFmtId="0" fontId="9" fillId="15" borderId="4" xfId="0" applyFont="1" applyFill="1" applyBorder="1" applyAlignment="1">
      <alignment horizontal="center" vertical="center" wrapText="1"/>
    </xf>
    <xf numFmtId="0" fontId="9" fillId="15" borderId="5" xfId="0" applyFont="1" applyFill="1" applyBorder="1" applyAlignment="1">
      <alignment horizontal="center" vertical="center" wrapText="1"/>
    </xf>
    <xf numFmtId="0" fontId="4" fillId="7" borderId="35" xfId="0" applyFont="1" applyFill="1" applyBorder="1" applyAlignment="1">
      <alignment horizontal="center" vertical="center"/>
    </xf>
    <xf numFmtId="0" fontId="4" fillId="0" borderId="15" xfId="0" applyFont="1" applyBorder="1" applyAlignment="1">
      <alignment horizontal="center" vertical="center" wrapText="1"/>
    </xf>
    <xf numFmtId="0" fontId="0" fillId="14" borderId="51" xfId="0" applyFill="1" applyBorder="1" applyAlignment="1">
      <alignment horizontal="center"/>
    </xf>
    <xf numFmtId="0" fontId="0" fillId="14" borderId="37" xfId="0" applyFill="1" applyBorder="1" applyAlignment="1">
      <alignment horizontal="center"/>
    </xf>
    <xf numFmtId="0" fontId="0" fillId="14" borderId="39" xfId="0" applyFill="1" applyBorder="1" applyAlignment="1">
      <alignment horizontal="center"/>
    </xf>
    <xf numFmtId="0" fontId="31" fillId="14" borderId="52" xfId="0" applyFont="1" applyFill="1" applyBorder="1" applyAlignment="1">
      <alignment horizontal="left" wrapText="1"/>
    </xf>
    <xf numFmtId="0" fontId="31" fillId="14" borderId="50" xfId="0" applyFont="1" applyFill="1" applyBorder="1" applyAlignment="1">
      <alignment horizontal="left" wrapText="1"/>
    </xf>
    <xf numFmtId="0" fontId="4" fillId="16" borderId="36" xfId="0" applyFont="1" applyFill="1" applyBorder="1" applyAlignment="1">
      <alignment horizontal="center" vertical="center" wrapText="1"/>
    </xf>
    <xf numFmtId="0" fontId="4" fillId="16" borderId="37" xfId="0" applyFont="1" applyFill="1" applyBorder="1" applyAlignment="1">
      <alignment horizontal="center" vertical="center" wrapText="1"/>
    </xf>
    <xf numFmtId="0" fontId="4" fillId="16" borderId="39" xfId="0" applyFont="1" applyFill="1" applyBorder="1" applyAlignment="1">
      <alignment horizontal="center" vertical="center" wrapText="1"/>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27" xfId="0" applyFont="1" applyBorder="1" applyAlignment="1">
      <alignment horizontal="center" vertical="center"/>
    </xf>
    <xf numFmtId="0" fontId="4" fillId="7" borderId="3"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4" fillId="9" borderId="29" xfId="0" applyFont="1" applyFill="1" applyBorder="1" applyAlignment="1">
      <alignment horizontal="center" vertical="center" wrapText="1"/>
    </xf>
    <xf numFmtId="0" fontId="4" fillId="9" borderId="26" xfId="0" applyFont="1" applyFill="1" applyBorder="1" applyAlignment="1">
      <alignment horizontal="center" vertical="center" wrapText="1"/>
    </xf>
    <xf numFmtId="0" fontId="4" fillId="9" borderId="30" xfId="0" applyFont="1" applyFill="1" applyBorder="1" applyAlignment="1">
      <alignment horizontal="center" vertical="center" wrapText="1"/>
    </xf>
    <xf numFmtId="0" fontId="9" fillId="8" borderId="36" xfId="0" applyFont="1" applyFill="1" applyBorder="1" applyAlignment="1">
      <alignment horizontal="center" vertical="center" wrapText="1"/>
    </xf>
    <xf numFmtId="0" fontId="9" fillId="8" borderId="37" xfId="0" applyFont="1" applyFill="1" applyBorder="1" applyAlignment="1">
      <alignment horizontal="center" vertical="center" wrapText="1"/>
    </xf>
    <xf numFmtId="0" fontId="9" fillId="8" borderId="39" xfId="0" applyFont="1" applyFill="1" applyBorder="1" applyAlignment="1">
      <alignment horizontal="center" vertical="center" wrapText="1"/>
    </xf>
    <xf numFmtId="0" fontId="9" fillId="9" borderId="26" xfId="0" applyFont="1" applyFill="1" applyBorder="1" applyAlignment="1">
      <alignment horizontal="center" vertical="center" wrapText="1"/>
    </xf>
    <xf numFmtId="0" fontId="9" fillId="9" borderId="30" xfId="0" applyFont="1" applyFill="1" applyBorder="1" applyAlignment="1">
      <alignment horizontal="center" vertical="center" wrapText="1"/>
    </xf>
    <xf numFmtId="0" fontId="9" fillId="15" borderId="57" xfId="0" applyFont="1" applyFill="1" applyBorder="1" applyAlignment="1">
      <alignment horizontal="center" vertical="center" wrapText="1"/>
    </xf>
    <xf numFmtId="0" fontId="9" fillId="15" borderId="58" xfId="0" applyFont="1" applyFill="1" applyBorder="1" applyAlignment="1">
      <alignment horizontal="center" vertical="center" wrapText="1"/>
    </xf>
    <xf numFmtId="0" fontId="9" fillId="15" borderId="59" xfId="0" applyFont="1" applyFill="1" applyBorder="1" applyAlignment="1">
      <alignment horizontal="center" vertical="center" wrapText="1"/>
    </xf>
    <xf numFmtId="164" fontId="11" fillId="5" borderId="35" xfId="0" applyNumberFormat="1" applyFont="1" applyFill="1" applyBorder="1" applyAlignment="1">
      <alignment horizontal="center" vertical="center"/>
    </xf>
    <xf numFmtId="0" fontId="10" fillId="7" borderId="20" xfId="0" applyFont="1" applyFill="1" applyBorder="1" applyAlignment="1">
      <alignment horizontal="center" vertical="center"/>
    </xf>
    <xf numFmtId="0" fontId="4" fillId="7" borderId="2" xfId="0" applyFont="1" applyFill="1" applyBorder="1" applyAlignment="1">
      <alignment horizontal="center" vertical="center" wrapText="1"/>
    </xf>
    <xf numFmtId="0" fontId="11" fillId="11" borderId="52" xfId="0" applyFont="1" applyFill="1" applyBorder="1" applyAlignment="1">
      <alignment horizontal="center" vertical="center" wrapText="1"/>
    </xf>
    <xf numFmtId="0" fontId="11" fillId="11" borderId="50" xfId="0" applyFont="1" applyFill="1" applyBorder="1" applyAlignment="1">
      <alignment horizontal="center" vertical="center" wrapText="1"/>
    </xf>
    <xf numFmtId="0" fontId="11" fillId="11" borderId="31" xfId="0" applyFont="1" applyFill="1" applyBorder="1" applyAlignment="1">
      <alignment horizontal="center" vertical="center" wrapText="1"/>
    </xf>
    <xf numFmtId="0" fontId="9" fillId="0" borderId="41" xfId="0" applyFont="1" applyBorder="1" applyAlignment="1">
      <alignment horizontal="center" vertical="center" wrapText="1"/>
    </xf>
    <xf numFmtId="0" fontId="9" fillId="0" borderId="42" xfId="0" applyFont="1" applyBorder="1" applyAlignment="1">
      <alignment horizontal="center" vertical="center" wrapText="1"/>
    </xf>
    <xf numFmtId="0" fontId="9" fillId="0" borderId="35" xfId="0" applyFont="1" applyBorder="1" applyAlignment="1">
      <alignment horizontal="center" vertical="center"/>
    </xf>
    <xf numFmtId="0" fontId="9" fillId="0" borderId="38" xfId="0" applyFont="1" applyBorder="1" applyAlignment="1">
      <alignment horizontal="center" vertical="center"/>
    </xf>
    <xf numFmtId="0" fontId="9" fillId="0" borderId="31" xfId="0" applyFont="1" applyBorder="1" applyAlignment="1">
      <alignment horizontal="center" vertical="center"/>
    </xf>
    <xf numFmtId="0" fontId="9" fillId="0" borderId="46" xfId="0" applyFont="1" applyBorder="1" applyAlignment="1">
      <alignment horizontal="center" vertical="center"/>
    </xf>
    <xf numFmtId="0" fontId="9" fillId="0" borderId="36" xfId="0" applyFont="1" applyBorder="1" applyAlignment="1">
      <alignment horizontal="center" vertical="center" wrapText="1"/>
    </xf>
    <xf numFmtId="0" fontId="9" fillId="0" borderId="39" xfId="0" applyFont="1" applyBorder="1" applyAlignment="1">
      <alignment horizontal="center" vertical="center" wrapText="1"/>
    </xf>
    <xf numFmtId="0" fontId="9" fillId="0" borderId="36" xfId="0" applyFont="1" applyBorder="1" applyAlignment="1">
      <alignment horizontal="center" vertical="center"/>
    </xf>
    <xf numFmtId="0" fontId="9" fillId="0" borderId="37" xfId="0" applyFont="1" applyBorder="1" applyAlignment="1">
      <alignment horizontal="center" vertical="center"/>
    </xf>
    <xf numFmtId="0" fontId="9" fillId="0" borderId="39" xfId="0" applyFont="1" applyBorder="1" applyAlignment="1">
      <alignment horizontal="center" vertical="center"/>
    </xf>
    <xf numFmtId="0" fontId="9" fillId="0" borderId="26" xfId="0" applyFont="1" applyBorder="1" applyAlignment="1">
      <alignment horizontal="center" vertical="center" wrapText="1"/>
    </xf>
    <xf numFmtId="0" fontId="9" fillId="0" borderId="30"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44" xfId="0" applyFont="1" applyBorder="1" applyAlignment="1">
      <alignment horizontal="center" vertical="center" wrapText="1"/>
    </xf>
    <xf numFmtId="0" fontId="10" fillId="0" borderId="38"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46" xfId="0" applyFont="1" applyBorder="1" applyAlignment="1">
      <alignment horizontal="center" vertical="center" wrapText="1"/>
    </xf>
    <xf numFmtId="0" fontId="10" fillId="0" borderId="35" xfId="0" applyFont="1" applyBorder="1" applyAlignment="1">
      <alignment horizontal="center" vertical="center"/>
    </xf>
    <xf numFmtId="0" fontId="10" fillId="0" borderId="44" xfId="0" applyFont="1" applyBorder="1" applyAlignment="1">
      <alignment horizontal="center" vertical="center"/>
    </xf>
    <xf numFmtId="0" fontId="10" fillId="0" borderId="36" xfId="0" applyFont="1" applyBorder="1" applyAlignment="1">
      <alignment horizontal="center" vertical="center"/>
    </xf>
    <xf numFmtId="0" fontId="10" fillId="0" borderId="37" xfId="0" applyFont="1" applyBorder="1" applyAlignment="1">
      <alignment horizontal="center" vertical="center"/>
    </xf>
    <xf numFmtId="0" fontId="10" fillId="0" borderId="39" xfId="0" applyFont="1" applyBorder="1" applyAlignment="1">
      <alignment horizontal="center" vertical="center"/>
    </xf>
    <xf numFmtId="0" fontId="0" fillId="0" borderId="4" xfId="0" applyBorder="1" applyAlignment="1">
      <alignment horizontal="center" wrapText="1"/>
    </xf>
    <xf numFmtId="0" fontId="0" fillId="0" borderId="5" xfId="0" applyBorder="1" applyAlignment="1">
      <alignment horizontal="center" wrapText="1"/>
    </xf>
    <xf numFmtId="0" fontId="4" fillId="0" borderId="29" xfId="0" applyFont="1" applyBorder="1" applyAlignment="1">
      <alignment horizontal="center"/>
    </xf>
    <xf numFmtId="0" fontId="4" fillId="0" borderId="30" xfId="0" applyFont="1" applyBorder="1" applyAlignment="1">
      <alignment horizontal="center"/>
    </xf>
    <xf numFmtId="0" fontId="9" fillId="0" borderId="8" xfId="0" applyFont="1" applyBorder="1" applyAlignment="1">
      <alignment horizontal="center" vertical="center"/>
    </xf>
    <xf numFmtId="0" fontId="13"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13" fillId="0" borderId="3" xfId="0" applyFont="1" applyBorder="1" applyAlignment="1">
      <alignment horizontal="center" vertical="center"/>
    </xf>
    <xf numFmtId="0" fontId="16" fillId="0" borderId="4" xfId="0" applyFont="1" applyBorder="1" applyAlignment="1">
      <alignment horizontal="center" vertical="center"/>
    </xf>
    <xf numFmtId="0" fontId="11" fillId="5" borderId="35" xfId="0" applyFont="1" applyFill="1" applyBorder="1" applyAlignment="1">
      <alignment horizontal="center" vertical="center"/>
    </xf>
    <xf numFmtId="0" fontId="11" fillId="0" borderId="35" xfId="0" applyFont="1" applyBorder="1" applyAlignment="1">
      <alignment horizontal="center" vertical="center" wrapText="1"/>
    </xf>
    <xf numFmtId="0" fontId="11" fillId="0" borderId="38"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0" xfId="0" applyFont="1" applyAlignment="1">
      <alignment horizontal="center" vertical="center" wrapText="1"/>
    </xf>
    <xf numFmtId="0" fontId="4" fillId="0" borderId="45"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9"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29"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30" xfId="0" applyFont="1" applyBorder="1" applyAlignment="1">
      <alignment horizontal="center" vertical="center" wrapText="1"/>
    </xf>
    <xf numFmtId="2" fontId="4" fillId="0" borderId="2" xfId="0" applyNumberFormat="1" applyFont="1" applyBorder="1" applyAlignment="1">
      <alignment horizontal="center" vertical="center"/>
    </xf>
    <xf numFmtId="0" fontId="0" fillId="0" borderId="52" xfId="0" applyBorder="1" applyAlignment="1">
      <alignment horizontal="center"/>
    </xf>
    <xf numFmtId="0" fontId="0" fillId="0" borderId="50" xfId="0" applyBorder="1" applyAlignment="1">
      <alignment horizontal="center"/>
    </xf>
    <xf numFmtId="0" fontId="0" fillId="0" borderId="51" xfId="0" applyBorder="1" applyAlignment="1">
      <alignment horizontal="center"/>
    </xf>
    <xf numFmtId="0" fontId="0" fillId="0" borderId="37" xfId="0" applyBorder="1" applyAlignment="1">
      <alignment horizontal="center"/>
    </xf>
    <xf numFmtId="0" fontId="0" fillId="0" borderId="39" xfId="0" applyBorder="1" applyAlignment="1">
      <alignment horizontal="center"/>
    </xf>
    <xf numFmtId="0" fontId="4" fillId="0" borderId="36" xfId="0" applyFont="1" applyBorder="1" applyAlignment="1">
      <alignment horizontal="center" vertical="center" wrapText="1"/>
    </xf>
    <xf numFmtId="0" fontId="4" fillId="0" borderId="37" xfId="0" applyFont="1" applyBorder="1" applyAlignment="1">
      <alignment horizontal="center" vertical="center" wrapText="1"/>
    </xf>
    <xf numFmtId="0" fontId="4" fillId="0" borderId="39" xfId="0" applyFont="1" applyBorder="1" applyAlignment="1">
      <alignment horizontal="center" vertical="center" wrapText="1"/>
    </xf>
    <xf numFmtId="0" fontId="4" fillId="0" borderId="2" xfId="0" applyFont="1" applyBorder="1" applyAlignment="1">
      <alignment horizontal="center" vertical="center"/>
    </xf>
    <xf numFmtId="2" fontId="4" fillId="0" borderId="3" xfId="0" applyNumberFormat="1" applyFont="1" applyBorder="1" applyAlignment="1">
      <alignment horizontal="center" vertical="center" wrapText="1"/>
    </xf>
    <xf numFmtId="2" fontId="4" fillId="0" borderId="4" xfId="0" applyNumberFormat="1" applyFont="1" applyBorder="1" applyAlignment="1">
      <alignment horizontal="center" vertical="center" wrapText="1"/>
    </xf>
    <xf numFmtId="2" fontId="4" fillId="0" borderId="5" xfId="0" applyNumberFormat="1" applyFont="1" applyBorder="1" applyAlignment="1">
      <alignment horizontal="center" vertical="center" wrapText="1"/>
    </xf>
    <xf numFmtId="2" fontId="4" fillId="0" borderId="3" xfId="0" applyNumberFormat="1" applyFont="1" applyBorder="1" applyAlignment="1">
      <alignment horizontal="center" vertical="top" wrapText="1"/>
    </xf>
    <xf numFmtId="2" fontId="4" fillId="0" borderId="4" xfId="0" applyNumberFormat="1" applyFont="1" applyBorder="1" applyAlignment="1">
      <alignment horizontal="center" vertical="top" wrapText="1"/>
    </xf>
    <xf numFmtId="2" fontId="4" fillId="0" borderId="5" xfId="0" applyNumberFormat="1" applyFont="1" applyBorder="1" applyAlignment="1">
      <alignment horizontal="center" vertical="top" wrapText="1"/>
    </xf>
    <xf numFmtId="0" fontId="0" fillId="0" borderId="4" xfId="0" applyBorder="1" applyAlignment="1">
      <alignment horizontal="center"/>
    </xf>
    <xf numFmtId="0" fontId="0" fillId="0" borderId="49" xfId="0" applyBorder="1" applyAlignment="1">
      <alignment horizontal="center"/>
    </xf>
    <xf numFmtId="0" fontId="0" fillId="0" borderId="0" xfId="0" applyAlignment="1">
      <alignment horizontal="center"/>
    </xf>
    <xf numFmtId="0" fontId="4" fillId="0" borderId="2" xfId="0" applyFont="1" applyBorder="1" applyAlignment="1">
      <alignment horizontal="center" vertical="center" wrapText="1"/>
    </xf>
    <xf numFmtId="0" fontId="4" fillId="0" borderId="35" xfId="0" applyFont="1" applyBorder="1" applyAlignment="1">
      <alignment horizontal="center" vertical="center"/>
    </xf>
  </cellXfs>
  <cellStyles count="7">
    <cellStyle name="Calculation" xfId="3" builtinId="22"/>
    <cellStyle name="Good" xfId="1" builtinId="26"/>
    <cellStyle name="Hyperlink" xfId="4" builtinId="8"/>
    <cellStyle name="Neutral" xfId="2" builtinId="28"/>
    <cellStyle name="Normal" xfId="0" builtinId="0"/>
    <cellStyle name="Standard_Tabelle1" xfId="6" xr:uid="{ABFED8FC-2DCF-48F9-9AD1-A7CB58250456}"/>
    <cellStyle name="標準_Appendix 1改定" xfId="5" xr:uid="{C183B1BC-9AF8-42C4-B120-3FB1CEC77A56}"/>
  </cellStyles>
  <dxfs count="32">
    <dxf>
      <font>
        <b/>
        <i val="0"/>
        <color theme="5"/>
      </font>
      <fill>
        <patternFill>
          <bgColor theme="0" tint="-4.9989318521683403E-2"/>
        </patternFill>
      </fill>
    </dxf>
    <dxf>
      <font>
        <b/>
        <i val="0"/>
        <color theme="5"/>
      </font>
      <fill>
        <patternFill>
          <bgColor theme="0" tint="-4.9989318521683403E-2"/>
        </patternFill>
      </fill>
    </dxf>
    <dxf>
      <fill>
        <patternFill patternType="lightHorizontal">
          <bgColor theme="0" tint="-4.9989318521683403E-2"/>
        </patternFill>
      </fill>
    </dxf>
    <dxf>
      <fill>
        <patternFill patternType="lightHorizontal">
          <bgColor theme="0" tint="-4.9989318521683403E-2"/>
        </patternFill>
      </fill>
    </dxf>
    <dxf>
      <fill>
        <patternFill patternType="lightHorizontal">
          <bgColor theme="0" tint="-4.9989318521683403E-2"/>
        </patternFill>
      </fill>
    </dxf>
    <dxf>
      <fill>
        <patternFill patternType="lightHorizontal">
          <bgColor theme="0" tint="-4.9989318521683403E-2"/>
        </patternFill>
      </fill>
    </dxf>
    <dxf>
      <fill>
        <patternFill patternType="lightHorizontal">
          <bgColor theme="0" tint="-4.9989318521683403E-2"/>
        </patternFill>
      </fill>
    </dxf>
    <dxf>
      <fill>
        <patternFill patternType="lightHorizontal">
          <bgColor theme="0" tint="-4.9989318521683403E-2"/>
        </patternFill>
      </fill>
    </dxf>
    <dxf>
      <font>
        <color rgb="FF9C0006"/>
      </font>
      <fill>
        <patternFill>
          <bgColor rgb="FFFFC7CE"/>
        </patternFill>
      </fill>
    </dxf>
    <dxf>
      <font>
        <color rgb="FF9C0006"/>
      </font>
      <fill>
        <patternFill>
          <bgColor rgb="FFFFC7CE"/>
        </patternFill>
      </fill>
    </dxf>
    <dxf>
      <fill>
        <patternFill patternType="lightHorizontal">
          <bgColor theme="0" tint="-4.9989318521683403E-2"/>
        </patternFill>
      </fill>
    </dxf>
    <dxf>
      <fill>
        <patternFill patternType="lightHorizontal">
          <bgColor theme="0" tint="-4.9989318521683403E-2"/>
        </patternFill>
      </fill>
    </dxf>
    <dxf>
      <fill>
        <patternFill patternType="lightHorizontal">
          <bgColor theme="0" tint="-4.9989318521683403E-2"/>
        </patternFill>
      </fill>
    </dxf>
    <dxf>
      <fill>
        <patternFill patternType="lightHorizontal">
          <bgColor theme="0" tint="-4.9989318521683403E-2"/>
        </patternFill>
      </fill>
    </dxf>
    <dxf>
      <fill>
        <patternFill patternType="lightHorizontal">
          <bgColor theme="0" tint="-4.9989318521683403E-2"/>
        </patternFill>
      </fill>
    </dxf>
    <dxf>
      <fill>
        <patternFill patternType="lightHorizontal">
          <bgColor theme="0" tint="-4.9989318521683403E-2"/>
        </patternFill>
      </fill>
    </dxf>
    <dxf>
      <fill>
        <patternFill patternType="lightHorizontal">
          <bgColor theme="0" tint="-4.9989318521683403E-2"/>
        </patternFill>
      </fill>
    </dxf>
    <dxf>
      <fill>
        <patternFill patternType="lightHorizontal">
          <bgColor theme="0" tint="-4.9989318521683403E-2"/>
        </patternFill>
      </fill>
    </dxf>
    <dxf>
      <fill>
        <patternFill patternType="lightHorizontal">
          <bgColor theme="0" tint="-4.9989318521683403E-2"/>
        </patternFill>
      </fill>
    </dxf>
    <dxf>
      <fill>
        <patternFill patternType="lightHorizontal">
          <bgColor theme="0" tint="-4.9989318521683403E-2"/>
        </patternFill>
      </fill>
    </dxf>
    <dxf>
      <fill>
        <patternFill patternType="lightHorizontal">
          <bgColor theme="0" tint="-4.9989318521683403E-2"/>
        </patternFill>
      </fill>
    </dxf>
    <dxf>
      <fill>
        <patternFill patternType="lightHorizontal">
          <bgColor theme="0" tint="-4.9989318521683403E-2"/>
        </patternFill>
      </fill>
    </dxf>
    <dxf>
      <fill>
        <patternFill patternType="lightHorizontal">
          <bgColor theme="0" tint="-4.9989318521683403E-2"/>
        </patternFill>
      </fill>
    </dxf>
    <dxf>
      <fill>
        <patternFill patternType="lightHorizontal">
          <bgColor theme="0" tint="-4.9989318521683403E-2"/>
        </patternFill>
      </fill>
    </dxf>
    <dxf>
      <font>
        <b/>
        <i val="0"/>
        <color theme="5"/>
      </font>
      <fill>
        <patternFill>
          <bgColor theme="0" tint="-4.9989318521683403E-2"/>
        </patternFill>
      </fill>
    </dxf>
    <dxf>
      <font>
        <b/>
        <i val="0"/>
        <color theme="5"/>
      </font>
      <fill>
        <patternFill>
          <bgColor theme="0" tint="-4.9989318521683403E-2"/>
        </patternFill>
      </fill>
    </dxf>
    <dxf>
      <fill>
        <patternFill patternType="lightHorizontal">
          <bgColor theme="0" tint="-4.9989318521683403E-2"/>
        </patternFill>
      </fill>
    </dxf>
    <dxf>
      <fill>
        <patternFill patternType="lightHorizontal">
          <bgColor theme="0" tint="-4.9989318521683403E-2"/>
        </patternFill>
      </fill>
    </dxf>
    <dxf>
      <fill>
        <patternFill patternType="lightHorizontal">
          <bgColor theme="0" tint="-4.9989318521683403E-2"/>
        </patternFill>
      </fill>
    </dxf>
    <dxf>
      <fill>
        <patternFill patternType="lightHorizontal">
          <bgColor theme="0" tint="-4.9989318521683403E-2"/>
        </patternFill>
      </fill>
    </dxf>
    <dxf>
      <fill>
        <patternFill patternType="lightHorizontal">
          <bgColor theme="0" tint="-4.9989318521683403E-2"/>
        </patternFill>
      </fill>
    </dxf>
    <dxf>
      <fill>
        <patternFill patternType="lightHorizontal">
          <bgColor theme="0" tint="-4.9989318521683403E-2"/>
        </patternFill>
      </fill>
    </dxf>
  </dxfs>
  <tableStyles count="0" defaultTableStyle="TableStyleMedium2" defaultPivotStyle="PivotStyleLight16"/>
  <colors>
    <mruColors>
      <color rgb="FFEDE2BB"/>
      <color rgb="FFBC8E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ocumenttasks/documenttask1.xml><?xml version="1.0" encoding="utf-8"?>
<Tasks xmlns="http://schemas.microsoft.com/office/tasks/2019/documenttasks">
  <Task id="{DA06DF04-DA82-423E-B6F0-150F263D94A3}">
    <Anchor>
      <Comment id="{48688769-9C0F-4835-8338-B4EB3122470F}"/>
    </Anchor>
    <History>
      <Event time="2022-11-17T13:19:51.33" id="{45AAA1F5-D2BE-4BFE-854E-68908AF3AB89}">
        <Attribution userId="S::serena.manganelli@rd.nestle.com::327c2f1f-9d02-4804-b229-0eeb636085ee" userName="Manganelli,Serena,CH-LAUSANNE" userProvider="AD"/>
        <Anchor>
          <Comment id="{48688769-9C0F-4835-8338-B4EB3122470F}"/>
        </Anchor>
        <Create/>
      </Event>
      <Event time="2022-11-17T13:19:51.33" id="{4754D102-C791-4F2E-8366-24F7C57D68A7}">
        <Attribution userId="S::serena.manganelli@rd.nestle.com::327c2f1f-9d02-4804-b229-0eeb636085ee" userName="Manganelli,Serena,CH-LAUSANNE" userProvider="AD"/>
        <Anchor>
          <Comment id="{48688769-9C0F-4835-8338-B4EB3122470F}"/>
        </Anchor>
        <Assign userId="S::Elisa.Beneventi@rd.nestle.com::72195634-e9f8-4aa3-949c-027ff5036ead" userName="Beneventi,Elisa,CH-Konolfingen" userProvider="AD"/>
      </Event>
      <Event time="2022-11-17T13:19:51.33" id="{ACB8F2AF-82FE-4107-BA46-4A84A415F27A}">
        <Attribution userId="S::serena.manganelli@rd.nestle.com::327c2f1f-9d02-4804-b229-0eeb636085ee" userName="Manganelli,Serena,CH-LAUSANNE" userProvider="AD"/>
        <Anchor>
          <Comment id="{48688769-9C0F-4835-8338-B4EB3122470F}"/>
        </Anchor>
        <SetTitle title="@Beneventi,Elisa,CH-Konolfingen questo l'ho cambiato, faceva parte delle modifiche in Dotmatics, listate già cambiate nel software"/>
      </Event>
    </History>
  </Task>
  <Task id="{1E95CA2A-9E90-4AD9-9926-44BF5A0DB325}">
    <Anchor>
      <Comment id="{79F7F839-8176-4DD8-94A1-1A7AD5300C36}"/>
    </Anchor>
    <History>
      <Event time="2022-11-17T09:18:35.64" id="{C6CA7F08-0C70-4D24-8AC6-3F1291810A05}">
        <Attribution userId="S::serena.manganelli@rd.nestle.com::327c2f1f-9d02-4804-b229-0eeb636085ee" userName="Manganelli,Serena,CH-LAUSANNE" userProvider="AD"/>
        <Anchor>
          <Comment id="{79F7F839-8176-4DD8-94A1-1A7AD5300C36}"/>
        </Anchor>
        <Create/>
      </Event>
      <Event time="2022-11-17T09:18:35.64" id="{016FC4AC-F19E-4972-8781-D836DC3885E3}">
        <Attribution userId="S::serena.manganelli@rd.nestle.com::327c2f1f-9d02-4804-b229-0eeb636085ee" userName="Manganelli,Serena,CH-LAUSANNE" userProvider="AD"/>
        <Anchor>
          <Comment id="{79F7F839-8176-4DD8-94A1-1A7AD5300C36}"/>
        </Anchor>
        <Assign userId="S::Elisa.Beneventi@rd.nestle.com::72195634-e9f8-4aa3-949c-027ff5036ead" userName="Beneventi,Elisa,CH-Konolfingen" userProvider="AD"/>
      </Event>
      <Event time="2022-11-17T09:18:35.64" id="{6CE7D94A-6444-448C-854C-0A2798C47B39}">
        <Attribution userId="S::serena.manganelli@rd.nestle.com::327c2f1f-9d02-4804-b229-0eeb636085ee" userName="Manganelli,Serena,CH-LAUSANNE" userProvider="AD"/>
        <Anchor>
          <Comment id="{79F7F839-8176-4DD8-94A1-1A7AD5300C36}"/>
        </Anchor>
        <SetTitle title="@Beneventi,Elisa,CH-Konolfingen Eli, qui manca la TTC-source"/>
      </Event>
      <Event time="2022-11-17T09:30:00.49" id="{5ADE1A91-D951-42F3-B3C9-725297504FEB}">
        <Attribution userId="S::serena.manganelli@rd.nestle.com::327c2f1f-9d02-4804-b229-0eeb636085ee" userName="Manganelli,Serena,CH-LAUSANNE" userProvider="AD"/>
        <Progress percentComplete="100"/>
      </Event>
    </History>
  </Task>
  <Task id="{1720E4BF-F3EC-40B5-A365-442C5E28B34F}">
    <Anchor>
      <Comment id="{2D9CEEB9-159F-4F41-99E0-F1C5D7700B78}"/>
    </Anchor>
    <History>
      <Event time="2022-11-17T09:27:25.56" id="{701D933D-CD05-476A-BB9B-C9FA67832937}">
        <Attribution userId="S::serena.manganelli@rd.nestle.com::327c2f1f-9d02-4804-b229-0eeb636085ee" userName="Manganelli,Serena,CH-LAUSANNE" userProvider="AD"/>
        <Anchor>
          <Comment id="{2D9CEEB9-159F-4F41-99E0-F1C5D7700B78}"/>
        </Anchor>
        <Create/>
      </Event>
      <Event time="2022-11-17T09:27:25.56" id="{154D0323-6A9D-407E-B602-CB681269440A}">
        <Attribution userId="S::serena.manganelli@rd.nestle.com::327c2f1f-9d02-4804-b229-0eeb636085ee" userName="Manganelli,Serena,CH-LAUSANNE" userProvider="AD"/>
        <Anchor>
          <Comment id="{2D9CEEB9-159F-4F41-99E0-F1C5D7700B78}"/>
        </Anchor>
        <Assign userId="S::Elisa.Beneventi@rd.nestle.com::72195634-e9f8-4aa3-949c-027ff5036ead" userName="Beneventi,Elisa,CH-Konolfingen" userProvider="AD"/>
      </Event>
      <Event time="2022-11-17T09:27:25.56" id="{2BEAED17-FE02-4748-AD6C-1181C665DB9D}">
        <Attribution userId="S::serena.manganelli@rd.nestle.com::327c2f1f-9d02-4804-b229-0eeb636085ee" userName="Manganelli,Serena,CH-LAUSANNE" userProvider="AD"/>
        <Anchor>
          <Comment id="{2D9CEEB9-159F-4F41-99E0-F1C5D7700B78}"/>
        </Anchor>
        <SetTitle title="@Beneventi,Elisa,CH-Konolfingen Qui nota in file di testo sarebbe riportare il valore per ogni Cramer Class?"/>
      </Event>
      <Event time="2022-11-17T09:30:08.81" id="{90A1F9C5-CA54-4D7F-A731-DB731E3832B4}">
        <Attribution userId="S::serena.manganelli@rd.nestle.com::327c2f1f-9d02-4804-b229-0eeb636085ee" userName="Manganelli,Serena,CH-LAUSANNE" userProvider="AD"/>
        <Progress percentComplete="100"/>
      </Event>
    </History>
  </Task>
  <Task id="{38D5FAC3-4D0E-40D9-8B09-F28138801A3E}">
    <Anchor>
      <Comment id="{31E8BCD8-8F2C-4C98-8518-5FBCCBBC1954}"/>
    </Anchor>
    <History>
      <Event time="2022-11-17T09:22:47.18" id="{E86E9005-38E0-4C4B-BA8B-29FC37D9B2F6}">
        <Attribution userId="S::serena.manganelli@rd.nestle.com::327c2f1f-9d02-4804-b229-0eeb636085ee" userName="Manganelli,Serena,CH-LAUSANNE" userProvider="AD"/>
        <Anchor>
          <Comment id="{31E8BCD8-8F2C-4C98-8518-5FBCCBBC1954}"/>
        </Anchor>
        <Create/>
      </Event>
      <Event time="2022-11-17T09:22:47.18" id="{90C5A507-5477-4E9F-918D-2E04E9F1A348}">
        <Attribution userId="S::serena.manganelli@rd.nestle.com::327c2f1f-9d02-4804-b229-0eeb636085ee" userName="Manganelli,Serena,CH-LAUSANNE" userProvider="AD"/>
        <Anchor>
          <Comment id="{31E8BCD8-8F2C-4C98-8518-5FBCCBBC1954}"/>
        </Anchor>
        <Assign userId="S::Elisa.Beneventi@rd.nestle.com::72195634-e9f8-4aa3-949c-027ff5036ead" userName="Beneventi,Elisa,CH-Konolfingen" userProvider="AD"/>
      </Event>
      <Event time="2022-11-17T09:22:47.18" id="{0EB4E5B7-6E10-4B8A-9718-E8B32558534F}">
        <Attribution userId="S::serena.manganelli@rd.nestle.com::327c2f1f-9d02-4804-b229-0eeb636085ee" userName="Manganelli,Serena,CH-LAUSANNE" userProvider="AD"/>
        <Anchor>
          <Comment id="{31E8BCD8-8F2C-4C98-8518-5FBCCBBC1954}"/>
        </Anchor>
        <SetTitle title="@Beneventi,Elisa,CH-Konolfingenqui aggiungere a parte un po' di testo in un file di testo per spiegare contenuto dove hai scritto &quot;exclusion class&quot;"/>
      </Event>
      <Event time="2022-11-17T09:30:18.96" id="{E3B3D956-0ABD-4053-B616-A065B26D1373}">
        <Attribution userId="S::serena.manganelli@rd.nestle.com::327c2f1f-9d02-4804-b229-0eeb636085ee" userName="Manganelli,Serena,CH-LAUSANNE" userProvider="AD"/>
        <Progress percentComplete="100"/>
      </Event>
    </History>
  </Task>
  <Task id="{98F3AFF9-C52D-4C59-9FE1-2DC5559A7CB4}">
    <Anchor>
      <Comment id="{57BF31DA-877A-43B5-A541-F7355B7784E8}"/>
    </Anchor>
    <History>
      <Event time="2022-11-17T09:37:28.90" id="{95339461-621A-4B8B-8A40-6B40E8CFEF22}">
        <Attribution userId="S::serena.manganelli@rd.nestle.com::327c2f1f-9d02-4804-b229-0eeb636085ee" userName="Manganelli,Serena,CH-LAUSANNE" userProvider="AD"/>
        <Anchor>
          <Comment id="{57BF31DA-877A-43B5-A541-F7355B7784E8}"/>
        </Anchor>
        <Create/>
      </Event>
      <Event time="2022-11-17T09:37:28.90" id="{5B99EB02-6FDD-4B68-90D0-562F138C83E5}">
        <Attribution userId="S::serena.manganelli@rd.nestle.com::327c2f1f-9d02-4804-b229-0eeb636085ee" userName="Manganelli,Serena,CH-LAUSANNE" userProvider="AD"/>
        <Anchor>
          <Comment id="{57BF31DA-877A-43B5-A541-F7355B7784E8}"/>
        </Anchor>
        <Assign userId="S::Elisa.Beneventi@rd.nestle.com::72195634-e9f8-4aa3-949c-027ff5036ead" userName="Beneventi,Elisa,CH-Konolfingen" userProvider="AD"/>
      </Event>
      <Event time="2022-11-17T09:37:28.90" id="{BBA30136-544B-47E8-8735-013213DA4732}">
        <Attribution userId="S::serena.manganelli@rd.nestle.com::327c2f1f-9d02-4804-b229-0eeb636085ee" userName="Manganelli,Serena,CH-LAUSANNE" userProvider="AD"/>
        <Anchor>
          <Comment id="{57BF31DA-877A-43B5-A541-F7355B7784E8}"/>
        </Anchor>
        <SetTitle title="@Beneventi,Elisa,CH-Konolfingengood confidence va tolto, questa colonna vuoi tenerla solo per noi? Se è il caso va comunicato a Dotmatics. Qui abbiamo detto che serve la nota di testo per spiegare cosa è ND almeno."/>
      </Event>
      <Event time="2022-11-17T09:37:31.40" id="{DBD80BC2-3ED8-49B7-8FD2-EDF3B2F3AEA0}">
        <Attribution userId="S::serena.manganelli@rd.nestle.com::327c2f1f-9d02-4804-b229-0eeb636085ee" userName="Manganelli,Serena,CH-LAUSANNE" userProvider="AD"/>
        <Progress percentComplete="100"/>
      </Event>
    </History>
  </Task>
</Tasks>
</file>

<file path=xl/externalLinks/_rels/externalLink1.xml.rels><?xml version="1.0" encoding="UTF-8" standalone="yes"?>
<Relationships xmlns="http://schemas.openxmlformats.org/package/2006/relationships"><Relationship Id="rId1" Type="http://schemas.openxmlformats.org/officeDocument/2006/relationships/externalLinkPath" Target="/teams/ChemicalFoodSafetyGroup/IN%20SILICO/ACDC_PANDORA/Final/Key_files/RA_template_10No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heetName val="MUTA_Ames"/>
      <sheetName val="NOAEL_15_july"/>
      <sheetName val="Cramer_Class"/>
      <sheetName val="∆log analysis"/>
      <sheetName val="DART_ER_AR_Thy_Arom"/>
      <sheetName val="TD50"/>
      <sheetName val="check_exp_TTC_class_III"/>
    </sheetNames>
    <sheetDataSet>
      <sheetData sheetId="0">
        <row r="3">
          <cell r="BD3" t="str">
            <v>Cramer class with extensions</v>
          </cell>
          <cell r="BM3" t="str">
            <v xml:space="preserve">TTC </v>
          </cell>
        </row>
        <row r="4">
          <cell r="J4" t="str">
            <v>Exp/prediction</v>
          </cell>
          <cell r="K4" t="str">
            <v>Source</v>
          </cell>
          <cell r="BR4" t="str">
            <v>subchronic to chronic (UF 2)</v>
          </cell>
          <cell r="BS4" t="str">
            <v>LOAEL to NOAEL (UF 10)</v>
          </cell>
          <cell r="BT4" t="str">
            <v>DB UF (3-10)</v>
          </cell>
          <cell r="BU4" t="str">
            <v>SF applied</v>
          </cell>
          <cell r="CB4" t="str">
            <v>Source of MIN PREDICTION Exp superside</v>
          </cell>
        </row>
        <row r="5">
          <cell r="A5" t="str">
            <v>CAS NUMBER</v>
          </cell>
          <cell r="B5" t="str">
            <v>CHEMICAL NAME</v>
          </cell>
          <cell r="C5" t="str">
            <v>Nestle ID</v>
          </cell>
          <cell r="D5" t="str">
            <v>SMILES</v>
          </cell>
          <cell r="H5" t="str">
            <v>Call</v>
          </cell>
          <cell r="I5" t="str">
            <v>VEGA Reliability</v>
          </cell>
          <cell r="AH5" t="str">
            <v>Final MIN EXP overrule</v>
          </cell>
          <cell r="BA5" t="str">
            <v>Exp/prediction</v>
          </cell>
          <cell r="BN5" t="str">
            <v xml:space="preserve">TTC source </v>
          </cell>
          <cell r="BP5" t="str">
            <v>mg/kg bw/d</v>
          </cell>
          <cell r="CK5" t="str">
            <v>mg/kg bw/d</v>
          </cell>
          <cell r="GM5" t="str">
            <v>Remarks TTC-derived</v>
          </cell>
          <cell r="GN5" t="str">
            <v>Remarks chemical specific</v>
          </cell>
          <cell r="GP5" t="str">
            <v>mg/kg food</v>
          </cell>
          <cell r="GR5" t="str">
            <v>mg/kg food</v>
          </cell>
          <cell r="GT5" t="str">
            <v>mg/kg food</v>
          </cell>
          <cell r="GV5" t="str">
            <v>mg/kg food</v>
          </cell>
          <cell r="GX5" t="str">
            <v>mg/kg food</v>
          </cell>
          <cell r="GZ5" t="str">
            <v>mg/kg food</v>
          </cell>
          <cell r="HB5" t="str">
            <v>mg/kg food</v>
          </cell>
          <cell r="HD5" t="str">
            <v>mg/kg food</v>
          </cell>
        </row>
      </sheetData>
      <sheetData sheetId="1">
        <row r="8">
          <cell r="HD8" t="str">
            <v>AMES Overall</v>
          </cell>
          <cell r="HG8" t="str">
            <v>in vitro MN Overall</v>
          </cell>
          <cell r="HH8" t="str">
            <v>in vitro CA  Overall</v>
          </cell>
          <cell r="HM8" t="str">
            <v>in vivo CA Overall</v>
          </cell>
          <cell r="HN8" t="str">
            <v>TGR Overall</v>
          </cell>
          <cell r="HO8" t="str">
            <v>in vivo UDS Overall</v>
          </cell>
          <cell r="HP8" t="str">
            <v xml:space="preserve"> in vivo DNA damage Overall</v>
          </cell>
        </row>
        <row r="9">
          <cell r="H9" t="str">
            <v>SBL</v>
          </cell>
          <cell r="AZ9" t="str">
            <v>genotoxicity</v>
          </cell>
          <cell r="BD9" t="str">
            <v>CAESAR</v>
          </cell>
          <cell r="BE9" t="str">
            <v>SarPy</v>
          </cell>
          <cell r="BF9" t="str">
            <v>ISS</v>
          </cell>
          <cell r="BG9" t="str">
            <v>KNN</v>
          </cell>
          <cell r="BH9" t="str">
            <v>Bacterial Mutation v2 Experimental Value</v>
          </cell>
          <cell r="BI9" t="str">
            <v>E Coli - Sal 102 A-T Mut v2 Experimental Value</v>
          </cell>
          <cell r="BJ9" t="str">
            <v>Salmonella Mut v4 Experimental Value</v>
          </cell>
          <cell r="BK9" t="str">
            <v>Bacterial Mutation Alerts v8 Experimental Value</v>
          </cell>
          <cell r="CA9" t="str">
            <v>ECHA</v>
          </cell>
          <cell r="CB9" t="str">
            <v>ICE</v>
          </cell>
          <cell r="CE9" t="str">
            <v>ECHA</v>
          </cell>
          <cell r="CG9" t="str">
            <v>VEGA</v>
          </cell>
          <cell r="CH9" t="str">
            <v>LS</v>
          </cell>
          <cell r="CM9" t="str">
            <v>ECVAM</v>
          </cell>
          <cell r="CN9" t="str">
            <v>ICE</v>
          </cell>
          <cell r="CO9" t="str">
            <v>ECHA</v>
          </cell>
          <cell r="CP9" t="str">
            <v>LS</v>
          </cell>
          <cell r="CQ9" t="str">
            <v>LS Positive Prediction Probability</v>
          </cell>
          <cell r="CR9" t="str">
            <v>Structure Alerts  in vivo MN in rodents, ToxTree</v>
          </cell>
          <cell r="CS9" t="str">
            <v>Mouse Lymphoma Act v2 Prediction</v>
          </cell>
          <cell r="CT9" t="str">
            <v>Mouse Lymphoma Act v2 Experimental Value</v>
          </cell>
          <cell r="CU9" t="str">
            <v>Mouse Lymphoma Act v2 Positive Prediction Probability</v>
          </cell>
          <cell r="CV9" t="str">
            <v>Mouse Lymphoma Unact v2 Prediction</v>
          </cell>
          <cell r="CW9" t="str">
            <v>Mouse Lymphoma Unact v2 Experimental Value</v>
          </cell>
          <cell r="CX9" t="str">
            <v>Mouse Lymphoma Unact v2 Positive Prediction Probability</v>
          </cell>
          <cell r="CY9" t="str">
            <v>In Vitro Chrom Ab CHL v2 Prediction</v>
          </cell>
          <cell r="CZ9" t="str">
            <v>In Vitro Chrom Ab CHL v2 Experimental Value</v>
          </cell>
          <cell r="DB9" t="str">
            <v>In Vitro Chrom Ab CHO v2 Prediction</v>
          </cell>
          <cell r="DC9" t="str">
            <v>In Vitro Chrom Ab CHO v2 Experimental Value</v>
          </cell>
          <cell r="DE9" t="str">
            <v>chrom ab(A7P) v2 Prediction</v>
          </cell>
          <cell r="DF9" t="str">
            <v>chrom ab(A7P) v2 Experimental Value</v>
          </cell>
          <cell r="DH9" t="str">
            <v>chrom ab other rodent(A7R) v1 Prediction</v>
          </cell>
          <cell r="DI9" t="str">
            <v>chrom ab other rodent(A7R) v1 Experimental Value</v>
          </cell>
          <cell r="DK9" t="str">
            <v>chrom ab rat (A7Q) v1 Prediction</v>
          </cell>
          <cell r="DL9" t="str">
            <v>chrom ab rat (A7Q) v1 Experimental Value</v>
          </cell>
          <cell r="DX9" t="str">
            <v>MN (IRFMN/VERMEER) Ass</v>
          </cell>
          <cell r="DY9" t="str">
            <v>Reliability</v>
          </cell>
          <cell r="EC9" t="str">
            <v>MN (IRFMN) Ass</v>
          </cell>
          <cell r="EG9" t="str">
            <v>Reliability + Consensus status</v>
          </cell>
          <cell r="EH9" t="str">
            <v>Experimental</v>
          </cell>
          <cell r="EJ9" t="str">
            <v>Chromosomal aberration Ass</v>
          </cell>
          <cell r="EM9" t="str">
            <v>Experimental</v>
          </cell>
          <cell r="EQ9" t="str">
            <v>Predicted Consensus Mutagen activity</v>
          </cell>
          <cell r="ER9" t="str">
            <v>Mutagenic Score</v>
          </cell>
          <cell r="ES9" t="str">
            <v>Non-Mutagenic Score</v>
          </cell>
          <cell r="ET9" t="str">
            <v>CAESAR Ass</v>
          </cell>
          <cell r="EU9" t="str">
            <v>Reliability</v>
          </cell>
          <cell r="EW9" t="str">
            <v>ISS Ass</v>
          </cell>
          <cell r="EX9" t="str">
            <v>Reliability</v>
          </cell>
          <cell r="EZ9" t="str">
            <v>SarPy Ass</v>
          </cell>
          <cell r="FA9" t="str">
            <v>Reliability</v>
          </cell>
          <cell r="FC9" t="str">
            <v>KNN Ass</v>
          </cell>
          <cell r="FD9" t="str">
            <v>Reliability</v>
          </cell>
          <cell r="FF9" t="str">
            <v>Bacterial Mutation Consensus</v>
          </cell>
          <cell r="FG9" t="str">
            <v>Bacterial Mutation v2 Prediction</v>
          </cell>
          <cell r="FH9" t="str">
            <v>Bacterial Mutation v2 Positive Prediction Probability</v>
          </cell>
          <cell r="FI9" t="str">
            <v>E Coli - Sal 102 A-T Mut v2 Prediction</v>
          </cell>
          <cell r="FJ9" t="str">
            <v>E Coli - Sal 102 A-T Mut v2 Positive Prediction Probability</v>
          </cell>
          <cell r="FK9" t="str">
            <v>Salmonella Mut v4 Prediction</v>
          </cell>
          <cell r="FL9" t="str">
            <v>Salmonella Mut v4 Positive Prediction Probability</v>
          </cell>
          <cell r="FM9" t="str">
            <v>Bacterial Mutation Alerts v8 Prediction</v>
          </cell>
          <cell r="FO9" t="str">
            <v>Bacterial Mutation Alerts v8 Matched Alerts</v>
          </cell>
          <cell r="HX9" t="str">
            <v>In Vivo Rodent DL Mut v1 Prediction</v>
          </cell>
          <cell r="HY9" t="str">
            <v>In Vivo Rodent DL Mut v1 Experimental Value</v>
          </cell>
          <cell r="IA9" t="str">
            <v>In Vivo Rodent Mut v1 Prediction</v>
          </cell>
          <cell r="IB9" t="str">
            <v>In Vivo Rodent Mut v1 Experimental Value</v>
          </cell>
          <cell r="ID9" t="str">
            <v>SCE in vitro other (A8I) v1 Prediction</v>
          </cell>
          <cell r="IE9" t="str">
            <v>SCE in vitro other (A8I) v1 Experimental Value</v>
          </cell>
          <cell r="IG9" t="str">
            <v>In Vitro SCE CHO v1 Prediction</v>
          </cell>
          <cell r="IH9" t="str">
            <v>In Vitro SCE CHO v1 Experimental Value</v>
          </cell>
          <cell r="IJ9" t="str">
            <v>In Vitro SCE Comp v1 Prediction</v>
          </cell>
          <cell r="IK9" t="str">
            <v>In Vitro SCE Comp v1 Experimental Value</v>
          </cell>
        </row>
      </sheetData>
      <sheetData sheetId="2">
        <row r="8">
          <cell r="J8" t="str">
            <v>VEGA</v>
          </cell>
          <cell r="L8" t="str">
            <v>EFSA human</v>
          </cell>
          <cell r="M8" t="str">
            <v>EFSA animal</v>
          </cell>
          <cell r="O8" t="str">
            <v>EFSA ToolBox</v>
          </cell>
          <cell r="Q8" t="str">
            <v>Munro Toolbox</v>
          </cell>
          <cell r="S8" t="str">
            <v>ECHA</v>
          </cell>
          <cell r="U8" t="str">
            <v>Lazar</v>
          </cell>
          <cell r="W8" t="str">
            <v>EFSA human</v>
          </cell>
          <cell r="X8" t="str">
            <v>EFSA animal</v>
          </cell>
          <cell r="Z8" t="str">
            <v>EFSA ToolBox</v>
          </cell>
          <cell r="AB8" t="str">
            <v>Munro ToolBox</v>
          </cell>
          <cell r="AD8" t="str">
            <v>ECHA</v>
          </cell>
          <cell r="AI8" t="str">
            <v>Mazzatorta</v>
          </cell>
          <cell r="AL8" t="str">
            <v>Helma</v>
          </cell>
          <cell r="AN8" t="str">
            <v>AD info</v>
          </cell>
          <cell r="AP8" t="str">
            <v>VEGA sub-chronic NOAEL</v>
          </cell>
          <cell r="AQ8" t="str">
            <v>reliability</v>
          </cell>
          <cell r="AR8" t="str">
            <v>Liver NOAEL</v>
          </cell>
          <cell r="AS8" t="str">
            <v>Reliability</v>
          </cell>
          <cell r="AU8" t="str">
            <v>Liver LOAEL</v>
          </cell>
          <cell r="AV8" t="str">
            <v>Liver LOAEL/10</v>
          </cell>
          <cell r="AW8" t="str">
            <v>Reliability</v>
          </cell>
          <cell r="BN8" t="str">
            <v>sub-chronic NOAEL</v>
          </cell>
          <cell r="BO8" t="str">
            <v>Prediction is in AD?</v>
          </cell>
          <cell r="BQ8" t="str">
            <v>sub-chronic LOAEL</v>
          </cell>
          <cell r="BR8" t="str">
            <v>Prediction is in AD?</v>
          </cell>
        </row>
      </sheetData>
      <sheetData sheetId="3">
        <row r="6">
          <cell r="T6" t="str">
            <v>Cramer</v>
          </cell>
        </row>
      </sheetData>
      <sheetData sheetId="4"/>
      <sheetData sheetId="5">
        <row r="10">
          <cell r="BD10" t="str">
            <v>Endocrine Disruptor activity screening (IRFMN)-assessment</v>
          </cell>
        </row>
        <row r="11">
          <cell r="J11" t="str">
            <v>Assessment</v>
          </cell>
          <cell r="K11" t="str">
            <v>Reliability</v>
          </cell>
          <cell r="L11" t="str">
            <v>Dev Experimental</v>
          </cell>
          <cell r="N11" t="str">
            <v>Assessment</v>
          </cell>
          <cell r="O11" t="str">
            <v>Reliability</v>
          </cell>
          <cell r="P11" t="str">
            <v>Experimental</v>
          </cell>
          <cell r="V11" t="str">
            <v>DART scheme</v>
          </cell>
          <cell r="AJ11" t="str">
            <v>Assessment</v>
          </cell>
          <cell r="AK11" t="str">
            <v>Reliability</v>
          </cell>
          <cell r="AL11" t="str">
            <v>Experimental</v>
          </cell>
          <cell r="AN11" t="str">
            <v>Assessment</v>
          </cell>
          <cell r="AO11" t="str">
            <v>Reliability</v>
          </cell>
          <cell r="AP11" t="str">
            <v>Experimental</v>
          </cell>
          <cell r="AR11" t="str">
            <v>Estrogen Receptor Binding</v>
          </cell>
          <cell r="AX11" t="str">
            <v>Assessment</v>
          </cell>
          <cell r="AY11" t="str">
            <v>Reliability</v>
          </cell>
          <cell r="AZ11" t="str">
            <v>Experimental</v>
          </cell>
          <cell r="BE11" t="str">
            <v>Experimental</v>
          </cell>
          <cell r="BM11" t="str">
            <v>Assessment</v>
          </cell>
          <cell r="BN11" t="str">
            <v>Reliability</v>
          </cell>
          <cell r="BO11" t="str">
            <v>Experimental</v>
          </cell>
          <cell r="BP11" t="str">
            <v>Assessment</v>
          </cell>
          <cell r="BQ11" t="str">
            <v>Reliability</v>
          </cell>
          <cell r="BR11" t="str">
            <v>Experimental</v>
          </cell>
          <cell r="BT11" t="str">
            <v>Reliability</v>
          </cell>
          <cell r="BU11" t="str">
            <v>Experimental</v>
          </cell>
          <cell r="BV11" t="str">
            <v>Assessment</v>
          </cell>
          <cell r="BW11" t="str">
            <v>Reliability</v>
          </cell>
          <cell r="BX11" t="str">
            <v>Experimental</v>
          </cell>
        </row>
      </sheetData>
      <sheetData sheetId="6">
        <row r="3">
          <cell r="S3" t="str">
            <v>Prediction (mg/kg_bw/day)</v>
          </cell>
          <cell r="W3" t="str">
            <v>inApplicabilityDomain</v>
          </cell>
          <cell r="AB3" t="str">
            <v>Prediction (mg/kg_bw/day)</v>
          </cell>
          <cell r="AF3" t="str">
            <v>inApplicabilityDomain</v>
          </cell>
          <cell r="AL3" t="str">
            <v>Rat_TD50 (mg/kg/day)</v>
          </cell>
          <cell r="AM3" t="str">
            <v>AD info</v>
          </cell>
          <cell r="AN3" t="str">
            <v>Mouse_TD50  (mg/kg/day )</v>
          </cell>
          <cell r="AO3" t="str">
            <v>AD info</v>
          </cell>
          <cell r="CU3" t="str">
            <v>Rat</v>
          </cell>
          <cell r="CV3" t="str">
            <v>Mouse</v>
          </cell>
        </row>
      </sheetData>
      <sheetData sheetId="7"/>
    </sheetDataSet>
  </externalBook>
</externalLink>
</file>

<file path=xl/persons/person.xml><?xml version="1.0" encoding="utf-8"?>
<personList xmlns="http://schemas.microsoft.com/office/spreadsheetml/2018/threadedcomments" xmlns:x="http://schemas.openxmlformats.org/spreadsheetml/2006/main">
  <person displayName="Beneventi,Elisa,CH-Lausanne" id="{C8113C4D-C2DD-4116-9324-9F73B9B91C26}" userId="Elisa.Beneventi@rd.nestle.com" providerId="PeoplePicker"/>
  <person displayName="Manganelli,Serena,CH-Lausanne" id="{25FBD2BF-4663-4C7C-8172-B81EB38E2959}" userId="Serena.Manganelli@rd.nestle.com" providerId="PeoplePicker"/>
  <person displayName="Beneventi,Elisa,CH-Konolfingen" id="{7D9352B1-6987-41E2-A3FC-AD6BDEBB5F36}" userId="S::Elisa.Beneventi@rd.nestle.com::72195634-e9f8-4aa3-949c-027ff5036ead" providerId="AD"/>
  <person displayName="Beneventi,Elisa,CH-Lausanne" id="{328C59D9-E581-4A9F-A92B-F2694936F1B1}" userId="S::elisa.beneventi@rd.nestle.com::72195634-e9f8-4aa3-949c-027ff5036ead" providerId="AD"/>
  <person displayName="Manganelli,Serena,CH-Lausanne" id="{F7C71BD8-0514-40ED-843C-444CDDC378A2}" userId="S::Serena.Manganelli@rd.nestle.com::327c2f1f-9d02-4804-b229-0eeb636085ee" providerId="AD"/>
  <person displayName="Manganelli,Serena,CH-LAUSANNE" id="{EC3760B2-C3B5-462D-9690-AA4E42EAFFF0}" userId="S::serena.manganelli@rd.nestle.com::327c2f1f-9d02-4804-b229-0eeb636085ee"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D4" dT="2022-08-31T15:03:44.03" personId="{7D9352B1-6987-41E2-A3FC-AD6BDEBB5F36}" id="{C0D385B1-4E9F-4CB9-8C48-078EEAC7CD71}">
    <text>perchènon c'è ECVAM? more curated than ICE</text>
  </threadedComment>
  <threadedComment ref="ED4" dT="2023-02-08T10:31:17.22" personId="{EC3760B2-C3B5-462D-9690-AA4E42EAFFF0}" id="{237E9085-10E9-440D-8110-D9E31BDC8613}">
    <text>it is not specified if NOAEL or BMDL (See phenol for example). This need to be clarified</text>
  </threadedComment>
  <threadedComment ref="J5" dT="2022-11-17T13:19:51.42" personId="{EC3760B2-C3B5-462D-9690-AA4E42EAFFF0}" id="{48688769-9C0F-4835-8338-B4EB3122470F}">
    <text>@Beneventi,Elisa,CH-Konolfingen questo l'ho cambiato, faceva parte delle modifiche in Dotmatics, listate già cambiate nel software</text>
    <mentions>
      <mention mentionpersonId="{C8113C4D-C2DD-4116-9324-9F73B9B91C26}" mentionId="{386BF9B6-084F-4029-8C01-71CAF5D6601C}" startIndex="0" length="31"/>
    </mentions>
  </threadedComment>
  <threadedComment ref="AD5" dT="2022-08-31T15:06:26.36" personId="{7D9352B1-6987-41E2-A3FC-AD6BDEBB5F36}" id="{2967A14A-75EB-43C2-BB8A-09DCB7B97072}">
    <text>come inserisco i dati? Stessa cosa per ICE</text>
  </threadedComment>
  <threadedComment ref="BI5" dT="2023-02-08T10:35:15.15" personId="{EC3760B2-C3B5-462D-9690-AA4E42EAFFF0}" id="{B64DB481-AC47-43FE-BACB-BA80CE04FBBA}">
    <text>There's a mistake in the prediction source</text>
  </threadedComment>
  <threadedComment ref="GC5" dT="2022-11-17T09:27:25.63" personId="{EC3760B2-C3B5-462D-9690-AA4E42EAFFF0}" id="{2D9CEEB9-159F-4F41-99E0-F1C5D7700B78}" done="1">
    <text>@Beneventi,Elisa,CH-Konolfingen Qui nota in file di testo sarebbe riportare il valore per ogni Cramer Class?</text>
    <mentions>
      <mention mentionpersonId="{C8113C4D-C2DD-4116-9324-9F73B9B91C26}" mentionId="{879CB66F-5D55-4925-A5B9-C2DA80303A95}" startIndex="0" length="31"/>
    </mentions>
  </threadedComment>
  <threadedComment ref="GD5" dT="2022-11-17T09:18:35.76" personId="{EC3760B2-C3B5-462D-9690-AA4E42EAFFF0}" id="{79F7F839-8176-4DD8-94A1-1A7AD5300C36}">
    <text>@Beneventi,Elisa,CH-Konolfingen -Eli, qui manca la TTC-source, se viene da Cramer Class, Cramer class extended e quale software.
-Poi serve una nota in file di testo con testo esplicativo: cosa va riportato dentro? o è sufficiente il contenuto della colonna?</text>
  </threadedComment>
  <threadedComment ref="GD5" dT="2022-11-18T07:45:29.74" personId="{7D9352B1-6987-41E2-A3FC-AD6BDEBB5F36}" id="{787A9F04-7C6F-4A12-AEFC-E4589734119F}" parentId="{79F7F839-8176-4DD8-94A1-1A7AD5300C36}">
    <text>il contenuto della colonna direi che sia giéà esplicativo. TTC source viene da extended xché è il worst case scenario. Si puo aggiungere in una nota ma cmq gli end-user vedono solo Cramer Class extension.</text>
  </threadedComment>
  <threadedComment ref="GM5" dT="2022-11-17T09:37:29.02" personId="{EC3760B2-C3B5-462D-9690-AA4E42EAFFF0}" id="{57BF31DA-877A-43B5-A541-F7355B7784E8}">
    <text>@Beneventi,Elisa,CH-Konolfingengood confidence va tolto, questa colonna vuoi tenerla solo per noi? Se è il caso va comunicato a Dotmatics. Qui abbiamo detto che serve la nota di testo per spiegare cosa è ND almeno.</text>
    <mentions>
      <mention mentionpersonId="{C8113C4D-C2DD-4116-9324-9F73B9B91C26}" mentionId="{96FD1F1C-DFFA-447B-945B-3E8BF97213CD}" startIndex="0" length="31"/>
    </mentions>
  </threadedComment>
  <threadedComment ref="GM5" dT="2022-11-18T07:22:06.07" personId="{7D9352B1-6987-41E2-A3FC-AD6BDEBB5F36}" id="{DFF4CC0B-8093-435C-B5F4-43AE6CEB1DE6}" parentId="{57BF31DA-877A-43B5-A541-F7355B7784E8}">
    <text>Io la renderei visibile con spiegazione</text>
  </threadedComment>
  <threadedComment ref="GR5" dT="2022-11-17T09:22:47.30" personId="{EC3760B2-C3B5-462D-9690-AA4E42EAFFF0}" id="{31E8BCD8-8F2C-4C98-8518-5FBCCBBC1954}">
    <text xml:space="preserve">@Beneventi,Elisa,CH-Konolfingenqui aggiungere a parte un po' di testo in un file di testo per spiegare contenuto dove hai scritto "exclusion class" </text>
    <mentions>
      <mention mentionpersonId="{C8113C4D-C2DD-4116-9324-9F73B9B91C26}" mentionId="{44DECF84-3126-4F6D-A484-61F011CFE6A6}" startIndex="0" length="31"/>
    </mentions>
  </threadedComment>
  <threadedComment ref="GE12" dT="2023-02-08T10:26:08.20" personId="{EC3760B2-C3B5-462D-9690-AA4E42EAFFF0}" id="{D2A6C2A1-5D84-4A38-84A8-B4AB11B8584C}">
    <text>mg/Kg-day was not specified</text>
  </threadedComment>
  <threadedComment ref="L33" dT="2022-12-16T13:22:08.58" personId="{EC3760B2-C3B5-462D-9690-AA4E42EAFFF0}" id="{23C1ABFF-742B-441D-92F4-FC3972B2A92A}">
    <text>@Beneventi,Elisa,CH-Konolfingen Eli per questo hai tenuto i nostri, giusto?</text>
    <mentions>
      <mention mentionpersonId="{C8113C4D-C2DD-4116-9324-9F73B9B91C26}" mentionId="{C934E0CF-CC65-4423-B457-65A26F254151}" startIndex="0" length="31"/>
    </mentions>
  </threadedComment>
  <threadedComment ref="EK54" dT="2021-09-23T14:15:42.47" personId="{F7C71BD8-0514-40ED-843C-444CDDC378A2}" id="{2AE1702F-BAC6-4540-8F1B-9489A5FB8F56}">
    <text>EFSA considera l'altro come rilevante, giusto (450)? 1125 si riferisce a devtox study e 450 a chronic?</text>
  </threadedComment>
  <threadedComment ref="EK54" dT="2021-09-24T09:16:07.44" personId="{328C59D9-E581-4A9F-A92B-F2694936F1B1}" id="{9439D6C6-8950-408A-9611-61B6CADD6D0A}" parentId="{2AE1702F-BAC6-4540-8F1B-9489A5FB8F56}">
    <text>nell'opinion di 450 (subchronic) il test matiarial è coriander seed oil che  contiene dal 2 al 5% di palmitic acid. 1125 invece si riferisce  al palmitic acid ma è uno studio devtox di 28 giorni.</text>
  </threadedComment>
  <threadedComment ref="EK54" dT="2021-09-24T09:29:10.60" personId="{EC3760B2-C3B5-462D-9690-AA4E42EAFFF0}" id="{94EBA016-0A23-402B-9506-415393C69D13}" parentId="{2AE1702F-BAC6-4540-8F1B-9489A5FB8F56}">
    <text>Ok, i punti che non sono chiari li guardiamo lunedi' nelle opinion che hai scaricato, è piu' facile di persona</text>
  </threadedComment>
  <threadedComment ref="EK59" dT="2021-09-23T14:17:29.92" personId="{F7C71BD8-0514-40ED-843C-444CDDC378A2}" id="{45D5FF6C-F801-487E-9426-E20D7419F621}">
    <text>se c'è 25 come piu' basso nel dossier considererei quello o entrambi</text>
  </threadedComment>
  <threadedComment ref="EK79" dT="2021-09-23T14:22:40.59" personId="{F7C71BD8-0514-40ED-843C-444CDDC378A2}" id="{59192954-151B-426A-8508-A03D6CF6E1C0}">
    <text>terrei quello di EFSA, questo 1000 a cosa si riferisce?</text>
  </threadedComment>
  <threadedComment ref="EK79" dT="2021-09-24T09:21:52.74" personId="{328C59D9-E581-4A9F-A92B-F2694936F1B1}" id="{B951DC88-BD70-4166-9EA2-EC197025AE54}" parentId="{59192954-151B-426A-8508-A03D6CF6E1C0}">
    <text>si riferisce a male fertility ma è un supporting study</text>
  </threadedComment>
  <threadedComment ref="EK85" dT="2021-09-23T14:49:05.57" personId="{F7C71BD8-0514-40ED-843C-444CDDC378A2}" id="{64844C79-F608-4F42-86C1-4E86B4C80764}">
    <text>qui deve esserci qualcosa in EFSA, lo guardiamo meglio lunedi'</text>
  </threadedComment>
  <threadedComment ref="EK100" dT="2021-09-23T14:28:18.48" personId="{F7C71BD8-0514-40ED-843C-444CDDC378A2}" id="{F5F0BE0B-9F3C-4E06-9D0B-F65F9E3AD544}">
    <text>quindi quello riportato da EFSA si riferisce ad acetaldeide? quelli di ECHA sono dati specifici?</text>
  </threadedComment>
  <threadedComment ref="EK100" dT="2021-09-24T09:23:40.74" personId="{328C59D9-E581-4A9F-A92B-F2694936F1B1}" id="{1BA59D79-B0A5-4E82-91EE-42040A832E24}" parentId="{F5F0BE0B-9F3C-4E06-9D0B-F65F9E3AD544}">
    <text>si efsa è basato su acetaldehyde. ECHA è specifico maè sempre 28 day study</text>
  </threadedComment>
  <threadedComment ref="L105" dT="2022-12-16T13:23:24.15" personId="{EC3760B2-C3B5-462D-9690-AA4E42EAFFF0}" id="{5F20D980-003D-4D80-A39A-799F4E201673}">
    <text>@Beneventi,Elisa,CH-Konolfingen per questo hai tenuto i nostri? Mi sembra siano gli stessi vlaori di Thomas</text>
    <mentions>
      <mention mentionpersonId="{C8113C4D-C2DD-4116-9324-9F73B9B91C26}" mentionId="{8405C829-BAE3-4B5A-BBB1-A24FC1BEC8AC}" startIndex="0" length="31"/>
    </mentions>
  </threadedComment>
  <threadedComment ref="ED334" dT="2022-01-07T09:41:11.08" personId="{EC3760B2-C3B5-462D-9690-AA4E42EAFFF0}" id="{B6E9B448-FE9A-4EAA-AF46-8B13181B1C2B}">
    <text>@Beneventi,Elisa,CH-Lausanne questo 10 non è colorato e non è incluso nei calcoli, prima il piu' basso era 16, non so se è un errore</text>
    <mentions>
      <mention mentionpersonId="{C8113C4D-C2DD-4116-9324-9F73B9B91C26}" mentionId="{EE252436-51E2-4346-8D49-FC9C1F8C44CD}" startIndex="0" length="28"/>
    </mentions>
  </threadedComment>
  <threadedComment ref="ED334" dT="2022-01-09T15:22:58.67" personId="{328C59D9-E581-4A9F-A92B-F2694936F1B1}" id="{EF2682BB-426E-47D1-B83A-8B2F236BB60D}" parentId="{B6E9B448-FE9A-4EAA-AF46-8B13181B1C2B}">
    <text>10 è un NOAEC (mg/m3), non lo abbiamo considerato perchè inhalation</text>
  </threadedComment>
  <threadedComment ref="EI334" dT="2022-01-07T09:54:33.00" personId="{EC3760B2-C3B5-462D-9690-AA4E42EAFFF0}" id="{E05BC6A3-6186-4E17-A719-0116697D1F57}">
    <text>@Beneventi,Elisa,CH-Lausanne questo lo possiamo togliere? non è colorato</text>
    <mentions>
      <mention mentionpersonId="{C8113C4D-C2DD-4116-9324-9F73B9B91C26}" mentionId="{38A075AE-EAA7-4350-AC7B-FA88C311CF59}" startIndex="0" length="28"/>
    </mentions>
  </threadedComment>
  <threadedComment ref="EI334" dT="2022-01-09T15:26:41.58" personId="{328C59D9-E581-4A9F-A92B-F2694936F1B1}" id="{F16F26B7-C5B7-431B-BD8B-3E51F1C99421}" parentId="{E05BC6A3-6186-4E17-A719-0116697D1F57}">
    <text>è un subchronic</text>
  </threadedComment>
  <threadedComment ref="EK380" dT="2021-09-23T14:38:19.28" personId="{F7C71BD8-0514-40ED-843C-444CDDC378A2}" id="{62896E9E-E055-4F66-A9C0-37581D720E63}">
    <text>il valore è lo stesso, non importa</text>
  </threadedComment>
</ThreadedComments>
</file>

<file path=xl/threadedComments/threadedComment2.xml><?xml version="1.0" encoding="utf-8"?>
<ThreadedComments xmlns="http://schemas.microsoft.com/office/spreadsheetml/2018/threadedcomments" xmlns:x="http://schemas.openxmlformats.org/spreadsheetml/2006/main">
  <threadedComment ref="AD2" dT="2022-08-31T15:03:44.03" personId="{7D9352B1-6987-41E2-A3FC-AD6BDEBB5F36}" id="{0C6F7EE6-410A-436B-88EF-F9F1DA57AD2C}">
    <text>perchènon c'è ECVAM? more curated than ICE</text>
  </threadedComment>
  <threadedComment ref="AD3" dT="2022-08-31T15:06:26.36" personId="{7D9352B1-6987-41E2-A3FC-AD6BDEBB5F36}" id="{124B7418-C62B-4F12-B2CA-D54D1CA9EFA4}">
    <text>come inserisco i dati? Stessa cosa per ICE</text>
  </threadedComment>
  <threadedComment ref="BH3" dT="2022-08-31T14:30:52.09" personId="{7D9352B1-6987-41E2-A3FC-AD6BDEBB5F36}" id="{C55D3ABC-8FD8-4F8D-9BA7-CD741FA06411}">
    <text>qui mettiamo una funzione?</text>
  </threadedComment>
  <threadedComment ref="BI3" dT="2022-08-31T14:31:06.09" personId="{7D9352B1-6987-41E2-A3FC-AD6BDEBB5F36}" id="{E05A0F32-89B7-4E2D-B8B3-2402CEE09973}">
    <text>anche qui?</text>
  </threadedComment>
</ThreadedComments>
</file>

<file path=xl/threadedComments/threadedComment3.xml><?xml version="1.0" encoding="utf-8"?>
<ThreadedComments xmlns="http://schemas.microsoft.com/office/spreadsheetml/2018/threadedcomments" xmlns:x="http://schemas.openxmlformats.org/spreadsheetml/2006/main">
  <threadedComment ref="A2" dT="2022-07-20T12:46:09.89" personId="{328C59D9-E581-4A9F-A92B-F2694936F1B1}" id="{717149E8-9A49-4EAA-8909-678E550B9E32}">
    <text>@Manganelli,Serena,CH-Lausanne qui ti riferisci a MUTA consesus vero?</text>
    <mentions>
      <mention mentionpersonId="{25FBD2BF-4663-4C7C-8172-B81EB38E2959}" mentionId="{0B55973D-640D-4E80-892A-79CA8F8CBBCA}" startIndex="0" length="30"/>
    </mentions>
  </threadedComment>
  <threadedComment ref="A2" dT="2022-07-20T12:50:23.57" personId="{EC3760B2-C3B5-462D-9690-AA4E42EAFFF0}" id="{8D21FAAC-A8DF-4B05-883C-844A0A90B513}" parentId="{717149E8-9A49-4EAA-8909-678E550B9E32}">
    <text>si brava, devo cambiarlo con la versione di VEGA</text>
  </threadedComment>
  <threadedComment ref="A2" dT="2022-07-20T12:54:42.46" personId="{EC3760B2-C3B5-462D-9690-AA4E42EAFFF0}" id="{8619128C-8AE0-41E7-9647-5E475DC54340}" parentId="{717149E8-9A49-4EAA-8909-678E550B9E32}">
    <text>1.2?</text>
  </threadedComment>
  <threadedComment ref="A2" dT="2022-07-20T13:22:09.46" personId="{328C59D9-E581-4A9F-A92B-F2694936F1B1}" id="{7C4F5543-282B-4FCD-928D-3CE748387280}" parentId="{717149E8-9A49-4EAA-8909-678E550B9E32}">
    <text>1.2.0</text>
  </threadedComment>
  <threadedComment ref="G2" dT="2022-07-20T12:22:24.93" personId="{328C59D9-E581-4A9F-A92B-F2694936F1B1}" id="{5042406D-5F01-4F6F-BDE5-56B3B6C87906}">
    <text>@Manganelli,Serena,CH-Lausanne a questo link ci sono tutte e due le liste</text>
    <mentions>
      <mention mentionpersonId="{25FBD2BF-4663-4C7C-8172-B81EB38E2959}" mentionId="{3A091B6C-D6FB-47B0-B418-B3112B680064}" startIndex="0" length="30"/>
    </mentions>
  </threadedComment>
  <threadedComment ref="G2" dT="2022-07-20T12:26:45.98" personId="{EC3760B2-C3B5-462D-9690-AA4E42EAFFF0}" id="{0FBA179D-79A8-46F1-A40E-F8B2D00F1184}" parentId="{5042406D-5F01-4F6F-BDE5-56B3B6C87906}">
    <text>Grande, possiamo anche inserire latest update</text>
  </threadedComment>
</ThreadedComments>
</file>

<file path=xl/threadedComments/threadedComment4.xml><?xml version="1.0" encoding="utf-8"?>
<ThreadedComments xmlns="http://schemas.microsoft.com/office/spreadsheetml/2018/threadedcomments" xmlns:x="http://schemas.openxmlformats.org/spreadsheetml/2006/main">
  <threadedComment ref="ED5" dT="2022-07-15T12:10:35.45" personId="{328C59D9-E581-4A9F-A92B-F2694936F1B1}" id="{BE4A102A-B974-422C-8B0C-B7312DC3232D}">
    <text>@Manganelli,Serena,CH-Lausanne questo non dovrebbe essere liver LOAEL (CORAL) (version 1.0.1)? Sono tutti e 3 VEGA</text>
    <mentions>
      <mention mentionpersonId="{25FBD2BF-4663-4C7C-8172-B81EB38E2959}" mentionId="{257947C7-29DB-468D-930C-57F09FCD0AB1}" startIndex="0" length="30"/>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data.jrc.ec.europa.eu/dataset?keyword=genotoxicity&amp;collection=EURL-ECVAM" TargetMode="External"/><Relationship Id="rId1" Type="http://schemas.openxmlformats.org/officeDocument/2006/relationships/hyperlink" Target="https://ice.ntp.niehs.nih.gov/DATASETDESCRIPTION" TargetMode="External"/><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C6A38-A141-414C-A669-D3C9FB8BF8F7}">
  <sheetPr filterMode="1"/>
  <dimension ref="A1:IK465"/>
  <sheetViews>
    <sheetView tabSelected="1" topLeftCell="GD1" zoomScaleNormal="100" workbookViewId="0">
      <selection activeCell="GM5" sqref="GM5"/>
    </sheetView>
  </sheetViews>
  <sheetFormatPr defaultColWidth="35" defaultRowHeight="14.5" x14ac:dyDescent="0.35"/>
  <cols>
    <col min="1" max="1" width="17.54296875" customWidth="1"/>
    <col min="2" max="2" width="13" hidden="1" customWidth="1"/>
    <col min="3" max="3" width="90.81640625" hidden="1" customWidth="1"/>
    <col min="4" max="4" width="14.54296875" hidden="1" customWidth="1"/>
    <col min="5" max="5" width="13.81640625" hidden="1" customWidth="1"/>
    <col min="6" max="6" width="20.453125" hidden="1" customWidth="1"/>
    <col min="7" max="7" width="4.26953125" hidden="1" customWidth="1"/>
    <col min="8" max="8" width="22.7265625" hidden="1" customWidth="1"/>
    <col min="9" max="9" width="15.54296875" style="114" customWidth="1"/>
    <col min="10" max="10" width="26.1796875" customWidth="1"/>
    <col min="11" max="11" width="30" customWidth="1"/>
    <col min="12" max="12" width="38.81640625" customWidth="1"/>
    <col min="13" max="13" width="14.1796875" customWidth="1"/>
    <col min="14" max="14" width="39.26953125" customWidth="1"/>
    <col min="15" max="15" width="14.1796875" style="8" customWidth="1"/>
    <col min="16" max="16" width="11.1796875" style="8" customWidth="1"/>
    <col min="17" max="17" width="14.1796875" style="8" customWidth="1"/>
    <col min="18" max="18" width="11.1796875" customWidth="1"/>
    <col min="19" max="19" width="14.1796875" customWidth="1"/>
    <col min="20" max="20" width="11.1796875" customWidth="1"/>
    <col min="21" max="21" width="14.1796875" style="2" customWidth="1"/>
    <col min="22" max="22" width="11.1796875" style="2" customWidth="1"/>
    <col min="23" max="23" width="24.453125" style="2" customWidth="1"/>
    <col min="24" max="24" width="18.81640625" style="2" customWidth="1"/>
    <col min="25" max="25" width="27.453125" style="2" customWidth="1"/>
    <col min="26" max="26" width="34.81640625" style="2" customWidth="1"/>
    <col min="27" max="27" width="33.54296875" style="2" customWidth="1"/>
    <col min="28" max="28" width="21.453125" style="2" customWidth="1"/>
    <col min="29" max="29" width="29.1796875" style="8" customWidth="1"/>
    <col min="30" max="30" width="36.54296875" style="8" customWidth="1"/>
    <col min="31" max="31" width="11.1796875" style="8" customWidth="1"/>
    <col min="32" max="32" width="22.1796875" style="8" customWidth="1"/>
    <col min="33" max="33" width="12" style="8" customWidth="1"/>
    <col min="34" max="34" width="9.26953125" style="8" customWidth="1"/>
    <col min="35" max="35" width="11.1796875" style="8" customWidth="1"/>
    <col min="36" max="36" width="14.1796875" style="2" customWidth="1"/>
    <col min="37" max="37" width="16.81640625" style="2" customWidth="1"/>
    <col min="38" max="38" width="16.1796875" style="2" customWidth="1"/>
    <col min="39" max="39" width="29.81640625" style="2" customWidth="1"/>
    <col min="40" max="40" width="13.54296875" style="2" customWidth="1"/>
    <col min="41" max="41" width="21.54296875" style="2" customWidth="1"/>
    <col min="42" max="42" width="11.1796875" style="2" customWidth="1"/>
    <col min="43" max="43" width="14.1796875" style="2" customWidth="1"/>
    <col min="44" max="44" width="11.1796875" style="2" customWidth="1"/>
    <col min="45" max="45" width="14.1796875" style="2" customWidth="1"/>
    <col min="46" max="46" width="11.1796875" style="2" customWidth="1"/>
    <col min="47" max="47" width="18.81640625" style="2" customWidth="1"/>
    <col min="48" max="48" width="11.1796875" style="2" customWidth="1"/>
    <col min="49" max="49" width="18.81640625" style="2" customWidth="1"/>
    <col min="50" max="50" width="48.1796875" style="2" customWidth="1"/>
    <col min="51" max="52" width="18.81640625" style="2" customWidth="1"/>
    <col min="53" max="53" width="18.81640625" style="3" customWidth="1"/>
    <col min="54" max="55" width="16.26953125" style="3" customWidth="1"/>
    <col min="56" max="56" width="21.1796875" style="3" customWidth="1"/>
    <col min="57" max="57" width="15" style="2" customWidth="1"/>
    <col min="58" max="58" width="18" style="2" customWidth="1"/>
    <col min="59" max="59" width="31" style="2" customWidth="1"/>
    <col min="60" max="60" width="11.81640625" style="2" customWidth="1"/>
    <col min="61" max="61" width="30.54296875" style="2" customWidth="1"/>
    <col min="62" max="62" width="28.453125" style="2" customWidth="1"/>
    <col min="63" max="63" width="16.453125" style="2" customWidth="1"/>
    <col min="64" max="64" width="10.81640625" style="2" customWidth="1"/>
    <col min="65" max="65" width="15.54296875" style="2" customWidth="1"/>
    <col min="66" max="66" width="10.453125" style="2" customWidth="1"/>
    <col min="67" max="67" width="8" customWidth="1"/>
    <col min="68" max="68" width="15.54296875" customWidth="1"/>
    <col min="69" max="69" width="19.453125" customWidth="1"/>
    <col min="70" max="70" width="36.453125" customWidth="1"/>
    <col min="71" max="71" width="15.54296875" customWidth="1"/>
    <col min="72" max="72" width="10.453125" customWidth="1"/>
    <col min="73" max="73" width="15.54296875" style="2" customWidth="1"/>
    <col min="74" max="74" width="13.54296875" style="2" customWidth="1"/>
    <col min="75" max="75" width="15" style="2" customWidth="1"/>
    <col min="76" max="76" width="47.453125" style="2" customWidth="1"/>
    <col min="77" max="77" width="25.7265625" style="2" customWidth="1"/>
    <col min="78" max="78" width="23.54296875" customWidth="1"/>
    <col min="79" max="79" width="62.26953125" customWidth="1"/>
    <col min="80" max="80" width="10.453125" customWidth="1"/>
    <col min="81" max="81" width="24.1796875" customWidth="1"/>
    <col min="82" max="82" width="26.453125" customWidth="1"/>
    <col min="83" max="83" width="10.453125" customWidth="1"/>
    <col min="84" max="86" width="20.81640625" customWidth="1"/>
    <col min="87" max="87" width="20.26953125" customWidth="1"/>
    <col min="88" max="88" width="36" style="2" customWidth="1"/>
    <col min="89" max="90" width="20.54296875" style="2" customWidth="1"/>
    <col min="91" max="91" width="25.26953125" style="2" customWidth="1"/>
    <col min="92" max="92" width="9.26953125" style="2" customWidth="1"/>
    <col min="93" max="93" width="10.453125" style="2" customWidth="1"/>
    <col min="94" max="94" width="17.81640625" customWidth="1"/>
    <col min="95" max="95" width="18.453125" customWidth="1"/>
    <col min="96" max="96" width="21.54296875" customWidth="1"/>
    <col min="97" max="97" width="9.26953125" customWidth="1"/>
    <col min="98" max="98" width="5.7265625" customWidth="1"/>
    <col min="99" max="99" width="35.453125" customWidth="1"/>
    <col min="100" max="100" width="10.453125" customWidth="1"/>
    <col min="101" max="102" width="20.54296875" customWidth="1"/>
    <col min="103" max="103" width="20.1796875" style="6" customWidth="1"/>
    <col min="104" max="104" width="17.81640625" customWidth="1"/>
    <col min="105" max="105" width="18.453125" customWidth="1"/>
    <col min="106" max="106" width="21.54296875" customWidth="1"/>
    <col min="107" max="107" width="19.453125" style="7" customWidth="1"/>
    <col min="108" max="108" width="15" style="7" customWidth="1"/>
    <col min="109" max="109" width="14.54296875" style="7" customWidth="1"/>
    <col min="110" max="110" width="21.7265625" style="7" customWidth="1"/>
    <col min="111" max="111" width="15.81640625" style="7" customWidth="1"/>
    <col min="112" max="112" width="13.1796875" style="7" customWidth="1"/>
    <col min="113" max="113" width="19.1796875" style="7" customWidth="1"/>
    <col min="114" max="114" width="19.81640625" style="7" customWidth="1"/>
    <col min="115" max="115" width="10.453125" style="7" customWidth="1"/>
    <col min="116" max="116" width="19.453125" style="7" customWidth="1"/>
    <col min="117" max="117" width="20.54296875" style="7" customWidth="1"/>
    <col min="118" max="118" width="19.81640625" style="7" customWidth="1"/>
    <col min="119" max="119" width="21.7265625" style="7" customWidth="1"/>
    <col min="120" max="120" width="24.453125" style="7" customWidth="1"/>
    <col min="121" max="121" width="10.54296875" customWidth="1"/>
    <col min="122" max="122" width="13.7265625" customWidth="1"/>
    <col min="123" max="123" width="12.1796875" style="8" customWidth="1"/>
    <col min="124" max="124" width="9.26953125" style="8" customWidth="1"/>
    <col min="125" max="125" width="15.453125" style="8" customWidth="1"/>
    <col min="126" max="126" width="9.26953125" style="8" customWidth="1"/>
    <col min="127" max="127" width="10.453125" style="8" customWidth="1"/>
    <col min="128" max="128" width="9.26953125" style="8" customWidth="1"/>
    <col min="129" max="129" width="13.54296875" style="7" customWidth="1"/>
    <col min="130" max="130" width="9.26953125" style="7" customWidth="1"/>
    <col min="131" max="131" width="16.1796875" style="7" customWidth="1"/>
    <col min="132" max="132" width="12.1796875" style="7" customWidth="1"/>
    <col min="133" max="133" width="21.26953125" style="8" customWidth="1"/>
    <col min="134" max="134" width="13.453125" style="8" customWidth="1"/>
    <col min="135" max="135" width="13.1796875" style="8" customWidth="1"/>
    <col min="136" max="136" width="20.1796875" style="8" customWidth="1"/>
    <col min="137" max="137" width="14.26953125" style="8" customWidth="1"/>
    <col min="138" max="138" width="21.54296875" style="8" customWidth="1"/>
    <col min="139" max="139" width="16.1796875" style="8" customWidth="1"/>
    <col min="140" max="140" width="26.26953125" style="8" customWidth="1"/>
    <col min="141" max="141" width="7.54296875" style="8" customWidth="1"/>
    <col min="142" max="142" width="26.26953125" style="8" customWidth="1"/>
    <col min="143" max="143" width="17.81640625" style="9" customWidth="1"/>
    <col min="144" max="144" width="12.81640625" style="9" customWidth="1"/>
    <col min="145" max="145" width="17.26953125" style="8" customWidth="1"/>
    <col min="146" max="146" width="33.1796875" style="8" customWidth="1"/>
    <col min="147" max="147" width="26.453125" style="8" customWidth="1"/>
    <col min="148" max="148" width="26.26953125" style="8" customWidth="1"/>
    <col min="149" max="149" width="13.1796875" style="8" customWidth="1"/>
    <col min="150" max="150" width="26.26953125" style="8" customWidth="1"/>
    <col min="151" max="151" width="14.26953125" style="8" customWidth="1"/>
    <col min="152" max="152" width="26.26953125" style="8" customWidth="1"/>
    <col min="153" max="153" width="16.1796875" style="8" customWidth="1"/>
    <col min="154" max="154" width="21.54296875" style="8" customWidth="1"/>
    <col min="155" max="155" width="7.54296875" style="8" customWidth="1"/>
    <col min="156" max="156" width="25.453125" style="9" customWidth="1"/>
    <col min="157" max="157" width="21.26953125" style="9" customWidth="1"/>
    <col min="158" max="158" width="11.1796875" style="9" customWidth="1"/>
    <col min="159" max="159" width="18.26953125" style="9" customWidth="1"/>
    <col min="160" max="160" width="11.1796875" style="9" customWidth="1"/>
    <col min="161" max="161" width="21.453125" customWidth="1"/>
    <col min="162" max="162" width="18.1796875" customWidth="1"/>
    <col min="163" max="163" width="11.1796875" customWidth="1"/>
    <col min="164" max="164" width="17.81640625" customWidth="1"/>
    <col min="165" max="165" width="13.54296875" customWidth="1"/>
    <col min="166" max="166" width="12.81640625" customWidth="1"/>
    <col min="167" max="167" width="9.26953125" customWidth="1"/>
    <col min="168" max="168" width="17.26953125" customWidth="1"/>
    <col min="169" max="169" width="20.81640625" customWidth="1"/>
    <col min="170" max="170" width="18.1796875" customWidth="1"/>
    <col min="171" max="171" width="11.1796875" customWidth="1"/>
    <col min="172" max="172" width="14.54296875" style="6" customWidth="1"/>
    <col min="173" max="173" width="17.54296875" customWidth="1"/>
    <col min="174" max="174" width="19.81640625" customWidth="1"/>
    <col min="175" max="175" width="10.81640625" customWidth="1"/>
    <col min="176" max="176" width="10.453125" customWidth="1"/>
    <col min="177" max="177" width="15.453125" style="8" customWidth="1"/>
    <col min="178" max="178" width="9.453125" customWidth="1"/>
    <col min="179" max="179" width="10.54296875" customWidth="1"/>
    <col min="180" max="180" width="12.1796875" customWidth="1"/>
    <col min="181" max="181" width="8" style="8" customWidth="1"/>
    <col min="182" max="182" width="7" customWidth="1"/>
    <col min="183" max="184" width="31.81640625" style="7" customWidth="1"/>
    <col min="185" max="185" width="18.54296875" style="6" customWidth="1"/>
    <col min="186" max="186" width="36.453125" style="348" customWidth="1"/>
    <col min="187" max="187" width="13.81640625" style="6" customWidth="1"/>
    <col min="188" max="188" width="8.7265625" style="6" customWidth="1"/>
    <col min="189" max="189" width="9.1796875" style="7" customWidth="1"/>
    <col min="190" max="190" width="5.26953125" customWidth="1"/>
    <col min="191" max="191" width="15.453125" style="6" customWidth="1"/>
    <col min="192" max="192" width="16" style="6" customWidth="1"/>
    <col min="193" max="193" width="15.7265625" style="6" customWidth="1"/>
    <col min="194" max="194" width="16.26953125" style="6" customWidth="1"/>
    <col min="195" max="195" width="24.54296875" style="455" customWidth="1"/>
    <col min="196" max="196" width="14.1796875" style="6" customWidth="1"/>
    <col min="197" max="197" width="13.81640625" style="6" customWidth="1"/>
    <col min="198" max="198" width="12.1796875" style="6" customWidth="1"/>
    <col min="199" max="199" width="13.26953125" style="6" customWidth="1"/>
    <col min="200" max="200" width="24" style="6" customWidth="1"/>
    <col min="201" max="201" width="30.7265625" hidden="1" customWidth="1"/>
    <col min="202" max="202" width="50.26953125" hidden="1" customWidth="1"/>
    <col min="203" max="203" width="21.26953125" hidden="1" customWidth="1"/>
    <col min="204" max="204" width="19.26953125" hidden="1" customWidth="1"/>
    <col min="205" max="205" width="27.54296875" hidden="1" customWidth="1"/>
    <col min="206" max="206" width="23.1796875" hidden="1" customWidth="1"/>
    <col min="207" max="207" width="83.1796875" hidden="1" customWidth="1"/>
    <col min="208" max="208" width="32.26953125" hidden="1" customWidth="1"/>
    <col min="209" max="209" width="25.54296875" hidden="1" customWidth="1"/>
    <col min="210" max="210" width="20.54296875" hidden="1" customWidth="1"/>
    <col min="211" max="212" width="35" hidden="1" customWidth="1"/>
    <col min="213" max="213" width="23.453125" hidden="1" customWidth="1"/>
    <col min="214" max="214" width="22.54296875" hidden="1" customWidth="1"/>
    <col min="215" max="215" width="18" hidden="1" customWidth="1"/>
    <col min="216" max="216" width="18.81640625" hidden="1" customWidth="1"/>
    <col min="217" max="217" width="22" hidden="1" customWidth="1"/>
    <col min="218" max="218" width="24.1796875" hidden="1" customWidth="1"/>
    <col min="219" max="219" width="35" hidden="1" customWidth="1"/>
    <col min="220" max="220" width="12.453125" hidden="1" customWidth="1"/>
    <col min="221" max="221" width="16.81640625" hidden="1" customWidth="1"/>
    <col min="222" max="222" width="35" hidden="1" customWidth="1"/>
    <col min="223" max="223" width="18" hidden="1" customWidth="1"/>
    <col min="224" max="224" width="21.1796875" hidden="1" customWidth="1"/>
    <col min="225" max="225" width="19.1796875" hidden="1" customWidth="1"/>
    <col min="226" max="226" width="22.453125" hidden="1" customWidth="1"/>
    <col min="227" max="227" width="26.54296875" hidden="1" customWidth="1"/>
    <col min="228" max="228" width="29" hidden="1" customWidth="1"/>
    <col min="229" max="229" width="23.54296875" hidden="1" customWidth="1"/>
    <col min="230" max="230" width="23.453125" hidden="1" customWidth="1"/>
    <col min="231" max="231" width="21.81640625" hidden="1" customWidth="1"/>
    <col min="232" max="232" width="25.54296875" hidden="1" customWidth="1"/>
    <col min="233" max="234" width="26.54296875" hidden="1" customWidth="1"/>
    <col min="235" max="235" width="31.81640625" hidden="1" customWidth="1"/>
    <col min="236" max="236" width="47.453125" hidden="1" customWidth="1"/>
    <col min="237" max="240" width="13.54296875" customWidth="1"/>
    <col min="241" max="241" width="35" style="390"/>
  </cols>
  <sheetData>
    <row r="1" spans="1:245" ht="18.75" customHeight="1" x14ac:dyDescent="0.35">
      <c r="O1" s="1"/>
      <c r="P1" s="1"/>
      <c r="Q1" s="1"/>
      <c r="R1" s="1"/>
      <c r="S1" s="1"/>
      <c r="T1" s="1"/>
      <c r="U1" s="1"/>
      <c r="V1" s="1"/>
      <c r="W1" s="1"/>
      <c r="X1" s="79" t="s">
        <v>0</v>
      </c>
      <c r="Y1" s="184" t="s">
        <v>1</v>
      </c>
      <c r="Z1" s="208" t="s">
        <v>2</v>
      </c>
      <c r="AA1" s="105" t="s">
        <v>3</v>
      </c>
      <c r="AB1" s="210" t="s">
        <v>4</v>
      </c>
      <c r="AC1" s="106" t="s">
        <v>5</v>
      </c>
      <c r="AD1" s="110" t="s">
        <v>6</v>
      </c>
      <c r="AE1" s="212" t="s">
        <v>7</v>
      </c>
      <c r="AF1" s="187" t="s">
        <v>8</v>
      </c>
      <c r="AG1" s="172" t="s">
        <v>9</v>
      </c>
      <c r="AH1" s="414"/>
      <c r="AI1" s="414"/>
      <c r="AJ1" s="194" t="s">
        <v>10</v>
      </c>
      <c r="AK1" s="111" t="s">
        <v>11</v>
      </c>
      <c r="AL1" s="112"/>
      <c r="AM1" s="210" t="s">
        <v>12</v>
      </c>
      <c r="AN1" s="376"/>
      <c r="AO1" s="376"/>
      <c r="AP1" s="377"/>
      <c r="BA1" s="2"/>
      <c r="BE1" s="3"/>
      <c r="BI1" s="3"/>
      <c r="BJ1" s="3"/>
      <c r="BK1" s="3"/>
      <c r="BL1" s="3"/>
      <c r="BM1" s="3"/>
      <c r="BO1" s="2"/>
      <c r="BP1" s="3"/>
      <c r="BQ1" s="2"/>
      <c r="BR1" s="4"/>
      <c r="BS1" s="5"/>
      <c r="BT1" s="5"/>
      <c r="BU1" s="5"/>
      <c r="BV1" s="3"/>
      <c r="BW1" s="3"/>
      <c r="BZ1" s="2"/>
      <c r="CA1" s="3"/>
      <c r="CB1" s="2"/>
      <c r="CC1" s="4"/>
      <c r="CD1" s="4"/>
      <c r="CE1" s="4"/>
      <c r="CF1" s="4"/>
      <c r="CG1" s="4"/>
      <c r="CH1" s="4"/>
      <c r="CI1" s="4"/>
      <c r="CJ1" s="404"/>
      <c r="CK1" s="3"/>
      <c r="CL1" s="3"/>
      <c r="CP1" s="2"/>
      <c r="CQ1" s="3"/>
      <c r="CR1" s="3"/>
      <c r="CS1" s="3"/>
      <c r="CT1" s="2"/>
      <c r="CU1" s="4"/>
      <c r="CV1" s="5"/>
      <c r="CW1" s="5"/>
      <c r="CY1"/>
      <c r="CZ1" s="6"/>
      <c r="DC1"/>
      <c r="DQ1" s="7"/>
      <c r="DS1"/>
      <c r="DY1" s="8"/>
      <c r="EC1" s="27"/>
      <c r="ED1" s="27"/>
      <c r="EE1" s="27"/>
      <c r="EF1" s="27"/>
      <c r="EG1" s="27"/>
      <c r="EH1" s="28"/>
      <c r="EM1" s="8"/>
      <c r="EO1" s="9"/>
      <c r="EP1" s="9"/>
      <c r="EQ1" s="27"/>
      <c r="ER1" s="27"/>
      <c r="ES1" s="27"/>
      <c r="ET1" s="27"/>
      <c r="EU1" s="28"/>
      <c r="EZ1" s="8"/>
      <c r="FA1" s="8"/>
      <c r="FB1" s="8"/>
      <c r="GA1"/>
      <c r="GH1" s="7"/>
      <c r="GI1" s="359"/>
      <c r="GJ1" s="359"/>
      <c r="GL1" s="360"/>
      <c r="GM1" s="450"/>
      <c r="GN1" s="360"/>
      <c r="GO1" s="359"/>
      <c r="GP1" s="359"/>
      <c r="GQ1" s="359"/>
      <c r="GR1" s="359"/>
      <c r="GS1" s="29"/>
    </row>
    <row r="2" spans="1:245" x14ac:dyDescent="0.35">
      <c r="O2" s="1"/>
      <c r="P2" s="1"/>
      <c r="Q2" s="1"/>
      <c r="R2" s="1"/>
      <c r="S2" s="1"/>
      <c r="T2" s="1"/>
      <c r="U2" s="1"/>
      <c r="V2" s="1"/>
      <c r="W2" s="1"/>
      <c r="X2" s="79" t="s">
        <v>13</v>
      </c>
      <c r="Y2" s="1">
        <v>30</v>
      </c>
      <c r="Z2" s="1">
        <v>21</v>
      </c>
      <c r="AA2" s="1">
        <v>21</v>
      </c>
      <c r="AB2" s="2">
        <v>43</v>
      </c>
      <c r="AC2" s="2">
        <v>7</v>
      </c>
      <c r="AD2" s="1">
        <v>19</v>
      </c>
      <c r="AE2" s="1">
        <v>7</v>
      </c>
      <c r="AF2" s="1">
        <v>29</v>
      </c>
      <c r="AG2" s="1"/>
      <c r="AH2" s="1"/>
      <c r="AI2" s="1"/>
      <c r="AJ2" s="1">
        <v>10</v>
      </c>
      <c r="BA2" s="2"/>
      <c r="BE2" s="3"/>
      <c r="BI2" s="3"/>
      <c r="BJ2" s="3"/>
      <c r="BK2" s="3"/>
      <c r="BL2" s="3"/>
      <c r="BM2" s="3"/>
      <c r="BO2" s="2"/>
      <c r="BP2" s="3"/>
      <c r="BQ2" s="2"/>
      <c r="BR2" s="4"/>
      <c r="BS2" s="5"/>
      <c r="BT2" s="5"/>
      <c r="BU2" s="5"/>
      <c r="BV2" s="3"/>
      <c r="BW2" s="3"/>
      <c r="BZ2" s="2"/>
      <c r="CA2" s="3"/>
      <c r="CB2" s="2"/>
      <c r="CC2" s="4"/>
      <c r="CD2" s="4"/>
      <c r="CE2" s="4"/>
      <c r="CF2" s="4"/>
      <c r="CG2" s="4"/>
      <c r="CH2" s="4"/>
      <c r="CI2" s="4"/>
      <c r="CJ2" s="404"/>
      <c r="CK2" s="3"/>
      <c r="CL2" s="3"/>
      <c r="CP2" s="2"/>
      <c r="CQ2" s="3"/>
      <c r="CR2" s="3"/>
      <c r="CS2" s="3"/>
      <c r="CT2" s="599"/>
      <c r="CU2" s="599"/>
      <c r="CV2" s="5"/>
      <c r="CW2" s="5"/>
      <c r="CY2"/>
      <c r="CZ2" s="6"/>
      <c r="DC2"/>
      <c r="DQ2" s="7"/>
      <c r="DS2"/>
      <c r="DY2" s="8"/>
      <c r="EC2"/>
      <c r="ED2"/>
      <c r="EM2" s="8"/>
      <c r="EO2" s="9"/>
      <c r="EP2" s="9"/>
      <c r="EQ2" t="s">
        <v>14</v>
      </c>
      <c r="ER2"/>
      <c r="EZ2" s="8"/>
      <c r="FA2" s="8"/>
      <c r="FB2" s="8"/>
      <c r="GA2"/>
      <c r="GH2" s="7"/>
      <c r="GI2" s="361"/>
      <c r="GJ2" s="361">
        <v>0.15</v>
      </c>
      <c r="GK2" s="361">
        <v>0.08</v>
      </c>
      <c r="GL2" s="361">
        <v>0.05</v>
      </c>
      <c r="GM2" s="451"/>
      <c r="GN2" s="361">
        <v>0.02</v>
      </c>
      <c r="GP2" s="361"/>
      <c r="GQ2" s="361"/>
      <c r="GR2" s="361"/>
    </row>
    <row r="3" spans="1:245" s="37" customFormat="1" ht="75.75" customHeight="1" thickBot="1" x14ac:dyDescent="0.4">
      <c r="A3" s="499"/>
      <c r="B3" s="499"/>
      <c r="C3" s="499"/>
      <c r="D3" s="499"/>
      <c r="E3" s="499"/>
      <c r="F3" s="499"/>
      <c r="G3" s="499"/>
      <c r="H3" s="499"/>
      <c r="I3" s="500"/>
      <c r="J3" s="496" t="s">
        <v>15</v>
      </c>
      <c r="K3" s="497"/>
      <c r="L3" s="498"/>
      <c r="M3" s="496" t="s">
        <v>16</v>
      </c>
      <c r="N3" s="497"/>
      <c r="O3" s="517" t="s">
        <v>17</v>
      </c>
      <c r="P3" s="518"/>
      <c r="Q3" s="518"/>
      <c r="R3" s="518"/>
      <c r="S3" s="518"/>
      <c r="T3" s="518"/>
      <c r="U3" s="518"/>
      <c r="V3" s="518"/>
      <c r="W3" s="519"/>
      <c r="X3" s="519"/>
      <c r="Y3" s="519"/>
      <c r="Z3" s="519"/>
      <c r="AA3" s="519"/>
      <c r="AB3" s="519"/>
      <c r="AC3" s="519"/>
      <c r="AD3" s="519"/>
      <c r="AE3" s="519"/>
      <c r="AF3" s="519"/>
      <c r="AG3" s="519"/>
      <c r="AH3" s="375"/>
      <c r="AI3" s="375"/>
      <c r="AJ3" s="520" t="s">
        <v>18</v>
      </c>
      <c r="AK3" s="521"/>
      <c r="AL3" s="521"/>
      <c r="AM3" s="521"/>
      <c r="AN3" s="521"/>
      <c r="AO3" s="521"/>
      <c r="AP3" s="521"/>
      <c r="AQ3" s="521"/>
      <c r="AR3" s="521"/>
      <c r="AS3" s="521"/>
      <c r="AT3" s="521"/>
      <c r="AU3" s="521"/>
      <c r="AV3" s="521"/>
      <c r="AW3" s="521"/>
      <c r="AX3" s="521"/>
      <c r="AY3" s="521"/>
      <c r="AZ3" s="521"/>
      <c r="BA3" s="521"/>
      <c r="BB3" s="521"/>
      <c r="BC3" s="521"/>
      <c r="BD3" s="521"/>
      <c r="BE3" s="521"/>
      <c r="BF3" s="501" t="s">
        <v>19</v>
      </c>
      <c r="BG3" s="499"/>
      <c r="BH3" s="499"/>
      <c r="BI3" s="499"/>
      <c r="BJ3" s="502"/>
      <c r="BK3" s="628" t="s">
        <v>20</v>
      </c>
      <c r="BL3" s="628"/>
      <c r="BM3" s="628"/>
      <c r="BN3" s="628"/>
      <c r="BO3" s="628"/>
      <c r="BP3" s="628"/>
      <c r="BQ3" s="628"/>
      <c r="BR3" s="628"/>
      <c r="BS3" s="628"/>
      <c r="BT3" s="629"/>
      <c r="BU3" s="539" t="s">
        <v>21</v>
      </c>
      <c r="BV3" s="539"/>
      <c r="BW3" s="539"/>
      <c r="BX3" s="539"/>
      <c r="BY3" s="539"/>
      <c r="BZ3" s="539"/>
      <c r="CA3" s="539"/>
      <c r="CB3" s="539"/>
      <c r="CC3" s="625" t="s">
        <v>22</v>
      </c>
      <c r="CD3" s="626"/>
      <c r="CE3" s="627"/>
      <c r="CF3" s="625" t="s">
        <v>23</v>
      </c>
      <c r="CG3" s="626"/>
      <c r="CH3" s="626"/>
      <c r="CI3" s="627"/>
      <c r="CJ3" s="538" t="s">
        <v>24</v>
      </c>
      <c r="CK3" s="539"/>
      <c r="CL3" s="539"/>
      <c r="CM3" s="539"/>
      <c r="CN3" s="539"/>
      <c r="CO3" s="539"/>
      <c r="CP3" s="539"/>
      <c r="CQ3" s="539"/>
      <c r="CR3" s="539"/>
      <c r="CS3" s="539"/>
      <c r="CT3" s="539"/>
      <c r="CU3" s="539"/>
      <c r="CV3" s="540"/>
      <c r="CW3" s="569" t="s">
        <v>25</v>
      </c>
      <c r="CX3" s="570"/>
      <c r="CY3" s="570"/>
      <c r="CZ3" s="570"/>
      <c r="DA3" s="570"/>
      <c r="DB3" s="571"/>
      <c r="DC3" s="547" t="s">
        <v>26</v>
      </c>
      <c r="DD3" s="548"/>
      <c r="DE3" s="548"/>
      <c r="DF3" s="548"/>
      <c r="DG3" s="548"/>
      <c r="DH3" s="548"/>
      <c r="DI3" s="548"/>
      <c r="DJ3" s="548"/>
      <c r="DK3" s="549"/>
      <c r="DL3" s="547" t="s">
        <v>27</v>
      </c>
      <c r="DM3" s="548"/>
      <c r="DN3" s="548"/>
      <c r="DO3" s="564"/>
      <c r="DP3" s="565"/>
      <c r="DQ3" s="550" t="s">
        <v>28</v>
      </c>
      <c r="DR3" s="550"/>
      <c r="DS3" s="550" t="s">
        <v>29</v>
      </c>
      <c r="DT3" s="550"/>
      <c r="DU3" s="550"/>
      <c r="DV3" s="550"/>
      <c r="DW3" s="550"/>
      <c r="DX3" s="550"/>
      <c r="DY3" s="550"/>
      <c r="DZ3" s="550"/>
      <c r="EA3" s="566" t="s">
        <v>30</v>
      </c>
      <c r="EB3" s="567"/>
      <c r="EC3" s="567"/>
      <c r="ED3" s="567"/>
      <c r="EE3" s="567"/>
      <c r="EF3" s="567"/>
      <c r="EG3" s="567"/>
      <c r="EH3" s="567"/>
      <c r="EI3" s="567"/>
      <c r="EJ3" s="567"/>
      <c r="EK3" s="567"/>
      <c r="EL3" s="568"/>
      <c r="EM3" s="551" t="s">
        <v>31</v>
      </c>
      <c r="EN3" s="551"/>
      <c r="EO3" s="551"/>
      <c r="EP3" s="551"/>
      <c r="EQ3" s="551"/>
      <c r="ER3" s="551"/>
      <c r="ES3" s="551"/>
      <c r="ET3" s="551"/>
      <c r="EU3" s="552"/>
      <c r="EV3" s="552"/>
      <c r="EW3" s="552"/>
      <c r="EX3" s="552"/>
      <c r="EY3" s="552"/>
      <c r="EZ3" s="552"/>
      <c r="FA3" s="533" t="s">
        <v>32</v>
      </c>
      <c r="FB3" s="534"/>
      <c r="FC3" s="534"/>
      <c r="FD3" s="534"/>
      <c r="FE3" s="534"/>
      <c r="FF3" s="534"/>
      <c r="FG3" s="535"/>
      <c r="FH3" s="544" t="s">
        <v>33</v>
      </c>
      <c r="FI3" s="545"/>
      <c r="FJ3" s="545"/>
      <c r="FK3" s="545"/>
      <c r="FL3" s="545"/>
      <c r="FM3" s="545"/>
      <c r="FN3" s="545"/>
      <c r="FO3" s="546"/>
      <c r="FP3" s="595" t="s">
        <v>34</v>
      </c>
      <c r="FQ3" s="596"/>
      <c r="FR3" s="596"/>
      <c r="FS3" s="596"/>
      <c r="FT3" s="597"/>
      <c r="FU3" s="598" t="s">
        <v>35</v>
      </c>
      <c r="FV3" s="598"/>
      <c r="FW3" s="598"/>
      <c r="FX3" s="598"/>
      <c r="FY3" s="598"/>
      <c r="FZ3" s="598"/>
      <c r="GA3" s="585" t="s">
        <v>36</v>
      </c>
      <c r="GB3" s="585"/>
      <c r="GC3" s="587" t="s">
        <v>37</v>
      </c>
      <c r="GD3" s="588"/>
      <c r="GE3" s="573" t="s">
        <v>38</v>
      </c>
      <c r="GF3" s="574"/>
      <c r="GG3" s="574"/>
      <c r="GH3" s="575"/>
      <c r="GI3" s="589" t="s">
        <v>39</v>
      </c>
      <c r="GJ3" s="590"/>
      <c r="GK3" s="590"/>
      <c r="GL3" s="590"/>
      <c r="GM3" s="591"/>
      <c r="GN3" s="589" t="s">
        <v>40</v>
      </c>
      <c r="GO3" s="590"/>
      <c r="GP3" s="590"/>
      <c r="GQ3" s="590"/>
      <c r="GR3" s="591"/>
      <c r="GS3" s="586" t="s">
        <v>41</v>
      </c>
      <c r="GT3" s="586"/>
      <c r="GU3" s="586" t="s">
        <v>42</v>
      </c>
      <c r="GV3" s="586"/>
      <c r="GW3" s="586"/>
      <c r="GX3" s="586"/>
      <c r="GY3" s="586"/>
      <c r="GZ3" s="592" t="s">
        <v>43</v>
      </c>
      <c r="HA3" s="592"/>
      <c r="HB3" s="592"/>
      <c r="HC3" s="592"/>
      <c r="HD3" s="592"/>
      <c r="HE3" s="592" t="s">
        <v>44</v>
      </c>
      <c r="HF3" s="592"/>
      <c r="HG3" s="592"/>
      <c r="HH3" s="592"/>
      <c r="HI3" s="592"/>
      <c r="HJ3" s="593"/>
      <c r="HK3" s="594"/>
      <c r="HL3" s="490" t="s">
        <v>45</v>
      </c>
      <c r="HM3" s="491"/>
      <c r="HN3" s="491"/>
      <c r="HO3" s="491" t="s">
        <v>46</v>
      </c>
      <c r="HP3" s="491"/>
      <c r="HQ3" s="491"/>
      <c r="HR3" s="492"/>
      <c r="HS3" s="490" t="s">
        <v>47</v>
      </c>
      <c r="HT3" s="491"/>
      <c r="HU3" s="490" t="s">
        <v>48</v>
      </c>
      <c r="HV3" s="491"/>
      <c r="HW3" s="491"/>
      <c r="HX3" s="491"/>
      <c r="HY3" s="490" t="s">
        <v>49</v>
      </c>
      <c r="HZ3" s="492"/>
      <c r="IA3" s="487" t="s">
        <v>50</v>
      </c>
      <c r="IB3" s="487"/>
      <c r="IG3" s="457"/>
    </row>
    <row r="4" spans="1:245" ht="92.25" customHeight="1" thickBot="1" x14ac:dyDescent="0.4">
      <c r="A4" s="515"/>
      <c r="B4" s="515"/>
      <c r="C4" s="515"/>
      <c r="D4" s="515"/>
      <c r="E4" s="515"/>
      <c r="F4" s="515"/>
      <c r="G4" s="515"/>
      <c r="H4" s="515"/>
      <c r="I4" s="516"/>
      <c r="J4" s="102"/>
      <c r="K4" s="102"/>
      <c r="L4" s="103"/>
      <c r="M4" s="503" t="s">
        <v>51</v>
      </c>
      <c r="N4" s="504"/>
      <c r="O4" s="505" t="s">
        <v>52</v>
      </c>
      <c r="P4" s="505"/>
      <c r="Q4" s="505"/>
      <c r="R4" s="505"/>
      <c r="S4" s="505"/>
      <c r="T4" s="505"/>
      <c r="U4" s="505"/>
      <c r="V4" s="505"/>
      <c r="W4" s="506" t="s">
        <v>53</v>
      </c>
      <c r="X4" s="507"/>
      <c r="Y4" s="507"/>
      <c r="Z4" s="507"/>
      <c r="AA4" s="507"/>
      <c r="AB4" s="507"/>
      <c r="AC4" s="508"/>
      <c r="AD4" s="603" t="s">
        <v>54</v>
      </c>
      <c r="AE4" s="604"/>
      <c r="AF4" s="604"/>
      <c r="AG4" s="604"/>
      <c r="AH4" s="604"/>
      <c r="AI4" s="605"/>
      <c r="AJ4" s="509" t="s">
        <v>55</v>
      </c>
      <c r="AK4" s="510"/>
      <c r="AL4" s="510"/>
      <c r="AM4" s="510"/>
      <c r="AN4" s="510"/>
      <c r="AO4" s="510"/>
      <c r="AP4" s="510"/>
      <c r="AQ4" s="510"/>
      <c r="AR4" s="510"/>
      <c r="AS4" s="510"/>
      <c r="AT4" s="511"/>
      <c r="AU4" s="512" t="s">
        <v>56</v>
      </c>
      <c r="AV4" s="513"/>
      <c r="AW4" s="513"/>
      <c r="AX4" s="513"/>
      <c r="AY4" s="513"/>
      <c r="AZ4" s="513"/>
      <c r="BA4" s="514"/>
      <c r="BB4" s="522" t="s">
        <v>57</v>
      </c>
      <c r="BC4" s="523"/>
      <c r="BD4" s="523"/>
      <c r="BE4" s="524"/>
      <c r="BF4" s="89"/>
      <c r="BG4" s="89"/>
      <c r="BH4" s="89"/>
      <c r="BI4" s="89"/>
      <c r="BJ4" s="90"/>
      <c r="BK4" s="553" t="s">
        <v>58</v>
      </c>
      <c r="BL4" s="554"/>
      <c r="BM4" s="554"/>
      <c r="BN4" s="555"/>
      <c r="BO4" s="553" t="s">
        <v>59</v>
      </c>
      <c r="BP4" s="554"/>
      <c r="BQ4" s="554"/>
      <c r="BR4" s="554"/>
      <c r="BS4" s="554"/>
      <c r="BT4" s="555"/>
      <c r="BU4" s="557" t="s">
        <v>58</v>
      </c>
      <c r="BV4" s="558"/>
      <c r="BW4" s="530" t="s">
        <v>59</v>
      </c>
      <c r="BX4" s="531"/>
      <c r="BY4" s="531"/>
      <c r="BZ4" s="531"/>
      <c r="CA4" s="531"/>
      <c r="CB4" s="559"/>
      <c r="CC4" s="560" t="s">
        <v>60</v>
      </c>
      <c r="CD4" s="561"/>
      <c r="CE4" s="563"/>
      <c r="CF4" s="560" t="s">
        <v>60</v>
      </c>
      <c r="CG4" s="561"/>
      <c r="CH4" s="561"/>
      <c r="CI4" s="562"/>
      <c r="CJ4" s="557" t="s">
        <v>61</v>
      </c>
      <c r="CK4" s="558"/>
      <c r="CL4" s="558"/>
      <c r="CM4" s="558"/>
      <c r="CN4" s="558"/>
      <c r="CO4" s="558"/>
      <c r="CP4" s="530" t="s">
        <v>62</v>
      </c>
      <c r="CQ4" s="531"/>
      <c r="CR4" s="531"/>
      <c r="CS4" s="531"/>
      <c r="CT4" s="531"/>
      <c r="CU4" s="531"/>
      <c r="CV4" s="532"/>
      <c r="CW4" s="525" t="s">
        <v>61</v>
      </c>
      <c r="CX4" s="526"/>
      <c r="CY4" s="526"/>
      <c r="CZ4" s="622" t="s">
        <v>62</v>
      </c>
      <c r="DA4" s="623"/>
      <c r="DB4" s="624"/>
      <c r="DC4" s="556" t="s">
        <v>60</v>
      </c>
      <c r="DD4" s="556"/>
      <c r="DE4" s="556"/>
      <c r="DF4" s="556" t="s">
        <v>63</v>
      </c>
      <c r="DG4" s="556"/>
      <c r="DH4" s="556"/>
      <c r="DI4" s="556"/>
      <c r="DJ4" s="556"/>
      <c r="DK4" s="607"/>
      <c r="DL4" s="616" t="s">
        <v>60</v>
      </c>
      <c r="DM4" s="617"/>
      <c r="DN4" s="617"/>
      <c r="DO4" s="618" t="s">
        <v>63</v>
      </c>
      <c r="DP4" s="618"/>
      <c r="DQ4" s="611"/>
      <c r="DR4" s="612"/>
      <c r="DS4" s="608"/>
      <c r="DT4" s="609"/>
      <c r="DU4" s="609"/>
      <c r="DV4" s="609"/>
      <c r="DW4" s="609"/>
      <c r="DX4" s="609"/>
      <c r="DY4" s="609"/>
      <c r="DZ4" s="610"/>
      <c r="EA4" s="613" t="s">
        <v>64</v>
      </c>
      <c r="EB4" s="614"/>
      <c r="EC4" s="615"/>
      <c r="ED4" s="543" t="s">
        <v>65</v>
      </c>
      <c r="EE4" s="543"/>
      <c r="EF4" s="543"/>
      <c r="EG4" s="543" t="s">
        <v>66</v>
      </c>
      <c r="EH4" s="543"/>
      <c r="EI4" s="543"/>
      <c r="EJ4" s="543"/>
      <c r="EK4" s="543"/>
      <c r="EL4" s="543"/>
      <c r="EM4" s="619" t="s">
        <v>67</v>
      </c>
      <c r="EN4" s="620"/>
      <c r="EO4" s="620"/>
      <c r="EP4" s="621"/>
      <c r="EQ4" s="606" t="s">
        <v>65</v>
      </c>
      <c r="ER4" s="606"/>
      <c r="ES4" s="606"/>
      <c r="ET4" s="606"/>
      <c r="EU4" s="541" t="s">
        <v>66</v>
      </c>
      <c r="EV4" s="541"/>
      <c r="EW4" s="541"/>
      <c r="EX4" s="541"/>
      <c r="EY4" s="541"/>
      <c r="EZ4" s="541"/>
      <c r="FA4" s="398"/>
      <c r="FB4" s="398"/>
      <c r="FC4" s="542" t="s">
        <v>68</v>
      </c>
      <c r="FD4" s="542"/>
      <c r="FE4" s="542"/>
      <c r="FF4" s="542"/>
      <c r="FG4" s="542"/>
      <c r="FH4" s="527" t="s">
        <v>69</v>
      </c>
      <c r="FI4" s="528"/>
      <c r="FJ4" s="528"/>
      <c r="FK4" s="528"/>
      <c r="FL4" s="528"/>
      <c r="FM4" s="528"/>
      <c r="FN4" s="528"/>
      <c r="FO4" s="529"/>
      <c r="FP4" s="578"/>
      <c r="FQ4" s="579"/>
      <c r="FR4" s="579"/>
      <c r="FS4" s="579"/>
      <c r="FT4" s="580"/>
      <c r="FU4" s="581"/>
      <c r="FV4" s="582"/>
      <c r="FW4" s="582"/>
      <c r="FX4" s="582"/>
      <c r="FY4" s="582"/>
      <c r="FZ4" s="583"/>
      <c r="GA4" s="104"/>
      <c r="GB4" s="104"/>
      <c r="GC4" s="363"/>
      <c r="GD4" s="350"/>
      <c r="GE4" s="352"/>
      <c r="GF4" s="354"/>
      <c r="GG4" s="112"/>
      <c r="GH4" s="113"/>
      <c r="GI4" s="600"/>
      <c r="GJ4" s="601"/>
      <c r="GK4" s="601"/>
      <c r="GL4" s="601"/>
      <c r="GM4" s="602"/>
      <c r="GN4" s="363"/>
      <c r="GO4" s="363"/>
      <c r="GP4" s="363"/>
      <c r="GQ4" s="363"/>
      <c r="GR4" s="363"/>
      <c r="GS4" s="536"/>
      <c r="GT4" s="537"/>
      <c r="GU4" s="536"/>
      <c r="GV4" s="537"/>
      <c r="GW4" s="537"/>
      <c r="GX4" s="537"/>
      <c r="GY4" s="572"/>
      <c r="GZ4" s="584"/>
      <c r="HA4" s="584"/>
      <c r="HB4" s="584"/>
      <c r="HC4" s="584"/>
      <c r="HD4" s="584"/>
      <c r="HE4" s="576"/>
      <c r="HF4" s="577"/>
      <c r="HG4" s="577"/>
      <c r="HH4" s="577"/>
      <c r="HI4" s="577"/>
      <c r="HJ4" s="577"/>
      <c r="HK4" s="577"/>
      <c r="HL4" s="369"/>
      <c r="HM4" s="370"/>
      <c r="HN4" s="371"/>
      <c r="HO4" s="493"/>
      <c r="HP4" s="494"/>
      <c r="HQ4" s="494"/>
      <c r="HR4" s="495"/>
      <c r="HS4" s="372"/>
      <c r="HT4" s="401"/>
      <c r="HU4" s="373"/>
      <c r="HV4" s="373"/>
      <c r="HW4" s="416"/>
      <c r="HX4" s="372"/>
      <c r="HY4" s="402"/>
      <c r="HZ4" s="402"/>
      <c r="IA4" s="488"/>
      <c r="IB4" s="489"/>
    </row>
    <row r="5" spans="1:245" s="183" customFormat="1" ht="91.5" customHeight="1" thickBot="1" x14ac:dyDescent="0.4">
      <c r="A5" s="130" t="s">
        <v>70</v>
      </c>
      <c r="B5" s="131" t="s">
        <v>71</v>
      </c>
      <c r="C5" s="131" t="s">
        <v>72</v>
      </c>
      <c r="D5" s="131" t="s">
        <v>73</v>
      </c>
      <c r="E5" s="130" t="s">
        <v>74</v>
      </c>
      <c r="F5" s="132" t="s">
        <v>75</v>
      </c>
      <c r="G5" s="132" t="s">
        <v>76</v>
      </c>
      <c r="H5" s="132" t="s">
        <v>77</v>
      </c>
      <c r="I5" s="188" t="s">
        <v>78</v>
      </c>
      <c r="J5" s="133" t="s">
        <v>79</v>
      </c>
      <c r="K5" s="131" t="s">
        <v>80</v>
      </c>
      <c r="L5" s="322" t="s">
        <v>81</v>
      </c>
      <c r="M5" s="134" t="s">
        <v>82</v>
      </c>
      <c r="N5" s="134" t="s">
        <v>83</v>
      </c>
      <c r="O5" s="195" t="s">
        <v>84</v>
      </c>
      <c r="P5" s="318" t="s">
        <v>85</v>
      </c>
      <c r="Q5" s="197" t="s">
        <v>86</v>
      </c>
      <c r="R5" s="196" t="s">
        <v>85</v>
      </c>
      <c r="S5" s="197" t="s">
        <v>87</v>
      </c>
      <c r="T5" s="319" t="s">
        <v>85</v>
      </c>
      <c r="U5" s="197" t="s">
        <v>88</v>
      </c>
      <c r="V5" s="320" t="s">
        <v>85</v>
      </c>
      <c r="W5" s="198" t="s">
        <v>89</v>
      </c>
      <c r="X5" s="199" t="s">
        <v>90</v>
      </c>
      <c r="Y5" s="200" t="s">
        <v>91</v>
      </c>
      <c r="Z5" s="201" t="s">
        <v>92</v>
      </c>
      <c r="AA5" s="202" t="s">
        <v>91</v>
      </c>
      <c r="AB5" s="197" t="s">
        <v>93</v>
      </c>
      <c r="AC5" s="203" t="s">
        <v>91</v>
      </c>
      <c r="AD5" s="204" t="s">
        <v>94</v>
      </c>
      <c r="AE5" s="205" t="s">
        <v>91</v>
      </c>
      <c r="AF5" s="205" t="s">
        <v>95</v>
      </c>
      <c r="AG5" s="206" t="s">
        <v>91</v>
      </c>
      <c r="AH5" s="391" t="s">
        <v>96</v>
      </c>
      <c r="AI5" s="391" t="s">
        <v>91</v>
      </c>
      <c r="AJ5" s="137" t="s">
        <v>97</v>
      </c>
      <c r="AK5" s="394" t="s">
        <v>98</v>
      </c>
      <c r="AL5" s="395" t="s">
        <v>99</v>
      </c>
      <c r="AM5" s="138" t="s">
        <v>84</v>
      </c>
      <c r="AN5" s="139" t="s">
        <v>91</v>
      </c>
      <c r="AO5" s="135" t="s">
        <v>100</v>
      </c>
      <c r="AP5" s="139" t="s">
        <v>91</v>
      </c>
      <c r="AQ5" s="135" t="s">
        <v>87</v>
      </c>
      <c r="AR5" s="139" t="s">
        <v>91</v>
      </c>
      <c r="AS5" s="140" t="s">
        <v>88</v>
      </c>
      <c r="AT5" s="139" t="s">
        <v>91</v>
      </c>
      <c r="AU5" s="141" t="s">
        <v>101</v>
      </c>
      <c r="AV5" s="142" t="s">
        <v>91</v>
      </c>
      <c r="AW5" s="143" t="s">
        <v>89</v>
      </c>
      <c r="AX5" s="143" t="s">
        <v>102</v>
      </c>
      <c r="AY5" s="129" t="s">
        <v>103</v>
      </c>
      <c r="AZ5" s="368" t="s">
        <v>104</v>
      </c>
      <c r="BA5" s="136" t="s">
        <v>91</v>
      </c>
      <c r="BB5" s="136" t="s">
        <v>105</v>
      </c>
      <c r="BC5" s="136" t="s">
        <v>106</v>
      </c>
      <c r="BD5" s="136" t="s">
        <v>93</v>
      </c>
      <c r="BE5" s="396" t="s">
        <v>107</v>
      </c>
      <c r="BF5" s="131" t="s">
        <v>108</v>
      </c>
      <c r="BG5" s="131" t="s">
        <v>109</v>
      </c>
      <c r="BH5" s="130" t="s">
        <v>110</v>
      </c>
      <c r="BI5" s="131" t="s">
        <v>111</v>
      </c>
      <c r="BJ5" s="144" t="s">
        <v>112</v>
      </c>
      <c r="BK5" s="321" t="s">
        <v>113</v>
      </c>
      <c r="BL5" s="146" t="s">
        <v>96</v>
      </c>
      <c r="BM5" s="147" t="s">
        <v>114</v>
      </c>
      <c r="BN5" s="149" t="s">
        <v>112</v>
      </c>
      <c r="BO5" s="150" t="s">
        <v>115</v>
      </c>
      <c r="BP5" s="150" t="s">
        <v>96</v>
      </c>
      <c r="BQ5" s="150" t="s">
        <v>116</v>
      </c>
      <c r="BR5" s="145" t="s">
        <v>117</v>
      </c>
      <c r="BS5" s="151" t="s">
        <v>118</v>
      </c>
      <c r="BT5" s="146" t="s">
        <v>112</v>
      </c>
      <c r="BU5" s="147" t="s">
        <v>119</v>
      </c>
      <c r="BV5" s="148" t="s">
        <v>91</v>
      </c>
      <c r="BW5" s="152" t="s">
        <v>120</v>
      </c>
      <c r="BX5" s="148" t="s">
        <v>121</v>
      </c>
      <c r="BY5" s="147" t="s">
        <v>122</v>
      </c>
      <c r="BZ5" s="148" t="s">
        <v>123</v>
      </c>
      <c r="CA5" s="154" t="s">
        <v>124</v>
      </c>
      <c r="CB5" s="155" t="s">
        <v>112</v>
      </c>
      <c r="CC5" s="156" t="s">
        <v>125</v>
      </c>
      <c r="CD5" s="157" t="s">
        <v>126</v>
      </c>
      <c r="CE5" s="158" t="s">
        <v>112</v>
      </c>
      <c r="CF5" s="157" t="s">
        <v>127</v>
      </c>
      <c r="CG5" s="157" t="s">
        <v>128</v>
      </c>
      <c r="CH5" s="157" t="s">
        <v>129</v>
      </c>
      <c r="CI5" s="159" t="s">
        <v>130</v>
      </c>
      <c r="CJ5" s="147" t="s">
        <v>113</v>
      </c>
      <c r="CK5" s="147" t="s">
        <v>131</v>
      </c>
      <c r="CL5" s="147" t="s">
        <v>132</v>
      </c>
      <c r="CM5" s="147" t="s">
        <v>133</v>
      </c>
      <c r="CN5" s="148" t="s">
        <v>96</v>
      </c>
      <c r="CO5" s="149" t="s">
        <v>112</v>
      </c>
      <c r="CP5" s="397" t="s">
        <v>134</v>
      </c>
      <c r="CQ5" s="397" t="s">
        <v>135</v>
      </c>
      <c r="CR5" s="397" t="s">
        <v>136</v>
      </c>
      <c r="CS5" s="160" t="s">
        <v>96</v>
      </c>
      <c r="CT5" s="161" t="s">
        <v>116</v>
      </c>
      <c r="CU5" s="161" t="s">
        <v>94</v>
      </c>
      <c r="CV5" s="161" t="s">
        <v>112</v>
      </c>
      <c r="CW5" s="162" t="s">
        <v>137</v>
      </c>
      <c r="CX5" s="147" t="s">
        <v>138</v>
      </c>
      <c r="CY5" s="147" t="s">
        <v>139</v>
      </c>
      <c r="CZ5" s="163" t="s">
        <v>140</v>
      </c>
      <c r="DA5" s="164" t="s">
        <v>135</v>
      </c>
      <c r="DB5" s="165" t="s">
        <v>141</v>
      </c>
      <c r="DC5" s="166" t="s">
        <v>142</v>
      </c>
      <c r="DD5" s="166" t="s">
        <v>143</v>
      </c>
      <c r="DE5" s="166" t="s">
        <v>144</v>
      </c>
      <c r="DF5" s="166" t="s">
        <v>145</v>
      </c>
      <c r="DG5" s="167" t="s">
        <v>146</v>
      </c>
      <c r="DH5" s="167" t="s">
        <v>147</v>
      </c>
      <c r="DI5" s="166" t="s">
        <v>148</v>
      </c>
      <c r="DJ5" s="166" t="s">
        <v>149</v>
      </c>
      <c r="DK5" s="168" t="s">
        <v>112</v>
      </c>
      <c r="DL5" s="169" t="s">
        <v>150</v>
      </c>
      <c r="DM5" s="166" t="s">
        <v>143</v>
      </c>
      <c r="DN5" s="166" t="s">
        <v>144</v>
      </c>
      <c r="DO5" s="170" t="s">
        <v>151</v>
      </c>
      <c r="DP5" s="171" t="s">
        <v>152</v>
      </c>
      <c r="DQ5" s="191" t="s">
        <v>153</v>
      </c>
      <c r="DR5" s="192" t="s">
        <v>154</v>
      </c>
      <c r="DS5" s="193" t="s">
        <v>155</v>
      </c>
      <c r="DT5" s="340" t="s">
        <v>156</v>
      </c>
      <c r="DU5" s="193" t="s">
        <v>157</v>
      </c>
      <c r="DV5" s="193" t="s">
        <v>158</v>
      </c>
      <c r="DW5" s="193" t="s">
        <v>159</v>
      </c>
      <c r="DX5" s="193" t="s">
        <v>158</v>
      </c>
      <c r="DY5" s="193" t="s">
        <v>160</v>
      </c>
      <c r="DZ5" s="193" t="s">
        <v>158</v>
      </c>
      <c r="EA5" s="210" t="s">
        <v>161</v>
      </c>
      <c r="EB5" s="210" t="s">
        <v>162</v>
      </c>
      <c r="EC5" s="210" t="s">
        <v>163</v>
      </c>
      <c r="ED5" s="210" t="s">
        <v>164</v>
      </c>
      <c r="EE5" s="210" t="s">
        <v>165</v>
      </c>
      <c r="EF5" s="210" t="s">
        <v>166</v>
      </c>
      <c r="EG5" s="210" t="s">
        <v>167</v>
      </c>
      <c r="EH5" s="210" t="s">
        <v>166</v>
      </c>
      <c r="EI5" s="210" t="s">
        <v>168</v>
      </c>
      <c r="EJ5" s="210" t="s">
        <v>166</v>
      </c>
      <c r="EK5" s="211" t="s">
        <v>169</v>
      </c>
      <c r="EL5" s="210" t="s">
        <v>166</v>
      </c>
      <c r="EM5" s="172" t="s">
        <v>170</v>
      </c>
      <c r="EN5" s="173" t="s">
        <v>171</v>
      </c>
      <c r="EO5" s="172" t="s">
        <v>172</v>
      </c>
      <c r="EP5" s="172" t="s">
        <v>163</v>
      </c>
      <c r="EQ5" s="172" t="s">
        <v>164</v>
      </c>
      <c r="ER5" s="172" t="s">
        <v>166</v>
      </c>
      <c r="ES5" s="172" t="s">
        <v>165</v>
      </c>
      <c r="ET5" s="172" t="s">
        <v>166</v>
      </c>
      <c r="EU5" s="172" t="s">
        <v>167</v>
      </c>
      <c r="EV5" s="172" t="s">
        <v>166</v>
      </c>
      <c r="EW5" s="172" t="s">
        <v>168</v>
      </c>
      <c r="EX5" s="172" t="s">
        <v>166</v>
      </c>
      <c r="EY5" s="173" t="s">
        <v>169</v>
      </c>
      <c r="EZ5" s="172" t="s">
        <v>166</v>
      </c>
      <c r="FA5" s="210" t="s">
        <v>161</v>
      </c>
      <c r="FB5" s="210" t="s">
        <v>91</v>
      </c>
      <c r="FC5" s="399" t="s">
        <v>162</v>
      </c>
      <c r="FD5" s="213" t="s">
        <v>91</v>
      </c>
      <c r="FE5" s="215" t="s">
        <v>173</v>
      </c>
      <c r="FF5" s="210" t="s">
        <v>158</v>
      </c>
      <c r="FG5" s="210" t="s">
        <v>91</v>
      </c>
      <c r="FH5" s="172" t="s">
        <v>170</v>
      </c>
      <c r="FI5" s="172" t="s">
        <v>91</v>
      </c>
      <c r="FJ5" s="174" t="s">
        <v>171</v>
      </c>
      <c r="FK5" s="172" t="s">
        <v>158</v>
      </c>
      <c r="FL5" s="172" t="s">
        <v>174</v>
      </c>
      <c r="FM5" s="172" t="s">
        <v>175</v>
      </c>
      <c r="FN5" s="172" t="s">
        <v>158</v>
      </c>
      <c r="FO5" s="172" t="s">
        <v>91</v>
      </c>
      <c r="FP5" s="366" t="s">
        <v>176</v>
      </c>
      <c r="FQ5" s="210" t="s">
        <v>111</v>
      </c>
      <c r="FR5" s="210" t="s">
        <v>177</v>
      </c>
      <c r="FS5" s="210" t="s">
        <v>110</v>
      </c>
      <c r="FT5" s="210" t="s">
        <v>112</v>
      </c>
      <c r="FU5" s="367" t="s">
        <v>178</v>
      </c>
      <c r="FV5" s="175" t="s">
        <v>179</v>
      </c>
      <c r="FW5" s="175" t="s">
        <v>180</v>
      </c>
      <c r="FX5" s="175" t="s">
        <v>181</v>
      </c>
      <c r="FY5" s="367" t="s">
        <v>182</v>
      </c>
      <c r="FZ5" s="175" t="s">
        <v>183</v>
      </c>
      <c r="GA5" s="176" t="s">
        <v>36</v>
      </c>
      <c r="GB5" s="176" t="s">
        <v>184</v>
      </c>
      <c r="GC5" s="439" t="s">
        <v>185</v>
      </c>
      <c r="GD5" s="380" t="s">
        <v>186</v>
      </c>
      <c r="GE5" s="353" t="s">
        <v>187</v>
      </c>
      <c r="GF5" s="355" t="s">
        <v>188</v>
      </c>
      <c r="GG5" s="177" t="s">
        <v>189</v>
      </c>
      <c r="GH5" s="177" t="s">
        <v>189</v>
      </c>
      <c r="GI5" s="378" t="s">
        <v>190</v>
      </c>
      <c r="GJ5" s="365" t="s">
        <v>191</v>
      </c>
      <c r="GK5" s="365" t="s">
        <v>192</v>
      </c>
      <c r="GL5" s="365" t="s">
        <v>193</v>
      </c>
      <c r="GM5" s="392" t="s">
        <v>194</v>
      </c>
      <c r="GN5" s="365" t="s">
        <v>190</v>
      </c>
      <c r="GO5" s="365" t="s">
        <v>191</v>
      </c>
      <c r="GP5" s="365" t="s">
        <v>192</v>
      </c>
      <c r="GQ5" s="365" t="s">
        <v>193</v>
      </c>
      <c r="GR5" s="393" t="s">
        <v>195</v>
      </c>
      <c r="GS5" s="178" t="s">
        <v>196</v>
      </c>
      <c r="GT5" s="400" t="s">
        <v>197</v>
      </c>
      <c r="GU5" s="178" t="s">
        <v>196</v>
      </c>
      <c r="GV5" s="178" t="s">
        <v>91</v>
      </c>
      <c r="GW5" s="400" t="s">
        <v>197</v>
      </c>
      <c r="GX5" s="178" t="s">
        <v>91</v>
      </c>
      <c r="GY5" s="178" t="s">
        <v>198</v>
      </c>
      <c r="GZ5" s="179" t="s">
        <v>199</v>
      </c>
      <c r="HA5" s="179" t="s">
        <v>200</v>
      </c>
      <c r="HB5" s="415" t="s">
        <v>201</v>
      </c>
      <c r="HC5" s="179" t="s">
        <v>202</v>
      </c>
      <c r="HD5" s="179" t="s">
        <v>203</v>
      </c>
      <c r="HE5" s="179" t="s">
        <v>199</v>
      </c>
      <c r="HF5" s="179" t="s">
        <v>91</v>
      </c>
      <c r="HG5" s="179" t="s">
        <v>200</v>
      </c>
      <c r="HH5" s="179" t="s">
        <v>91</v>
      </c>
      <c r="HI5" s="180" t="s">
        <v>201</v>
      </c>
      <c r="HJ5" s="181" t="s">
        <v>91</v>
      </c>
      <c r="HK5" s="180" t="s">
        <v>204</v>
      </c>
      <c r="HL5" s="128" t="s">
        <v>205</v>
      </c>
      <c r="HM5" s="128" t="s">
        <v>206</v>
      </c>
      <c r="HN5" s="128" t="s">
        <v>207</v>
      </c>
      <c r="HO5" s="127" t="s">
        <v>205</v>
      </c>
      <c r="HP5" s="127" t="s">
        <v>91</v>
      </c>
      <c r="HQ5" s="127" t="s">
        <v>206</v>
      </c>
      <c r="HR5" s="128" t="s">
        <v>91</v>
      </c>
      <c r="HS5" s="182" t="s">
        <v>208</v>
      </c>
      <c r="HT5" s="182" t="s">
        <v>209</v>
      </c>
      <c r="HU5" s="128" t="s">
        <v>208</v>
      </c>
      <c r="HV5" s="128" t="s">
        <v>91</v>
      </c>
      <c r="HW5" s="182" t="s">
        <v>209</v>
      </c>
      <c r="HX5" s="182" t="s">
        <v>91</v>
      </c>
      <c r="HY5" s="128" t="s">
        <v>210</v>
      </c>
      <c r="HZ5" s="128" t="s">
        <v>91</v>
      </c>
      <c r="IA5" s="128" t="s">
        <v>210</v>
      </c>
      <c r="IB5" s="126" t="s">
        <v>91</v>
      </c>
      <c r="IC5" s="183" t="s">
        <v>211</v>
      </c>
      <c r="ID5" s="183" t="s">
        <v>212</v>
      </c>
      <c r="IE5" s="183" t="s">
        <v>213</v>
      </c>
      <c r="IF5" s="183" t="s">
        <v>214</v>
      </c>
      <c r="IG5" s="458"/>
      <c r="IH5" s="486" t="s">
        <v>215</v>
      </c>
    </row>
    <row r="6" spans="1:245" x14ac:dyDescent="0.35">
      <c r="A6" s="310" t="s">
        <v>216</v>
      </c>
      <c r="B6" s="313" t="s">
        <v>217</v>
      </c>
      <c r="C6" s="310" t="s">
        <v>218</v>
      </c>
      <c r="D6" s="316"/>
      <c r="F6" t="s">
        <v>218</v>
      </c>
      <c r="I6" s="310" t="s">
        <v>219</v>
      </c>
      <c r="M6" s="313" t="s">
        <v>220</v>
      </c>
      <c r="O6"/>
      <c r="P6" s="381"/>
      <c r="Q6"/>
      <c r="T6" s="8"/>
      <c r="U6" t="s">
        <v>221</v>
      </c>
      <c r="V6" s="313"/>
      <c r="W6" t="s">
        <v>220</v>
      </c>
      <c r="X6" t="s">
        <v>220</v>
      </c>
      <c r="Z6" t="s">
        <v>220</v>
      </c>
      <c r="AB6"/>
      <c r="AD6" s="8" t="s">
        <v>222</v>
      </c>
      <c r="AF6" s="8" t="s">
        <v>222</v>
      </c>
      <c r="AG6"/>
      <c r="AH6"/>
      <c r="AI6"/>
      <c r="AJ6" t="s">
        <v>221</v>
      </c>
      <c r="AK6">
        <v>0</v>
      </c>
      <c r="AL6">
        <v>1</v>
      </c>
      <c r="AM6" t="s">
        <v>221</v>
      </c>
      <c r="AN6" s="403" t="s">
        <v>223</v>
      </c>
      <c r="AO6" t="s">
        <v>224</v>
      </c>
      <c r="AP6" t="s">
        <v>223</v>
      </c>
      <c r="AQ6" t="s">
        <v>221</v>
      </c>
      <c r="AR6" t="s">
        <v>225</v>
      </c>
      <c r="AS6" t="s">
        <v>221</v>
      </c>
      <c r="AT6"/>
      <c r="AU6" t="s">
        <v>220</v>
      </c>
      <c r="AV6"/>
      <c r="AW6" s="313" t="s">
        <v>220</v>
      </c>
      <c r="AX6" t="s">
        <v>226</v>
      </c>
      <c r="AY6" s="313" t="s">
        <v>220</v>
      </c>
      <c r="AZ6" s="313">
        <v>0.34100000000000003</v>
      </c>
      <c r="BB6" s="313" t="s">
        <v>220</v>
      </c>
      <c r="BC6">
        <v>0.221</v>
      </c>
      <c r="BD6" t="s">
        <v>227</v>
      </c>
      <c r="BE6">
        <v>0.157</v>
      </c>
      <c r="BF6" s="2" t="s">
        <v>220</v>
      </c>
      <c r="BH6" s="2" t="s">
        <v>228</v>
      </c>
      <c r="BI6" s="2" t="s">
        <v>229</v>
      </c>
      <c r="BM6"/>
      <c r="BP6" s="8"/>
      <c r="BQ6" t="s">
        <v>230</v>
      </c>
      <c r="BR6" t="s">
        <v>230</v>
      </c>
      <c r="BU6" t="s">
        <v>231</v>
      </c>
      <c r="BV6" t="s">
        <v>223</v>
      </c>
      <c r="BW6" t="s">
        <v>232</v>
      </c>
      <c r="BX6" t="s">
        <v>233</v>
      </c>
      <c r="BY6" t="s">
        <v>227</v>
      </c>
      <c r="BZ6">
        <v>0.61799999999999999</v>
      </c>
      <c r="CA6" t="s">
        <v>234</v>
      </c>
      <c r="CC6" t="s">
        <v>220</v>
      </c>
      <c r="CD6" t="s">
        <v>220</v>
      </c>
      <c r="CF6" t="s">
        <v>220</v>
      </c>
      <c r="CG6">
        <v>0.46800000000000003</v>
      </c>
      <c r="CH6" t="s">
        <v>220</v>
      </c>
      <c r="CI6">
        <v>0.51700000000000002</v>
      </c>
      <c r="CK6"/>
      <c r="CL6" t="s">
        <v>220</v>
      </c>
      <c r="CM6" t="s">
        <v>231</v>
      </c>
      <c r="CP6" t="s">
        <v>220</v>
      </c>
      <c r="CR6" t="s">
        <v>220</v>
      </c>
      <c r="CS6" s="8"/>
      <c r="CW6" t="s">
        <v>227</v>
      </c>
      <c r="CX6" t="s">
        <v>220</v>
      </c>
      <c r="CY6" t="s">
        <v>231</v>
      </c>
      <c r="CZ6" t="s">
        <v>220</v>
      </c>
      <c r="DA6" t="s">
        <v>227</v>
      </c>
      <c r="DB6" t="s">
        <v>220</v>
      </c>
      <c r="DC6" t="s">
        <v>220</v>
      </c>
      <c r="DD6" t="s">
        <v>220</v>
      </c>
      <c r="DE6"/>
      <c r="DF6"/>
      <c r="DG6"/>
      <c r="DH6" s="323"/>
      <c r="DI6" s="323"/>
      <c r="DJ6" s="323"/>
      <c r="DL6" t="s">
        <v>220</v>
      </c>
      <c r="DM6" t="s">
        <v>220</v>
      </c>
      <c r="DN6" t="s">
        <v>227</v>
      </c>
      <c r="DO6" t="s">
        <v>227</v>
      </c>
      <c r="DP6" t="s">
        <v>227</v>
      </c>
      <c r="DS6" s="309">
        <v>402.72699999999998</v>
      </c>
      <c r="DT6"/>
      <c r="DU6" s="309">
        <v>173.49299999999999</v>
      </c>
      <c r="DW6"/>
      <c r="DX6" t="s">
        <v>235</v>
      </c>
      <c r="DY6"/>
      <c r="DZ6" t="s">
        <v>235</v>
      </c>
      <c r="EA6"/>
      <c r="EB6"/>
      <c r="ED6" s="410"/>
      <c r="EE6" s="1"/>
      <c r="EG6" s="410"/>
      <c r="EI6" s="410"/>
      <c r="EK6" s="1"/>
      <c r="EM6"/>
      <c r="EQ6" s="344"/>
      <c r="EU6" s="344"/>
      <c r="EW6" s="409"/>
      <c r="EY6" s="1"/>
      <c r="FA6">
        <v>35.340000000000003</v>
      </c>
      <c r="FB6" t="s">
        <v>225</v>
      </c>
      <c r="FC6" s="7">
        <v>195.0742743169148</v>
      </c>
      <c r="FD6" s="356" t="s">
        <v>236</v>
      </c>
      <c r="FE6" s="8">
        <v>47.141131237256118</v>
      </c>
      <c r="FF6" t="s">
        <v>237</v>
      </c>
      <c r="FH6" s="9">
        <v>95.984255358290739</v>
      </c>
      <c r="FI6" s="9" t="s">
        <v>236</v>
      </c>
      <c r="FJ6">
        <v>83.5</v>
      </c>
      <c r="FK6" t="s">
        <v>238</v>
      </c>
      <c r="FL6">
        <v>51.3</v>
      </c>
      <c r="FM6">
        <v>196.24563241736919</v>
      </c>
      <c r="FN6" s="5" t="s">
        <v>237</v>
      </c>
      <c r="FP6" s="6">
        <v>5.13</v>
      </c>
      <c r="FQ6" t="s">
        <v>239</v>
      </c>
      <c r="FS6" t="s">
        <v>240</v>
      </c>
      <c r="FU6" s="8">
        <v>1</v>
      </c>
      <c r="FV6" s="8">
        <v>10</v>
      </c>
      <c r="FW6" s="8">
        <v>10</v>
      </c>
      <c r="FX6" s="8">
        <v>10</v>
      </c>
      <c r="FY6" s="8">
        <v>3</v>
      </c>
      <c r="FZ6">
        <f>FU6*FV6*FW6*FX6*FY6</f>
        <v>3000</v>
      </c>
      <c r="GA6" s="7" t="s">
        <v>241</v>
      </c>
      <c r="GB6" s="7" t="s">
        <v>241</v>
      </c>
      <c r="GC6" s="6">
        <v>30</v>
      </c>
      <c r="GD6" s="348" t="s">
        <v>242</v>
      </c>
      <c r="GF6" s="6">
        <v>1.7100000000000001E-2</v>
      </c>
      <c r="GH6" s="7"/>
      <c r="GI6" s="441"/>
      <c r="GJ6" s="441"/>
      <c r="GK6" s="441"/>
      <c r="GL6" s="441"/>
      <c r="GM6" s="452"/>
      <c r="GR6" s="6" t="s">
        <v>230</v>
      </c>
      <c r="GU6" t="s">
        <v>243</v>
      </c>
      <c r="GV6" t="s">
        <v>236</v>
      </c>
      <c r="GW6" t="s">
        <v>244</v>
      </c>
      <c r="GX6" t="s">
        <v>236</v>
      </c>
      <c r="GY6" t="s">
        <v>245</v>
      </c>
      <c r="HE6" t="s">
        <v>246</v>
      </c>
      <c r="HF6" t="s">
        <v>236</v>
      </c>
      <c r="HG6" t="s">
        <v>231</v>
      </c>
      <c r="HH6" t="s">
        <v>225</v>
      </c>
      <c r="HI6" t="s">
        <v>247</v>
      </c>
      <c r="HJ6" t="s">
        <v>223</v>
      </c>
      <c r="HK6" t="s">
        <v>248</v>
      </c>
      <c r="HL6" t="s">
        <v>231</v>
      </c>
      <c r="HM6" t="s">
        <v>231</v>
      </c>
      <c r="HO6" t="s">
        <v>231</v>
      </c>
      <c r="HP6" t="s">
        <v>249</v>
      </c>
      <c r="HQ6" t="s">
        <v>231</v>
      </c>
      <c r="HR6" t="s">
        <v>249</v>
      </c>
      <c r="HU6" t="s">
        <v>231</v>
      </c>
      <c r="HV6" t="s">
        <v>223</v>
      </c>
      <c r="HW6" t="s">
        <v>246</v>
      </c>
      <c r="HX6" t="s">
        <v>236</v>
      </c>
      <c r="IA6" t="s">
        <v>231</v>
      </c>
      <c r="IB6" t="s">
        <v>250</v>
      </c>
      <c r="IH6" t="s">
        <v>235</v>
      </c>
    </row>
    <row r="7" spans="1:245" x14ac:dyDescent="0.35">
      <c r="A7" s="310" t="s">
        <v>251</v>
      </c>
      <c r="B7" s="313" t="s">
        <v>252</v>
      </c>
      <c r="C7" s="310" t="s">
        <v>253</v>
      </c>
      <c r="D7" s="316"/>
      <c r="F7" t="s">
        <v>253</v>
      </c>
      <c r="I7" s="310" t="s">
        <v>254</v>
      </c>
      <c r="M7" s="313" t="s">
        <v>220</v>
      </c>
      <c r="O7" t="s">
        <v>221</v>
      </c>
      <c r="P7" s="381"/>
      <c r="Q7" t="s">
        <v>221</v>
      </c>
      <c r="T7" s="8"/>
      <c r="U7" t="s">
        <v>221</v>
      </c>
      <c r="V7" s="313"/>
      <c r="W7" t="s">
        <v>220</v>
      </c>
      <c r="X7" t="s">
        <v>220</v>
      </c>
      <c r="Z7" t="s">
        <v>220</v>
      </c>
      <c r="AB7"/>
      <c r="AD7" s="8" t="s">
        <v>222</v>
      </c>
      <c r="AF7" s="8" t="s">
        <v>222</v>
      </c>
      <c r="AG7"/>
      <c r="AH7"/>
      <c r="AI7"/>
      <c r="AJ7" t="s">
        <v>221</v>
      </c>
      <c r="AK7">
        <v>0</v>
      </c>
      <c r="AL7">
        <v>1</v>
      </c>
      <c r="AM7" t="s">
        <v>221</v>
      </c>
      <c r="AN7" t="s">
        <v>249</v>
      </c>
      <c r="AO7" t="s">
        <v>224</v>
      </c>
      <c r="AP7"/>
      <c r="AQ7" t="s">
        <v>221</v>
      </c>
      <c r="AR7" t="s">
        <v>225</v>
      </c>
      <c r="AS7" t="s">
        <v>221</v>
      </c>
      <c r="AT7"/>
      <c r="AU7" t="s">
        <v>220</v>
      </c>
      <c r="AV7"/>
      <c r="AW7" s="313" t="s">
        <v>220</v>
      </c>
      <c r="AX7" t="s">
        <v>226</v>
      </c>
      <c r="AY7" s="313" t="s">
        <v>220</v>
      </c>
      <c r="AZ7" s="313">
        <v>0.14899999999999999</v>
      </c>
      <c r="BB7" s="313" t="s">
        <v>220</v>
      </c>
      <c r="BC7">
        <v>7.51E-2</v>
      </c>
      <c r="BD7" t="s">
        <v>227</v>
      </c>
      <c r="BE7">
        <v>0.16700000000000001</v>
      </c>
      <c r="BF7" s="2" t="s">
        <v>220</v>
      </c>
      <c r="BH7" s="2" t="s">
        <v>228</v>
      </c>
      <c r="BI7" s="2" t="s">
        <v>229</v>
      </c>
      <c r="BM7"/>
      <c r="BO7" t="s">
        <v>220</v>
      </c>
      <c r="BP7" s="8"/>
      <c r="BQ7" t="s">
        <v>222</v>
      </c>
      <c r="BR7" t="s">
        <v>230</v>
      </c>
      <c r="BS7" t="s">
        <v>255</v>
      </c>
      <c r="BU7" t="s">
        <v>231</v>
      </c>
      <c r="BV7" t="s">
        <v>223</v>
      </c>
      <c r="BW7" t="s">
        <v>232</v>
      </c>
      <c r="BX7" t="s">
        <v>256</v>
      </c>
      <c r="BY7" t="s">
        <v>220</v>
      </c>
      <c r="BZ7">
        <v>0.371</v>
      </c>
      <c r="CA7" t="s">
        <v>234</v>
      </c>
      <c r="CF7" t="s">
        <v>227</v>
      </c>
      <c r="CG7">
        <v>0.32700000000000001</v>
      </c>
      <c r="CH7" t="s">
        <v>227</v>
      </c>
      <c r="CI7">
        <v>0.42</v>
      </c>
      <c r="CK7" t="s">
        <v>220</v>
      </c>
      <c r="CL7"/>
      <c r="CM7" t="s">
        <v>231</v>
      </c>
      <c r="CP7" t="s">
        <v>257</v>
      </c>
      <c r="CQ7" t="s">
        <v>257</v>
      </c>
      <c r="CS7" s="8"/>
      <c r="CW7" t="s">
        <v>220</v>
      </c>
      <c r="CX7" t="s">
        <v>227</v>
      </c>
      <c r="CY7" t="s">
        <v>231</v>
      </c>
      <c r="CZ7" t="s">
        <v>257</v>
      </c>
      <c r="DA7" t="s">
        <v>257</v>
      </c>
      <c r="DB7" t="s">
        <v>227</v>
      </c>
      <c r="DC7" t="s">
        <v>257</v>
      </c>
      <c r="DD7" t="s">
        <v>257</v>
      </c>
      <c r="DE7"/>
      <c r="DF7"/>
      <c r="DG7"/>
      <c r="DH7" s="323"/>
      <c r="DI7" s="323"/>
      <c r="DJ7" s="323"/>
      <c r="DL7" t="s">
        <v>257</v>
      </c>
      <c r="DM7" t="s">
        <v>257</v>
      </c>
      <c r="DN7" t="s">
        <v>227</v>
      </c>
      <c r="DO7" t="s">
        <v>227</v>
      </c>
      <c r="DP7" t="s">
        <v>227</v>
      </c>
      <c r="DQ7" s="324" t="s">
        <v>258</v>
      </c>
      <c r="DR7" s="324">
        <v>30300</v>
      </c>
      <c r="DS7" s="309">
        <v>114.884</v>
      </c>
      <c r="DT7"/>
      <c r="DU7" s="309">
        <v>166.24799999999999</v>
      </c>
      <c r="DW7">
        <v>6.39</v>
      </c>
      <c r="DX7" t="s">
        <v>238</v>
      </c>
      <c r="DY7">
        <v>77.900000000000006</v>
      </c>
      <c r="DZ7" t="s">
        <v>238</v>
      </c>
      <c r="EA7"/>
      <c r="EB7"/>
      <c r="ED7" s="410"/>
      <c r="EE7" s="1"/>
      <c r="EG7" s="410"/>
      <c r="EI7" s="410"/>
      <c r="EK7" s="1">
        <v>568</v>
      </c>
      <c r="EL7" s="8" t="s">
        <v>259</v>
      </c>
      <c r="EM7"/>
      <c r="EQ7" s="344"/>
      <c r="EU7" s="344"/>
      <c r="EW7" s="409"/>
      <c r="EY7" s="1"/>
      <c r="FA7">
        <v>31.81</v>
      </c>
      <c r="FB7" t="s">
        <v>225</v>
      </c>
      <c r="FC7" s="7">
        <v>82.889591627310693</v>
      </c>
      <c r="FD7" s="357" t="s">
        <v>236</v>
      </c>
      <c r="FE7" s="8">
        <v>23.65374987057605</v>
      </c>
      <c r="FF7" t="s">
        <v>237</v>
      </c>
      <c r="FH7" s="9">
        <v>53.174081882714326</v>
      </c>
      <c r="FI7" s="9" t="s">
        <v>236</v>
      </c>
      <c r="FJ7">
        <v>17.3</v>
      </c>
      <c r="FK7" t="s">
        <v>238</v>
      </c>
      <c r="FL7">
        <v>68.8</v>
      </c>
      <c r="FM7">
        <v>91.348201245719295</v>
      </c>
      <c r="FN7" s="5" t="s">
        <v>237</v>
      </c>
      <c r="FP7" s="6">
        <v>284</v>
      </c>
      <c r="FQ7" t="s">
        <v>260</v>
      </c>
      <c r="FS7" t="s">
        <v>261</v>
      </c>
      <c r="FU7" s="8">
        <v>2</v>
      </c>
      <c r="FV7" s="8">
        <v>10</v>
      </c>
      <c r="FW7" s="8">
        <v>10</v>
      </c>
      <c r="FX7" s="8">
        <v>1</v>
      </c>
      <c r="FY7" s="8">
        <v>3</v>
      </c>
      <c r="FZ7">
        <f t="shared" ref="FZ7:FZ70" si="0">FU7*FV7*FW7*FX7*FY7</f>
        <v>600</v>
      </c>
      <c r="GA7" s="7" t="s">
        <v>241</v>
      </c>
      <c r="GB7" s="7" t="s">
        <v>241</v>
      </c>
      <c r="GC7" s="6">
        <v>30</v>
      </c>
      <c r="GD7" s="348" t="s">
        <v>242</v>
      </c>
      <c r="GF7" s="6">
        <v>5.7666666666666665E-3</v>
      </c>
      <c r="GH7" s="7"/>
      <c r="GI7" s="441">
        <v>6.3109999999999999</v>
      </c>
      <c r="GJ7" s="441">
        <v>11.833</v>
      </c>
      <c r="GK7" s="441">
        <v>18.933</v>
      </c>
      <c r="GL7" s="441">
        <v>47.332999999999998</v>
      </c>
      <c r="GM7" s="452" t="s">
        <v>262</v>
      </c>
      <c r="GN7" s="6">
        <v>0.2</v>
      </c>
      <c r="GO7" s="6">
        <v>0.375</v>
      </c>
      <c r="GP7" s="6">
        <v>0.6</v>
      </c>
      <c r="GQ7" s="6">
        <v>1.5</v>
      </c>
      <c r="GR7" s="6" t="s">
        <v>230</v>
      </c>
      <c r="GT7" t="s">
        <v>263</v>
      </c>
      <c r="GU7" t="s">
        <v>243</v>
      </c>
      <c r="GV7" t="s">
        <v>236</v>
      </c>
      <c r="GW7" t="s">
        <v>264</v>
      </c>
      <c r="GY7" t="s">
        <v>265</v>
      </c>
      <c r="HE7" t="s">
        <v>246</v>
      </c>
      <c r="HF7" t="s">
        <v>236</v>
      </c>
      <c r="HG7" t="s">
        <v>231</v>
      </c>
      <c r="HH7" t="s">
        <v>225</v>
      </c>
      <c r="HI7" t="s">
        <v>247</v>
      </c>
      <c r="HJ7" t="s">
        <v>223</v>
      </c>
      <c r="HK7" t="s">
        <v>266</v>
      </c>
      <c r="HL7" t="s">
        <v>231</v>
      </c>
      <c r="HM7" t="s">
        <v>231</v>
      </c>
      <c r="HO7" t="s">
        <v>231</v>
      </c>
      <c r="HP7" t="s">
        <v>249</v>
      </c>
      <c r="HQ7" t="s">
        <v>231</v>
      </c>
      <c r="HR7" t="s">
        <v>249</v>
      </c>
      <c r="HU7" t="s">
        <v>231</v>
      </c>
      <c r="HV7" t="s">
        <v>223</v>
      </c>
      <c r="HW7" t="s">
        <v>246</v>
      </c>
      <c r="HX7" t="s">
        <v>236</v>
      </c>
      <c r="IA7" t="s">
        <v>231</v>
      </c>
      <c r="IB7" t="s">
        <v>250</v>
      </c>
      <c r="IC7">
        <v>6.3109999999999999</v>
      </c>
      <c r="ID7">
        <v>11.833</v>
      </c>
      <c r="IE7">
        <v>18.933</v>
      </c>
      <c r="IF7">
        <v>47.332999999999998</v>
      </c>
      <c r="IH7" t="s">
        <v>267</v>
      </c>
    </row>
    <row r="8" spans="1:245" x14ac:dyDescent="0.35">
      <c r="A8" s="310" t="s">
        <v>268</v>
      </c>
      <c r="B8" s="313" t="s">
        <v>269</v>
      </c>
      <c r="C8" s="310" t="s">
        <v>270</v>
      </c>
      <c r="D8" s="316"/>
      <c r="F8" t="s">
        <v>270</v>
      </c>
      <c r="I8" s="310" t="s">
        <v>271</v>
      </c>
      <c r="M8" s="313"/>
      <c r="O8"/>
      <c r="P8" s="381"/>
      <c r="Q8"/>
      <c r="T8" s="8"/>
      <c r="U8"/>
      <c r="V8" s="313"/>
      <c r="W8"/>
      <c r="X8"/>
      <c r="Z8"/>
      <c r="AB8"/>
      <c r="AD8" s="8" t="s">
        <v>230</v>
      </c>
      <c r="AF8" s="8" t="s">
        <v>230</v>
      </c>
      <c r="AG8"/>
      <c r="AH8"/>
      <c r="AI8"/>
      <c r="AJ8" t="s">
        <v>221</v>
      </c>
      <c r="AK8">
        <v>0</v>
      </c>
      <c r="AL8">
        <v>0.82499999999999996</v>
      </c>
      <c r="AM8" t="s">
        <v>221</v>
      </c>
      <c r="AN8" t="s">
        <v>223</v>
      </c>
      <c r="AO8" t="s">
        <v>221</v>
      </c>
      <c r="AP8" t="s">
        <v>223</v>
      </c>
      <c r="AQ8" t="s">
        <v>221</v>
      </c>
      <c r="AR8" t="s">
        <v>225</v>
      </c>
      <c r="AS8" t="s">
        <v>221</v>
      </c>
      <c r="AT8" t="s">
        <v>223</v>
      </c>
      <c r="AU8" t="s">
        <v>272</v>
      </c>
      <c r="AV8"/>
      <c r="AW8" s="313" t="s">
        <v>227</v>
      </c>
      <c r="AX8" t="s">
        <v>226</v>
      </c>
      <c r="AY8" s="313" t="s">
        <v>227</v>
      </c>
      <c r="AZ8" s="313">
        <v>0.15</v>
      </c>
      <c r="BB8" s="313" t="s">
        <v>227</v>
      </c>
      <c r="BC8">
        <v>7.4700000000000003E-2</v>
      </c>
      <c r="BD8" t="s">
        <v>227</v>
      </c>
      <c r="BE8">
        <v>0.186</v>
      </c>
      <c r="BF8" s="2" t="s">
        <v>220</v>
      </c>
      <c r="BG8" s="2" t="s">
        <v>273</v>
      </c>
      <c r="BH8" s="2" t="s">
        <v>274</v>
      </c>
      <c r="BI8" s="2" t="s">
        <v>275</v>
      </c>
      <c r="BM8"/>
      <c r="BP8" s="8"/>
      <c r="BQ8" t="s">
        <v>230</v>
      </c>
      <c r="BR8" t="s">
        <v>230</v>
      </c>
      <c r="BU8" t="s">
        <v>231</v>
      </c>
      <c r="BV8" t="s">
        <v>223</v>
      </c>
      <c r="BW8" t="s">
        <v>232</v>
      </c>
      <c r="BX8" t="s">
        <v>276</v>
      </c>
      <c r="BY8" t="s">
        <v>227</v>
      </c>
      <c r="BZ8">
        <v>0.373</v>
      </c>
      <c r="CA8" t="s">
        <v>234</v>
      </c>
      <c r="CF8" t="s">
        <v>227</v>
      </c>
      <c r="CG8">
        <v>0.26400000000000001</v>
      </c>
      <c r="CH8" t="s">
        <v>227</v>
      </c>
      <c r="CI8">
        <v>0.32200000000000001</v>
      </c>
      <c r="CK8"/>
      <c r="CL8"/>
      <c r="CM8"/>
      <c r="CS8" s="8"/>
      <c r="CW8" t="s">
        <v>227</v>
      </c>
      <c r="CX8" t="s">
        <v>227</v>
      </c>
      <c r="CY8" t="s">
        <v>231</v>
      </c>
      <c r="CZ8" t="s">
        <v>227</v>
      </c>
      <c r="DA8" t="s">
        <v>227</v>
      </c>
      <c r="DB8" t="s">
        <v>227</v>
      </c>
      <c r="DC8"/>
      <c r="DD8"/>
      <c r="DE8"/>
      <c r="DF8"/>
      <c r="DG8"/>
      <c r="DH8" s="323"/>
      <c r="DI8" s="323"/>
      <c r="DJ8" s="323"/>
      <c r="DL8" t="s">
        <v>227</v>
      </c>
      <c r="DM8" t="s">
        <v>227</v>
      </c>
      <c r="DN8" t="s">
        <v>227</v>
      </c>
      <c r="DO8" t="s">
        <v>227</v>
      </c>
      <c r="DP8" t="s">
        <v>227</v>
      </c>
      <c r="DS8" s="309">
        <v>217.62799999999999</v>
      </c>
      <c r="DT8"/>
      <c r="DU8" s="309">
        <v>210.446</v>
      </c>
      <c r="DW8">
        <v>88.1</v>
      </c>
      <c r="DX8" t="s">
        <v>238</v>
      </c>
      <c r="DY8">
        <v>257</v>
      </c>
      <c r="DZ8" t="s">
        <v>238</v>
      </c>
      <c r="EA8"/>
      <c r="EB8"/>
      <c r="ED8" s="410"/>
      <c r="EE8" s="1"/>
      <c r="EG8" s="410"/>
      <c r="EI8" s="410"/>
      <c r="EK8" s="1"/>
      <c r="EM8"/>
      <c r="EQ8" s="344"/>
      <c r="EU8" s="344"/>
      <c r="EW8" s="409"/>
      <c r="EY8" s="1"/>
      <c r="FA8">
        <v>28.95</v>
      </c>
      <c r="FB8" t="s">
        <v>225</v>
      </c>
      <c r="FC8" s="7">
        <v>102.94375366592664</v>
      </c>
      <c r="FD8" s="357" t="s">
        <v>236</v>
      </c>
      <c r="FE8" s="8">
        <v>16.958990621092486</v>
      </c>
      <c r="FF8" t="s">
        <v>237</v>
      </c>
      <c r="FH8" s="9">
        <v>60.380958107442822</v>
      </c>
      <c r="FI8" s="9" t="s">
        <v>236</v>
      </c>
      <c r="FJ8">
        <v>67.5</v>
      </c>
      <c r="FK8" t="s">
        <v>238</v>
      </c>
      <c r="FL8">
        <v>49.1</v>
      </c>
      <c r="FM8">
        <v>55.030061732345693</v>
      </c>
      <c r="FN8" s="5" t="s">
        <v>237</v>
      </c>
      <c r="FP8" s="6">
        <v>2.7515030866172845</v>
      </c>
      <c r="FQ8" t="s">
        <v>277</v>
      </c>
      <c r="FS8" t="s">
        <v>240</v>
      </c>
      <c r="FU8" s="8">
        <v>2</v>
      </c>
      <c r="FV8" s="8">
        <v>10</v>
      </c>
      <c r="FW8" s="8">
        <v>10</v>
      </c>
      <c r="FX8" s="8">
        <v>10</v>
      </c>
      <c r="FY8" s="8">
        <v>3</v>
      </c>
      <c r="FZ8">
        <f t="shared" si="0"/>
        <v>6000</v>
      </c>
      <c r="GA8" s="7" t="s">
        <v>241</v>
      </c>
      <c r="GB8" s="7" t="s">
        <v>241</v>
      </c>
      <c r="GC8" s="6">
        <v>30</v>
      </c>
      <c r="GD8" s="348" t="s">
        <v>242</v>
      </c>
      <c r="GF8" s="6">
        <v>1.6366666666666668E-2</v>
      </c>
      <c r="GH8" s="7"/>
      <c r="GI8" s="445"/>
      <c r="GJ8" s="445"/>
      <c r="GK8" s="445"/>
      <c r="GL8" s="445"/>
      <c r="GM8" s="453"/>
      <c r="GN8" s="6">
        <v>0.2</v>
      </c>
      <c r="GO8" s="6">
        <v>0.375</v>
      </c>
      <c r="GP8" s="6">
        <v>0.6</v>
      </c>
      <c r="GQ8" s="6">
        <v>1.5</v>
      </c>
      <c r="GR8" s="6" t="s">
        <v>230</v>
      </c>
      <c r="GU8" t="s">
        <v>243</v>
      </c>
      <c r="GV8" t="s">
        <v>236</v>
      </c>
      <c r="GW8" t="s">
        <v>244</v>
      </c>
      <c r="GX8" t="s">
        <v>236</v>
      </c>
      <c r="GY8" t="s">
        <v>245</v>
      </c>
      <c r="HE8" t="s">
        <v>246</v>
      </c>
      <c r="HF8" t="s">
        <v>236</v>
      </c>
      <c r="HG8" t="s">
        <v>231</v>
      </c>
      <c r="HH8" t="s">
        <v>225</v>
      </c>
      <c r="HI8" t="s">
        <v>247</v>
      </c>
      <c r="HJ8" t="s">
        <v>225</v>
      </c>
      <c r="HK8" t="s">
        <v>266</v>
      </c>
      <c r="HL8" t="s">
        <v>231</v>
      </c>
      <c r="HM8" t="s">
        <v>231</v>
      </c>
      <c r="HO8" t="s">
        <v>231</v>
      </c>
      <c r="HP8" t="s">
        <v>249</v>
      </c>
      <c r="HQ8" t="s">
        <v>231</v>
      </c>
      <c r="HR8" t="s">
        <v>249</v>
      </c>
      <c r="HU8" t="s">
        <v>231</v>
      </c>
      <c r="HV8" t="s">
        <v>223</v>
      </c>
      <c r="HW8" t="s">
        <v>246</v>
      </c>
      <c r="HX8" t="s">
        <v>236</v>
      </c>
      <c r="IA8" t="s">
        <v>231</v>
      </c>
      <c r="IB8" t="s">
        <v>250</v>
      </c>
      <c r="IC8" s="447"/>
      <c r="ID8" s="447"/>
      <c r="IE8" s="447"/>
      <c r="IF8" s="447"/>
      <c r="IH8" t="s">
        <v>235</v>
      </c>
      <c r="IK8" s="446" t="s">
        <v>278</v>
      </c>
    </row>
    <row r="9" spans="1:245" x14ac:dyDescent="0.35">
      <c r="A9" s="310" t="s">
        <v>279</v>
      </c>
      <c r="B9" s="313" t="s">
        <v>280</v>
      </c>
      <c r="C9" s="310" t="s">
        <v>281</v>
      </c>
      <c r="D9" s="316"/>
      <c r="F9" t="s">
        <v>282</v>
      </c>
      <c r="I9" s="310" t="s">
        <v>283</v>
      </c>
      <c r="M9" s="313"/>
      <c r="O9"/>
      <c r="P9" s="381"/>
      <c r="Q9"/>
      <c r="T9" s="8"/>
      <c r="U9"/>
      <c r="V9" s="313"/>
      <c r="W9"/>
      <c r="X9"/>
      <c r="Z9"/>
      <c r="AB9"/>
      <c r="AD9" s="8" t="s">
        <v>230</v>
      </c>
      <c r="AF9" s="8" t="s">
        <v>230</v>
      </c>
      <c r="AG9"/>
      <c r="AH9"/>
      <c r="AI9"/>
      <c r="AJ9" t="s">
        <v>221</v>
      </c>
      <c r="AK9">
        <v>0</v>
      </c>
      <c r="AL9">
        <v>0.9</v>
      </c>
      <c r="AM9" t="s">
        <v>221</v>
      </c>
      <c r="AN9" t="s">
        <v>223</v>
      </c>
      <c r="AO9" t="s">
        <v>221</v>
      </c>
      <c r="AP9" t="s">
        <v>223</v>
      </c>
      <c r="AQ9" t="s">
        <v>221</v>
      </c>
      <c r="AR9" t="s">
        <v>223</v>
      </c>
      <c r="AS9" t="s">
        <v>221</v>
      </c>
      <c r="AT9" t="s">
        <v>223</v>
      </c>
      <c r="AU9" t="s">
        <v>220</v>
      </c>
      <c r="AV9"/>
      <c r="AW9" s="313" t="s">
        <v>220</v>
      </c>
      <c r="AX9" t="s">
        <v>226</v>
      </c>
      <c r="AY9" s="313" t="s">
        <v>220</v>
      </c>
      <c r="AZ9" s="313">
        <v>0.155</v>
      </c>
      <c r="BB9" s="313" t="s">
        <v>220</v>
      </c>
      <c r="BC9">
        <v>9.2700000000000005E-2</v>
      </c>
      <c r="BD9" t="s">
        <v>227</v>
      </c>
      <c r="BE9">
        <v>0.104</v>
      </c>
      <c r="BF9" s="2" t="s">
        <v>220</v>
      </c>
      <c r="BG9" s="2" t="s">
        <v>273</v>
      </c>
      <c r="BH9" s="2" t="s">
        <v>274</v>
      </c>
      <c r="BI9" s="2" t="s">
        <v>275</v>
      </c>
      <c r="BM9"/>
      <c r="BP9" s="8"/>
      <c r="BQ9" t="s">
        <v>230</v>
      </c>
      <c r="BR9" t="s">
        <v>230</v>
      </c>
      <c r="BU9" t="s">
        <v>231</v>
      </c>
      <c r="BV9" t="s">
        <v>223</v>
      </c>
      <c r="BW9" t="s">
        <v>232</v>
      </c>
      <c r="BX9" t="s">
        <v>284</v>
      </c>
      <c r="BY9" t="s">
        <v>220</v>
      </c>
      <c r="BZ9">
        <v>0.35899999999999999</v>
      </c>
      <c r="CA9" t="s">
        <v>234</v>
      </c>
      <c r="CF9" t="s">
        <v>220</v>
      </c>
      <c r="CG9">
        <v>8.3900000000000002E-2</v>
      </c>
      <c r="CH9" t="s">
        <v>220</v>
      </c>
      <c r="CI9">
        <v>7.9699999999999993E-2</v>
      </c>
      <c r="CK9"/>
      <c r="CL9"/>
      <c r="CM9"/>
      <c r="CS9" s="8"/>
      <c r="CW9" t="s">
        <v>220</v>
      </c>
      <c r="CX9" t="s">
        <v>220</v>
      </c>
      <c r="CY9" t="s">
        <v>231</v>
      </c>
      <c r="CZ9" t="s">
        <v>220</v>
      </c>
      <c r="DA9" t="s">
        <v>220</v>
      </c>
      <c r="DB9" t="s">
        <v>220</v>
      </c>
      <c r="DC9"/>
      <c r="DD9"/>
      <c r="DE9"/>
      <c r="DF9"/>
      <c r="DG9"/>
      <c r="DH9" s="323"/>
      <c r="DI9" s="323"/>
      <c r="DJ9" s="323"/>
      <c r="DL9" t="s">
        <v>257</v>
      </c>
      <c r="DM9" t="s">
        <v>220</v>
      </c>
      <c r="DN9" t="s">
        <v>257</v>
      </c>
      <c r="DO9" t="s">
        <v>220</v>
      </c>
      <c r="DP9" t="s">
        <v>227</v>
      </c>
      <c r="DS9" s="309">
        <v>284.80500000000001</v>
      </c>
      <c r="DT9"/>
      <c r="DU9" s="309">
        <v>318.52699999999999</v>
      </c>
      <c r="DW9"/>
      <c r="DX9" t="s">
        <v>235</v>
      </c>
      <c r="DY9">
        <v>7200</v>
      </c>
      <c r="DZ9" t="s">
        <v>238</v>
      </c>
      <c r="EA9"/>
      <c r="EB9"/>
      <c r="ED9" s="410"/>
      <c r="EE9" s="1"/>
      <c r="EG9" s="410"/>
      <c r="EI9" s="410"/>
      <c r="EK9" s="1"/>
      <c r="EM9"/>
      <c r="EQ9" s="344"/>
      <c r="EU9" s="344"/>
      <c r="EW9" s="409"/>
      <c r="EY9" s="1"/>
      <c r="FA9">
        <v>23.34</v>
      </c>
      <c r="FB9" t="s">
        <v>225</v>
      </c>
      <c r="FC9" s="7">
        <v>116.78847834896385</v>
      </c>
      <c r="FD9" s="357" t="s">
        <v>225</v>
      </c>
      <c r="FE9" s="8">
        <v>24.468086096956178</v>
      </c>
      <c r="FF9" t="s">
        <v>237</v>
      </c>
      <c r="FH9" s="9">
        <v>100.71635501321347</v>
      </c>
      <c r="FI9" s="9" t="s">
        <v>225</v>
      </c>
      <c r="FK9" t="s">
        <v>235</v>
      </c>
      <c r="FL9">
        <v>62.1</v>
      </c>
      <c r="FM9">
        <v>62.187056379875166</v>
      </c>
      <c r="FN9" s="5" t="s">
        <v>237</v>
      </c>
      <c r="FP9" s="6">
        <v>3.1093528189937585</v>
      </c>
      <c r="FQ9" t="s">
        <v>277</v>
      </c>
      <c r="FS9" t="s">
        <v>240</v>
      </c>
      <c r="FU9" s="8">
        <v>2</v>
      </c>
      <c r="FV9" s="8">
        <v>10</v>
      </c>
      <c r="FW9" s="8">
        <v>10</v>
      </c>
      <c r="FX9" s="8">
        <v>10</v>
      </c>
      <c r="FY9" s="8">
        <v>3</v>
      </c>
      <c r="FZ9">
        <f t="shared" si="0"/>
        <v>6000</v>
      </c>
      <c r="GA9" s="7" t="s">
        <v>241</v>
      </c>
      <c r="GB9" s="7" t="s">
        <v>241</v>
      </c>
      <c r="GC9" s="6">
        <v>30</v>
      </c>
      <c r="GD9" s="348" t="s">
        <v>242</v>
      </c>
      <c r="GF9" s="6">
        <v>2.07E-2</v>
      </c>
      <c r="GH9" s="7"/>
      <c r="GI9" s="445"/>
      <c r="GJ9" s="445"/>
      <c r="GK9" s="445"/>
      <c r="GL9" s="445"/>
      <c r="GM9" s="453"/>
      <c r="GN9" s="6">
        <v>0.2</v>
      </c>
      <c r="GO9" s="6">
        <v>0.375</v>
      </c>
      <c r="GP9" s="6">
        <v>0.6</v>
      </c>
      <c r="GQ9" s="6">
        <v>1.5</v>
      </c>
      <c r="GR9" s="6" t="s">
        <v>230</v>
      </c>
      <c r="GU9" t="s">
        <v>243</v>
      </c>
      <c r="GV9" t="s">
        <v>236</v>
      </c>
      <c r="GW9" t="s">
        <v>244</v>
      </c>
      <c r="GX9" t="s">
        <v>236</v>
      </c>
      <c r="GY9" t="s">
        <v>245</v>
      </c>
      <c r="HE9" t="s">
        <v>246</v>
      </c>
      <c r="HF9" t="s">
        <v>236</v>
      </c>
      <c r="HG9" t="s">
        <v>231</v>
      </c>
      <c r="HH9" t="s">
        <v>225</v>
      </c>
      <c r="HI9" t="s">
        <v>247</v>
      </c>
      <c r="HJ9" t="s">
        <v>223</v>
      </c>
      <c r="HK9" t="s">
        <v>266</v>
      </c>
      <c r="HO9" t="s">
        <v>231</v>
      </c>
      <c r="HP9" t="s">
        <v>223</v>
      </c>
      <c r="HQ9" t="s">
        <v>231</v>
      </c>
      <c r="HR9" t="s">
        <v>223</v>
      </c>
      <c r="HU9" t="s">
        <v>231</v>
      </c>
      <c r="HV9" t="s">
        <v>223</v>
      </c>
      <c r="HW9" t="s">
        <v>246</v>
      </c>
      <c r="HX9" t="s">
        <v>236</v>
      </c>
      <c r="IA9" t="s">
        <v>231</v>
      </c>
      <c r="IB9" t="s">
        <v>250</v>
      </c>
      <c r="IC9" s="447"/>
      <c r="ID9" s="447"/>
      <c r="IE9" s="447"/>
      <c r="IF9" s="447"/>
      <c r="IH9" t="s">
        <v>235</v>
      </c>
      <c r="IK9" s="446" t="s">
        <v>285</v>
      </c>
    </row>
    <row r="10" spans="1:245" x14ac:dyDescent="0.35">
      <c r="A10" s="310" t="s">
        <v>286</v>
      </c>
      <c r="B10" s="313" t="s">
        <v>287</v>
      </c>
      <c r="C10" s="310" t="s">
        <v>288</v>
      </c>
      <c r="D10" s="316"/>
      <c r="F10" t="s">
        <v>289</v>
      </c>
      <c r="I10" s="310" t="s">
        <v>290</v>
      </c>
      <c r="M10" s="313" t="s">
        <v>220</v>
      </c>
      <c r="O10" t="s">
        <v>221</v>
      </c>
      <c r="P10" s="381"/>
      <c r="Q10" t="s">
        <v>221</v>
      </c>
      <c r="T10" s="8"/>
      <c r="U10" t="s">
        <v>221</v>
      </c>
      <c r="V10" s="313"/>
      <c r="W10" t="s">
        <v>220</v>
      </c>
      <c r="X10" t="s">
        <v>220</v>
      </c>
      <c r="Z10" t="s">
        <v>220</v>
      </c>
      <c r="AB10"/>
      <c r="AD10" s="8" t="s">
        <v>291</v>
      </c>
      <c r="AF10" s="8" t="s">
        <v>222</v>
      </c>
      <c r="AG10"/>
      <c r="AH10"/>
      <c r="AI10"/>
      <c r="AJ10" t="s">
        <v>221</v>
      </c>
      <c r="AK10">
        <v>0</v>
      </c>
      <c r="AL10">
        <v>1</v>
      </c>
      <c r="AM10" t="s">
        <v>221</v>
      </c>
      <c r="AN10" t="s">
        <v>249</v>
      </c>
      <c r="AO10" t="s">
        <v>224</v>
      </c>
      <c r="AP10"/>
      <c r="AQ10" t="s">
        <v>221</v>
      </c>
      <c r="AR10" t="s">
        <v>225</v>
      </c>
      <c r="AS10" t="s">
        <v>221</v>
      </c>
      <c r="AT10"/>
      <c r="AU10" t="s">
        <v>220</v>
      </c>
      <c r="AV10"/>
      <c r="AW10" s="313" t="s">
        <v>220</v>
      </c>
      <c r="AX10" t="s">
        <v>226</v>
      </c>
      <c r="AY10" s="313" t="s">
        <v>220</v>
      </c>
      <c r="AZ10" s="313">
        <v>0.28100000000000003</v>
      </c>
      <c r="BB10" s="313" t="s">
        <v>220</v>
      </c>
      <c r="BC10">
        <v>0.17299999999999999</v>
      </c>
      <c r="BD10" t="s">
        <v>220</v>
      </c>
      <c r="BE10">
        <v>0.23799999999999999</v>
      </c>
      <c r="BF10" s="2" t="s">
        <v>220</v>
      </c>
      <c r="BH10" s="2" t="s">
        <v>228</v>
      </c>
      <c r="BI10" s="2" t="s">
        <v>292</v>
      </c>
      <c r="BM10"/>
      <c r="BO10" t="s">
        <v>220</v>
      </c>
      <c r="BP10" s="8"/>
      <c r="BQ10" t="s">
        <v>222</v>
      </c>
      <c r="BR10" t="s">
        <v>222</v>
      </c>
      <c r="BS10" t="s">
        <v>255</v>
      </c>
      <c r="BU10" t="s">
        <v>293</v>
      </c>
      <c r="BV10" t="s">
        <v>236</v>
      </c>
      <c r="BW10" t="s">
        <v>232</v>
      </c>
      <c r="BX10" t="s">
        <v>256</v>
      </c>
      <c r="BY10" t="s">
        <v>220</v>
      </c>
      <c r="BZ10">
        <v>0.443</v>
      </c>
      <c r="CA10" t="s">
        <v>234</v>
      </c>
      <c r="CD10" t="s">
        <v>220</v>
      </c>
      <c r="CF10" t="s">
        <v>227</v>
      </c>
      <c r="CG10">
        <v>0.59399999999999997</v>
      </c>
      <c r="CH10" t="s">
        <v>220</v>
      </c>
      <c r="CI10">
        <v>0.66500000000000004</v>
      </c>
      <c r="CK10" t="s">
        <v>220</v>
      </c>
      <c r="CL10"/>
      <c r="CM10"/>
      <c r="CS10" s="8"/>
      <c r="CW10" t="s">
        <v>220</v>
      </c>
      <c r="CX10" t="s">
        <v>257</v>
      </c>
      <c r="CY10" t="s">
        <v>231</v>
      </c>
      <c r="CZ10" t="s">
        <v>257</v>
      </c>
      <c r="DA10" t="s">
        <v>227</v>
      </c>
      <c r="DB10" t="s">
        <v>220</v>
      </c>
      <c r="DC10" t="s">
        <v>220</v>
      </c>
      <c r="DD10" t="s">
        <v>220</v>
      </c>
      <c r="DE10"/>
      <c r="DF10"/>
      <c r="DG10"/>
      <c r="DH10" s="323"/>
      <c r="DI10" s="323"/>
      <c r="DJ10" s="323"/>
      <c r="DL10" t="s">
        <v>220</v>
      </c>
      <c r="DM10" t="s">
        <v>220</v>
      </c>
      <c r="DN10" t="s">
        <v>227</v>
      </c>
      <c r="DO10" t="s">
        <v>220</v>
      </c>
      <c r="DP10" t="s">
        <v>220</v>
      </c>
      <c r="DS10" s="309">
        <v>141.34899999999999</v>
      </c>
      <c r="DU10" s="309">
        <v>313.05700000000002</v>
      </c>
      <c r="DW10">
        <v>4.2999999999999997E-2</v>
      </c>
      <c r="DX10" t="s">
        <v>238</v>
      </c>
      <c r="DY10"/>
      <c r="DZ10" t="s">
        <v>235</v>
      </c>
      <c r="EA10"/>
      <c r="EB10"/>
      <c r="ED10" s="410">
        <v>900</v>
      </c>
      <c r="EE10" s="1"/>
      <c r="EF10" s="8" t="s">
        <v>259</v>
      </c>
      <c r="EG10" s="410">
        <v>900</v>
      </c>
      <c r="EH10" s="8" t="s">
        <v>259</v>
      </c>
      <c r="EI10" s="410">
        <v>100</v>
      </c>
      <c r="EJ10" s="8" t="s">
        <v>259</v>
      </c>
      <c r="EK10" s="1">
        <v>900</v>
      </c>
      <c r="EL10" s="8" t="s">
        <v>259</v>
      </c>
      <c r="EM10"/>
      <c r="EQ10" s="346"/>
      <c r="EU10" s="344"/>
      <c r="EW10" s="409"/>
      <c r="EY10" s="1"/>
      <c r="FA10">
        <v>59.64</v>
      </c>
      <c r="FB10" t="s">
        <v>225</v>
      </c>
      <c r="FC10" s="7">
        <v>80.984144732578926</v>
      </c>
      <c r="FD10" s="357" t="s">
        <v>236</v>
      </c>
      <c r="FE10" s="8">
        <v>54.337543390633421</v>
      </c>
      <c r="FF10" t="s">
        <v>237</v>
      </c>
      <c r="FH10" s="9">
        <v>42.540246294406813</v>
      </c>
      <c r="FI10" s="9" t="s">
        <v>225</v>
      </c>
      <c r="FK10" t="s">
        <v>235</v>
      </c>
      <c r="FL10">
        <v>81.599999999999994</v>
      </c>
      <c r="FM10">
        <v>101.99995965937205</v>
      </c>
      <c r="FN10" s="5" t="s">
        <v>237</v>
      </c>
      <c r="FP10" s="6">
        <v>50</v>
      </c>
      <c r="FQ10" t="s">
        <v>294</v>
      </c>
      <c r="FS10" t="s">
        <v>261</v>
      </c>
      <c r="FU10" s="8">
        <v>2</v>
      </c>
      <c r="FV10" s="8">
        <v>10</v>
      </c>
      <c r="FW10" s="8">
        <v>10</v>
      </c>
      <c r="FX10" s="8">
        <v>1</v>
      </c>
      <c r="FY10" s="8">
        <v>3</v>
      </c>
      <c r="FZ10">
        <f t="shared" si="0"/>
        <v>600</v>
      </c>
      <c r="GA10" s="7" t="s">
        <v>241</v>
      </c>
      <c r="GB10" s="7" t="s">
        <v>241</v>
      </c>
      <c r="GC10" s="6">
        <v>30</v>
      </c>
      <c r="GD10" s="348" t="s">
        <v>242</v>
      </c>
      <c r="GE10" s="6">
        <v>0.9</v>
      </c>
      <c r="GF10" s="6">
        <v>2.7200000000000002E-2</v>
      </c>
      <c r="GH10" s="7"/>
      <c r="GI10" s="441"/>
      <c r="GJ10" s="441"/>
      <c r="GK10" s="441"/>
      <c r="GL10" s="441"/>
      <c r="GM10" s="454"/>
      <c r="GN10" s="441"/>
      <c r="GO10" s="441"/>
      <c r="GP10" s="441"/>
      <c r="GQ10" s="441"/>
      <c r="GR10" s="441"/>
      <c r="GS10" s="441"/>
      <c r="GT10" s="441"/>
      <c r="GU10" s="441"/>
      <c r="GV10" s="441"/>
      <c r="GW10" s="441"/>
      <c r="GX10" s="441"/>
      <c r="GY10" s="441"/>
      <c r="GZ10" s="441"/>
      <c r="HA10" s="441"/>
      <c r="HB10" s="441"/>
      <c r="HC10" s="441"/>
      <c r="HD10" s="441"/>
      <c r="HE10" s="441"/>
      <c r="HF10" s="441"/>
      <c r="HG10" s="441"/>
      <c r="HH10" s="441"/>
      <c r="HI10" s="441"/>
      <c r="HJ10" s="441"/>
      <c r="HK10" s="441"/>
      <c r="HL10" s="441"/>
      <c r="HM10" s="441"/>
      <c r="HN10" s="441"/>
      <c r="HO10" s="441"/>
      <c r="HP10" s="441"/>
      <c r="HQ10" s="441"/>
      <c r="HR10" s="441"/>
      <c r="HS10" s="441"/>
      <c r="HT10" s="441"/>
      <c r="HU10" s="441"/>
      <c r="HV10" s="441"/>
      <c r="HW10" s="441"/>
      <c r="HX10" s="441"/>
      <c r="HY10" s="441"/>
      <c r="HZ10" s="441"/>
      <c r="IA10" s="441"/>
      <c r="IB10" s="441"/>
      <c r="IC10" s="441"/>
      <c r="ID10" s="441"/>
      <c r="IE10" s="441"/>
      <c r="IF10" s="441"/>
      <c r="IH10" t="s">
        <v>235</v>
      </c>
      <c r="IK10" s="446" t="s">
        <v>295</v>
      </c>
    </row>
    <row r="11" spans="1:245" x14ac:dyDescent="0.35">
      <c r="A11" s="310" t="s">
        <v>296</v>
      </c>
      <c r="B11" s="313" t="s">
        <v>297</v>
      </c>
      <c r="C11" s="310" t="s">
        <v>298</v>
      </c>
      <c r="D11" s="316"/>
      <c r="F11" t="s">
        <v>299</v>
      </c>
      <c r="I11" s="310" t="s">
        <v>300</v>
      </c>
      <c r="M11" s="313"/>
      <c r="O11"/>
      <c r="P11" s="381"/>
      <c r="Q11"/>
      <c r="T11" s="8"/>
      <c r="U11"/>
      <c r="V11" s="313"/>
      <c r="W11" t="s">
        <v>301</v>
      </c>
      <c r="X11"/>
      <c r="Z11"/>
      <c r="AB11"/>
      <c r="AD11" s="8" t="s">
        <v>222</v>
      </c>
      <c r="AF11" s="8" t="s">
        <v>230</v>
      </c>
      <c r="AG11"/>
      <c r="AH11"/>
      <c r="AI11"/>
      <c r="AJ11" t="s">
        <v>221</v>
      </c>
      <c r="AK11">
        <v>0</v>
      </c>
      <c r="AL11">
        <v>0.4</v>
      </c>
      <c r="AM11" t="s">
        <v>221</v>
      </c>
      <c r="AN11" t="s">
        <v>236</v>
      </c>
      <c r="AO11" t="s">
        <v>224</v>
      </c>
      <c r="AP11" t="s">
        <v>236</v>
      </c>
      <c r="AQ11" t="s">
        <v>221</v>
      </c>
      <c r="AR11" t="s">
        <v>225</v>
      </c>
      <c r="AS11" t="s">
        <v>221</v>
      </c>
      <c r="AT11" t="s">
        <v>225</v>
      </c>
      <c r="AU11" t="s">
        <v>220</v>
      </c>
      <c r="AV11"/>
      <c r="AW11" s="313" t="s">
        <v>220</v>
      </c>
      <c r="AX11" t="s">
        <v>226</v>
      </c>
      <c r="AY11" s="313" t="s">
        <v>220</v>
      </c>
      <c r="AZ11" s="313">
        <v>7.3899999999999993E-2</v>
      </c>
      <c r="BB11" s="313" t="s">
        <v>220</v>
      </c>
      <c r="BC11">
        <v>4.5199999999999997E-2</v>
      </c>
      <c r="BD11" t="s">
        <v>220</v>
      </c>
      <c r="BE11">
        <v>4.8399999999999999E-2</v>
      </c>
      <c r="BF11" s="2" t="s">
        <v>220</v>
      </c>
      <c r="BG11" s="2" t="s">
        <v>230</v>
      </c>
      <c r="BH11" s="2" t="s">
        <v>228</v>
      </c>
      <c r="BI11" s="2" t="s">
        <v>302</v>
      </c>
      <c r="BM11"/>
      <c r="BP11" s="8"/>
      <c r="BQ11" t="s">
        <v>230</v>
      </c>
      <c r="BR11" t="s">
        <v>230</v>
      </c>
      <c r="BU11" t="s">
        <v>293</v>
      </c>
      <c r="BV11" t="s">
        <v>236</v>
      </c>
      <c r="BW11" t="s">
        <v>232</v>
      </c>
      <c r="BX11" t="s">
        <v>284</v>
      </c>
      <c r="BY11" t="s">
        <v>220</v>
      </c>
      <c r="BZ11">
        <v>0.38500000000000001</v>
      </c>
      <c r="CA11" t="s">
        <v>234</v>
      </c>
      <c r="CF11" t="s">
        <v>220</v>
      </c>
      <c r="CG11">
        <v>0.40300000000000002</v>
      </c>
      <c r="CH11" t="s">
        <v>220</v>
      </c>
      <c r="CI11">
        <v>0.14299999999999999</v>
      </c>
      <c r="CK11"/>
      <c r="CL11"/>
      <c r="CM11"/>
      <c r="CS11" s="8"/>
      <c r="CW11" t="s">
        <v>257</v>
      </c>
      <c r="CX11" t="s">
        <v>220</v>
      </c>
      <c r="CY11" t="s">
        <v>231</v>
      </c>
      <c r="CZ11" t="s">
        <v>220</v>
      </c>
      <c r="DA11" t="s">
        <v>220</v>
      </c>
      <c r="DB11" t="s">
        <v>227</v>
      </c>
      <c r="DC11"/>
      <c r="DD11"/>
      <c r="DE11"/>
      <c r="DF11"/>
      <c r="DG11"/>
      <c r="DH11" s="323"/>
      <c r="DI11" s="323"/>
      <c r="DJ11" s="323"/>
      <c r="DL11" t="s">
        <v>257</v>
      </c>
      <c r="DM11" t="s">
        <v>220</v>
      </c>
      <c r="DN11" t="s">
        <v>257</v>
      </c>
      <c r="DO11" t="s">
        <v>220</v>
      </c>
      <c r="DP11" t="s">
        <v>220</v>
      </c>
      <c r="DS11" s="309">
        <v>86.912000000000006</v>
      </c>
      <c r="DU11" s="309">
        <v>268.47699999999998</v>
      </c>
      <c r="DW11">
        <v>19.5</v>
      </c>
      <c r="DX11" t="s">
        <v>238</v>
      </c>
      <c r="DY11">
        <v>46.4</v>
      </c>
      <c r="DZ11" t="s">
        <v>238</v>
      </c>
      <c r="EA11"/>
      <c r="EB11"/>
      <c r="ED11" s="410"/>
      <c r="EE11" s="1"/>
      <c r="EG11" s="410"/>
      <c r="EI11" s="410"/>
      <c r="EK11" s="1"/>
      <c r="EM11"/>
      <c r="EQ11" s="344"/>
      <c r="EU11" s="344"/>
      <c r="EW11" s="409"/>
      <c r="EY11" s="1">
        <v>30</v>
      </c>
      <c r="EZ11" s="9" t="s">
        <v>259</v>
      </c>
      <c r="FA11">
        <v>13.67</v>
      </c>
      <c r="FB11" t="s">
        <v>223</v>
      </c>
      <c r="FC11" s="7">
        <v>87.841551926145613</v>
      </c>
      <c r="FD11" s="357" t="s">
        <v>225</v>
      </c>
      <c r="FE11" s="8">
        <v>108.81781468163949</v>
      </c>
      <c r="FF11" t="s">
        <v>237</v>
      </c>
      <c r="FH11" s="9">
        <v>137.94310581975347</v>
      </c>
      <c r="FI11" s="9" t="s">
        <v>225</v>
      </c>
      <c r="FJ11">
        <v>53.3</v>
      </c>
      <c r="FK11" t="s">
        <v>238</v>
      </c>
      <c r="FL11">
        <v>56.3</v>
      </c>
      <c r="FM11">
        <v>496.02092739597481</v>
      </c>
      <c r="FN11" s="5" t="s">
        <v>237</v>
      </c>
      <c r="FP11" s="6">
        <v>1.5</v>
      </c>
      <c r="FQ11" t="s">
        <v>260</v>
      </c>
      <c r="FS11" t="s">
        <v>261</v>
      </c>
      <c r="FU11" s="8">
        <v>2</v>
      </c>
      <c r="FV11" s="8">
        <v>10</v>
      </c>
      <c r="FW11" s="8">
        <v>10</v>
      </c>
      <c r="FX11" s="8">
        <v>10</v>
      </c>
      <c r="FY11" s="8">
        <v>3</v>
      </c>
      <c r="FZ11">
        <f t="shared" si="0"/>
        <v>6000</v>
      </c>
      <c r="GA11" s="7" t="s">
        <v>303</v>
      </c>
      <c r="GB11" s="7" t="s">
        <v>303</v>
      </c>
      <c r="GC11" s="6">
        <v>9</v>
      </c>
      <c r="GD11" s="348" t="s">
        <v>304</v>
      </c>
      <c r="GF11" s="6">
        <v>5.0000000000000001E-3</v>
      </c>
      <c r="GH11" s="7"/>
      <c r="GI11" s="445"/>
      <c r="GJ11" s="445"/>
      <c r="GK11" s="445"/>
      <c r="GL11" s="445"/>
      <c r="GM11" s="453"/>
      <c r="GN11" s="6">
        <v>0.06</v>
      </c>
      <c r="GO11" s="6">
        <v>0.1125</v>
      </c>
      <c r="GP11" s="6">
        <v>0.18</v>
      </c>
      <c r="GQ11" s="6">
        <v>0.45</v>
      </c>
      <c r="GR11" s="6" t="s">
        <v>230</v>
      </c>
      <c r="GU11" t="s">
        <v>243</v>
      </c>
      <c r="GV11" t="s">
        <v>236</v>
      </c>
      <c r="GW11" t="s">
        <v>244</v>
      </c>
      <c r="GX11" t="s">
        <v>225</v>
      </c>
      <c r="GY11" t="s">
        <v>245</v>
      </c>
      <c r="HE11" t="s">
        <v>246</v>
      </c>
      <c r="HF11" t="s">
        <v>236</v>
      </c>
      <c r="HG11" t="s">
        <v>231</v>
      </c>
      <c r="HH11" t="s">
        <v>236</v>
      </c>
      <c r="HI11" t="s">
        <v>247</v>
      </c>
      <c r="HJ11" t="s">
        <v>223</v>
      </c>
      <c r="HK11" t="s">
        <v>248</v>
      </c>
      <c r="HO11" t="s">
        <v>231</v>
      </c>
      <c r="HP11" t="s">
        <v>223</v>
      </c>
      <c r="HQ11" t="s">
        <v>231</v>
      </c>
      <c r="HR11" t="s">
        <v>223</v>
      </c>
      <c r="HU11" t="s">
        <v>231</v>
      </c>
      <c r="HV11" t="s">
        <v>223</v>
      </c>
      <c r="HW11" t="s">
        <v>246</v>
      </c>
      <c r="HX11" t="s">
        <v>236</v>
      </c>
      <c r="IA11" t="s">
        <v>231</v>
      </c>
      <c r="IB11" t="s">
        <v>250</v>
      </c>
      <c r="IC11" s="447"/>
      <c r="ID11" s="447"/>
      <c r="IE11" s="447"/>
      <c r="IF11" s="447"/>
      <c r="IH11" t="s">
        <v>235</v>
      </c>
      <c r="IK11" s="446" t="s">
        <v>305</v>
      </c>
    </row>
    <row r="12" spans="1:245" hidden="1" x14ac:dyDescent="0.35">
      <c r="A12" s="310" t="s">
        <v>306</v>
      </c>
      <c r="B12" s="313" t="s">
        <v>307</v>
      </c>
      <c r="C12" s="310" t="s">
        <v>308</v>
      </c>
      <c r="D12" s="316"/>
      <c r="F12" t="s">
        <v>309</v>
      </c>
      <c r="I12" s="310" t="s">
        <v>310</v>
      </c>
      <c r="M12" s="313" t="s">
        <v>220</v>
      </c>
      <c r="N12" t="s">
        <v>311</v>
      </c>
      <c r="O12"/>
      <c r="P12" s="381"/>
      <c r="Q12"/>
      <c r="S12" t="s">
        <v>221</v>
      </c>
      <c r="T12" s="8"/>
      <c r="U12" t="s">
        <v>221</v>
      </c>
      <c r="V12" s="313"/>
      <c r="W12" t="s">
        <v>220</v>
      </c>
      <c r="X12" t="s">
        <v>220</v>
      </c>
      <c r="Z12" t="s">
        <v>220</v>
      </c>
      <c r="AB12" t="s">
        <v>220</v>
      </c>
      <c r="AD12" s="8" t="s">
        <v>291</v>
      </c>
      <c r="AF12" s="8" t="s">
        <v>222</v>
      </c>
      <c r="AG12"/>
      <c r="AH12" t="s">
        <v>312</v>
      </c>
      <c r="AI12"/>
      <c r="AJ12" t="s">
        <v>221</v>
      </c>
      <c r="AK12">
        <v>0</v>
      </c>
      <c r="AL12">
        <v>1</v>
      </c>
      <c r="AM12" t="s">
        <v>221</v>
      </c>
      <c r="AN12" t="s">
        <v>225</v>
      </c>
      <c r="AO12" t="s">
        <v>224</v>
      </c>
      <c r="AP12" t="s">
        <v>223</v>
      </c>
      <c r="AQ12" t="s">
        <v>221</v>
      </c>
      <c r="AR12"/>
      <c r="AS12" t="s">
        <v>221</v>
      </c>
      <c r="AT12"/>
      <c r="AU12" t="s">
        <v>220</v>
      </c>
      <c r="AV12"/>
      <c r="AW12" s="313" t="s">
        <v>220</v>
      </c>
      <c r="AX12" t="s">
        <v>226</v>
      </c>
      <c r="AY12" s="313" t="s">
        <v>220</v>
      </c>
      <c r="AZ12" s="313">
        <v>9.2299999999999993E-2</v>
      </c>
      <c r="BB12" s="313" t="s">
        <v>220</v>
      </c>
      <c r="BC12">
        <v>0.10299999999999999</v>
      </c>
      <c r="BD12" t="s">
        <v>220</v>
      </c>
      <c r="BE12">
        <v>0.20499999999999999</v>
      </c>
      <c r="BF12" s="2" t="s">
        <v>313</v>
      </c>
      <c r="BH12" s="2" t="s">
        <v>228</v>
      </c>
      <c r="BI12" s="2" t="s">
        <v>314</v>
      </c>
      <c r="BK12" s="412" t="s">
        <v>315</v>
      </c>
      <c r="BL12" s="2" t="s">
        <v>316</v>
      </c>
      <c r="BM12" t="s">
        <v>317</v>
      </c>
      <c r="BO12" t="s">
        <v>257</v>
      </c>
      <c r="BP12" s="8" t="s">
        <v>318</v>
      </c>
      <c r="BQ12" t="s">
        <v>319</v>
      </c>
      <c r="BR12" t="s">
        <v>319</v>
      </c>
      <c r="BS12" t="s">
        <v>320</v>
      </c>
      <c r="BU12" t="s">
        <v>293</v>
      </c>
      <c r="BV12" t="s">
        <v>249</v>
      </c>
      <c r="BW12" t="s">
        <v>321</v>
      </c>
      <c r="BX12" t="s">
        <v>256</v>
      </c>
      <c r="BY12" t="s">
        <v>257</v>
      </c>
      <c r="BZ12">
        <v>0.61299999999999999</v>
      </c>
      <c r="CA12" t="s">
        <v>234</v>
      </c>
      <c r="CF12" t="s">
        <v>227</v>
      </c>
      <c r="CG12">
        <v>0.56599999999999995</v>
      </c>
      <c r="CH12" t="s">
        <v>257</v>
      </c>
      <c r="CI12">
        <v>0.54400000000000004</v>
      </c>
      <c r="CK12" t="s">
        <v>257</v>
      </c>
      <c r="CL12" t="s">
        <v>220</v>
      </c>
      <c r="CM12" t="s">
        <v>317</v>
      </c>
      <c r="CP12" t="s">
        <v>257</v>
      </c>
      <c r="CQ12" t="s">
        <v>257</v>
      </c>
      <c r="CR12" t="s">
        <v>257</v>
      </c>
      <c r="CS12" s="8" t="s">
        <v>312</v>
      </c>
      <c r="CW12" t="s">
        <v>257</v>
      </c>
      <c r="CX12" t="s">
        <v>220</v>
      </c>
      <c r="CY12" t="s">
        <v>317</v>
      </c>
      <c r="CZ12" t="s">
        <v>257</v>
      </c>
      <c r="DA12" t="s">
        <v>257</v>
      </c>
      <c r="DB12" t="s">
        <v>257</v>
      </c>
      <c r="DC12" t="s">
        <v>257</v>
      </c>
      <c r="DD12" t="s">
        <v>257</v>
      </c>
      <c r="DE12" t="s">
        <v>257</v>
      </c>
      <c r="DF12"/>
      <c r="DG12"/>
      <c r="DH12" s="323"/>
      <c r="DI12" s="323"/>
      <c r="DJ12" s="323" t="s">
        <v>316</v>
      </c>
      <c r="DL12" t="s">
        <v>257</v>
      </c>
      <c r="DM12" t="s">
        <v>257</v>
      </c>
      <c r="DN12" t="s">
        <v>257</v>
      </c>
      <c r="DO12" t="s">
        <v>220</v>
      </c>
      <c r="DP12" t="s">
        <v>220</v>
      </c>
      <c r="DQ12" s="8" t="s">
        <v>258</v>
      </c>
      <c r="DR12" s="8" t="s">
        <v>258</v>
      </c>
      <c r="DS12" s="309">
        <v>188.32900000000001</v>
      </c>
      <c r="DU12" s="309">
        <v>449.57299999999998</v>
      </c>
      <c r="DW12">
        <v>134</v>
      </c>
      <c r="DX12" t="s">
        <v>238</v>
      </c>
      <c r="DY12">
        <v>233</v>
      </c>
      <c r="DZ12" t="s">
        <v>238</v>
      </c>
      <c r="EA12"/>
      <c r="EB12"/>
      <c r="ED12" s="410" t="s">
        <v>322</v>
      </c>
      <c r="EE12" s="1"/>
      <c r="EF12" s="8" t="s">
        <v>323</v>
      </c>
      <c r="EG12" s="410">
        <v>52</v>
      </c>
      <c r="EH12" s="8" t="s">
        <v>323</v>
      </c>
      <c r="EI12" s="410">
        <v>153</v>
      </c>
      <c r="EJ12" s="8" t="s">
        <v>324</v>
      </c>
      <c r="EK12" s="1"/>
      <c r="EM12"/>
      <c r="EN12" s="9">
        <v>344.19322520460003</v>
      </c>
      <c r="EQ12" s="344"/>
      <c r="EU12" s="344"/>
      <c r="EW12" s="409"/>
      <c r="EY12" s="1"/>
      <c r="FA12">
        <v>21.02</v>
      </c>
      <c r="FB12" t="s">
        <v>223</v>
      </c>
      <c r="FC12" s="7">
        <v>52.710847623639594</v>
      </c>
      <c r="FD12" s="357" t="s">
        <v>225</v>
      </c>
      <c r="FE12" s="8">
        <v>59.347168055305559</v>
      </c>
      <c r="FF12" t="s">
        <v>237</v>
      </c>
      <c r="FH12" s="9">
        <v>120.53134420984212</v>
      </c>
      <c r="FI12" s="9" t="s">
        <v>225</v>
      </c>
      <c r="FJ12">
        <v>112</v>
      </c>
      <c r="FK12" t="s">
        <v>238</v>
      </c>
      <c r="FL12">
        <v>71.900000000000006</v>
      </c>
      <c r="FM12">
        <v>152.58083948074901</v>
      </c>
      <c r="FN12" s="5" t="s">
        <v>237</v>
      </c>
      <c r="FP12" s="6">
        <v>34.41932252046</v>
      </c>
      <c r="FQ12" t="s">
        <v>325</v>
      </c>
      <c r="FS12" t="s">
        <v>261</v>
      </c>
      <c r="FU12" s="8">
        <v>1</v>
      </c>
      <c r="FV12" s="8">
        <v>10</v>
      </c>
      <c r="FW12" s="8">
        <v>10</v>
      </c>
      <c r="FX12" s="8">
        <v>10</v>
      </c>
      <c r="FY12" s="8">
        <v>1</v>
      </c>
      <c r="FZ12">
        <f t="shared" si="0"/>
        <v>1000</v>
      </c>
      <c r="GA12" s="7" t="s">
        <v>241</v>
      </c>
      <c r="GB12" s="7" t="s">
        <v>326</v>
      </c>
      <c r="GC12" s="6">
        <v>1.5</v>
      </c>
      <c r="GD12" s="348" t="s">
        <v>304</v>
      </c>
      <c r="GE12" s="6" t="s">
        <v>327</v>
      </c>
      <c r="GF12" s="6">
        <v>6.0265672104921057E-2</v>
      </c>
      <c r="GG12" s="7" t="s">
        <v>328</v>
      </c>
      <c r="GH12" s="7"/>
      <c r="GI12" s="441"/>
      <c r="GJ12" s="441"/>
      <c r="GK12" s="441"/>
      <c r="GL12" s="441"/>
      <c r="GM12" s="454"/>
      <c r="GN12" s="441"/>
      <c r="GO12" s="441"/>
      <c r="GP12" s="441"/>
      <c r="GQ12" s="441"/>
      <c r="GR12" s="441"/>
      <c r="GS12" s="441"/>
      <c r="GT12" s="441"/>
      <c r="GU12" s="441"/>
      <c r="GV12" s="441"/>
      <c r="GW12" s="441"/>
      <c r="GX12" s="441"/>
      <c r="GY12" s="441"/>
      <c r="GZ12" s="441"/>
      <c r="HA12" s="441"/>
      <c r="HB12" s="441"/>
      <c r="HC12" s="441"/>
      <c r="HD12" s="441"/>
      <c r="HE12" s="441"/>
      <c r="HF12" s="441"/>
      <c r="HG12" s="441"/>
      <c r="HH12" s="441"/>
      <c r="HI12" s="441"/>
      <c r="HJ12" s="441"/>
      <c r="HK12" s="441"/>
      <c r="HL12" s="441"/>
      <c r="HM12" s="441"/>
      <c r="HN12" s="441"/>
      <c r="HO12" s="441"/>
      <c r="HP12" s="441"/>
      <c r="HQ12" s="441"/>
      <c r="HR12" s="441"/>
      <c r="HS12" s="441"/>
      <c r="HT12" s="441"/>
      <c r="HU12" s="441"/>
      <c r="HV12" s="441"/>
      <c r="HW12" s="441"/>
      <c r="HX12" s="441"/>
      <c r="HY12" s="441"/>
      <c r="HZ12" s="441"/>
      <c r="IA12" s="441"/>
      <c r="IB12" s="441"/>
      <c r="IC12" s="441"/>
      <c r="ID12" s="441"/>
      <c r="IE12" s="441"/>
      <c r="IF12" s="441"/>
      <c r="IH12" t="s">
        <v>235</v>
      </c>
      <c r="IK12" s="446" t="s">
        <v>329</v>
      </c>
    </row>
    <row r="13" spans="1:245" x14ac:dyDescent="0.35">
      <c r="A13" s="310" t="s">
        <v>330</v>
      </c>
      <c r="B13" s="313" t="s">
        <v>331</v>
      </c>
      <c r="C13" s="310" t="s">
        <v>332</v>
      </c>
      <c r="D13" s="316"/>
      <c r="F13" t="s">
        <v>333</v>
      </c>
      <c r="I13" s="310" t="s">
        <v>334</v>
      </c>
      <c r="M13" s="313" t="s">
        <v>220</v>
      </c>
      <c r="O13" t="s">
        <v>221</v>
      </c>
      <c r="P13" s="381"/>
      <c r="Q13" t="s">
        <v>221</v>
      </c>
      <c r="T13" s="8"/>
      <c r="U13" t="s">
        <v>221</v>
      </c>
      <c r="V13" s="313"/>
      <c r="W13" t="s">
        <v>335</v>
      </c>
      <c r="X13" t="s">
        <v>335</v>
      </c>
      <c r="Z13"/>
      <c r="AB13"/>
      <c r="AD13" s="8" t="s">
        <v>230</v>
      </c>
      <c r="AF13" s="8" t="s">
        <v>222</v>
      </c>
      <c r="AG13"/>
      <c r="AH13"/>
      <c r="AI13"/>
      <c r="AJ13" t="s">
        <v>221</v>
      </c>
      <c r="AK13">
        <v>0</v>
      </c>
      <c r="AL13">
        <v>1</v>
      </c>
      <c r="AM13" t="s">
        <v>221</v>
      </c>
      <c r="AN13" t="s">
        <v>249</v>
      </c>
      <c r="AO13" t="s">
        <v>221</v>
      </c>
      <c r="AP13"/>
      <c r="AQ13" t="s">
        <v>221</v>
      </c>
      <c r="AR13" t="s">
        <v>223</v>
      </c>
      <c r="AS13" t="s">
        <v>221</v>
      </c>
      <c r="AT13"/>
      <c r="AU13" t="s">
        <v>220</v>
      </c>
      <c r="AV13"/>
      <c r="AW13" s="313" t="s">
        <v>335</v>
      </c>
      <c r="AX13" t="s">
        <v>226</v>
      </c>
      <c r="AY13" s="313" t="s">
        <v>335</v>
      </c>
      <c r="AZ13" s="313">
        <v>0.108</v>
      </c>
      <c r="BB13" s="313" t="s">
        <v>220</v>
      </c>
      <c r="BC13">
        <v>5.0700000000000002E-2</v>
      </c>
      <c r="BD13" t="s">
        <v>220</v>
      </c>
      <c r="BE13">
        <v>0.109</v>
      </c>
      <c r="BF13" s="2" t="s">
        <v>220</v>
      </c>
      <c r="BH13" s="2" t="s">
        <v>228</v>
      </c>
      <c r="BI13" s="2" t="s">
        <v>336</v>
      </c>
      <c r="BM13"/>
      <c r="BO13" t="s">
        <v>220</v>
      </c>
      <c r="BP13" s="8"/>
      <c r="BQ13" t="s">
        <v>222</v>
      </c>
      <c r="BR13" t="s">
        <v>230</v>
      </c>
      <c r="BS13" t="s">
        <v>255</v>
      </c>
      <c r="BU13" t="s">
        <v>231</v>
      </c>
      <c r="BV13" t="s">
        <v>223</v>
      </c>
      <c r="BW13" t="s">
        <v>232</v>
      </c>
      <c r="BX13" t="s">
        <v>256</v>
      </c>
      <c r="BY13" t="s">
        <v>220</v>
      </c>
      <c r="BZ13">
        <v>0.41799999999999998</v>
      </c>
      <c r="CA13" t="s">
        <v>234</v>
      </c>
      <c r="CF13" t="s">
        <v>220</v>
      </c>
      <c r="CG13">
        <v>0.23300000000000001</v>
      </c>
      <c r="CH13" t="s">
        <v>220</v>
      </c>
      <c r="CI13">
        <v>0.40400000000000003</v>
      </c>
      <c r="CK13"/>
      <c r="CL13"/>
      <c r="CM13"/>
      <c r="CS13" s="8"/>
      <c r="CW13" t="s">
        <v>220</v>
      </c>
      <c r="CX13" t="s">
        <v>220</v>
      </c>
      <c r="CY13" t="s">
        <v>231</v>
      </c>
      <c r="CZ13" t="s">
        <v>227</v>
      </c>
      <c r="DA13" t="s">
        <v>227</v>
      </c>
      <c r="DB13" t="s">
        <v>227</v>
      </c>
      <c r="DC13"/>
      <c r="DD13"/>
      <c r="DE13"/>
      <c r="DF13"/>
      <c r="DG13"/>
      <c r="DH13" s="323"/>
      <c r="DI13" s="323"/>
      <c r="DJ13" s="323"/>
      <c r="DL13" t="s">
        <v>257</v>
      </c>
      <c r="DM13" t="s">
        <v>220</v>
      </c>
      <c r="DN13" t="s">
        <v>227</v>
      </c>
      <c r="DO13" t="s">
        <v>220</v>
      </c>
      <c r="DP13" t="s">
        <v>227</v>
      </c>
      <c r="DS13" s="309">
        <v>404.19499999999999</v>
      </c>
      <c r="DU13" s="309">
        <v>286.68400000000003</v>
      </c>
      <c r="DW13"/>
      <c r="DX13" t="s">
        <v>235</v>
      </c>
      <c r="DY13"/>
      <c r="DZ13" t="s">
        <v>235</v>
      </c>
      <c r="EA13"/>
      <c r="EB13"/>
      <c r="ED13" s="410"/>
      <c r="EE13" s="1"/>
      <c r="EG13" s="410"/>
      <c r="EI13" s="410"/>
      <c r="EK13" s="1"/>
      <c r="EM13"/>
      <c r="EQ13" s="344"/>
      <c r="EU13" s="344"/>
      <c r="EW13" s="409"/>
      <c r="EY13" s="1"/>
      <c r="FA13">
        <v>17.75</v>
      </c>
      <c r="FB13" t="s">
        <v>225</v>
      </c>
      <c r="FC13" s="7">
        <v>85.585462122082404</v>
      </c>
      <c r="FD13" s="357" t="s">
        <v>225</v>
      </c>
      <c r="FE13" s="8">
        <v>33.596961369121409</v>
      </c>
      <c r="FF13" t="s">
        <v>337</v>
      </c>
      <c r="FH13" s="9">
        <v>21.892733982284756</v>
      </c>
      <c r="FI13" s="9" t="s">
        <v>225</v>
      </c>
      <c r="FK13" t="s">
        <v>235</v>
      </c>
      <c r="FL13">
        <v>31.5</v>
      </c>
      <c r="FM13">
        <v>201.27971090730034</v>
      </c>
      <c r="FN13" s="5" t="s">
        <v>337</v>
      </c>
      <c r="FP13" s="6">
        <v>3.15</v>
      </c>
      <c r="FQ13" t="s">
        <v>239</v>
      </c>
      <c r="FS13" t="s">
        <v>240</v>
      </c>
      <c r="FU13" s="8">
        <v>1</v>
      </c>
      <c r="FV13" s="8">
        <v>10</v>
      </c>
      <c r="FW13" s="8">
        <v>10</v>
      </c>
      <c r="FX13" s="8">
        <v>10</v>
      </c>
      <c r="FY13" s="8">
        <v>3</v>
      </c>
      <c r="FZ13">
        <f t="shared" si="0"/>
        <v>3000</v>
      </c>
      <c r="GA13" s="7" t="s">
        <v>241</v>
      </c>
      <c r="GB13" s="7" t="s">
        <v>241</v>
      </c>
      <c r="GC13" s="6">
        <v>30</v>
      </c>
      <c r="GD13" s="348" t="s">
        <v>242</v>
      </c>
      <c r="GF13" s="6">
        <v>1.0500000000000001E-2</v>
      </c>
      <c r="GH13" s="7"/>
      <c r="GI13" s="441"/>
      <c r="GJ13" s="441"/>
      <c r="GK13" s="441"/>
      <c r="GL13" s="441"/>
      <c r="GM13" s="454"/>
      <c r="GN13" s="441"/>
      <c r="GO13" s="441"/>
      <c r="GP13" s="441"/>
      <c r="GQ13" s="441"/>
      <c r="GR13" s="441"/>
      <c r="GS13" s="441"/>
      <c r="GT13" s="441"/>
      <c r="GU13" s="441"/>
      <c r="GV13" s="441"/>
      <c r="GW13" s="441"/>
      <c r="GX13" s="441"/>
      <c r="GY13" s="441"/>
      <c r="GZ13" s="441"/>
      <c r="HA13" s="441"/>
      <c r="HB13" s="441"/>
      <c r="HC13" s="441"/>
      <c r="HD13" s="441"/>
      <c r="HE13" s="441"/>
      <c r="HF13" s="441"/>
      <c r="HG13" s="441"/>
      <c r="HH13" s="441"/>
      <c r="HI13" s="441"/>
      <c r="HJ13" s="441"/>
      <c r="HK13" s="441"/>
      <c r="HL13" s="441"/>
      <c r="HM13" s="441"/>
      <c r="HN13" s="441"/>
      <c r="HO13" s="441"/>
      <c r="HP13" s="441"/>
      <c r="HQ13" s="441"/>
      <c r="HR13" s="441"/>
      <c r="HS13" s="441"/>
      <c r="HT13" s="441"/>
      <c r="HU13" s="441"/>
      <c r="HV13" s="441"/>
      <c r="HW13" s="441"/>
      <c r="HX13" s="441"/>
      <c r="HY13" s="441"/>
      <c r="HZ13" s="441"/>
      <c r="IA13" s="441"/>
      <c r="IB13" s="441"/>
      <c r="IC13" s="441"/>
      <c r="ID13" s="441"/>
      <c r="IE13" s="441"/>
      <c r="IF13" s="441"/>
      <c r="IH13" t="s">
        <v>235</v>
      </c>
      <c r="IK13" s="446" t="s">
        <v>338</v>
      </c>
    </row>
    <row r="14" spans="1:245" ht="19" x14ac:dyDescent="0.4">
      <c r="A14" s="310" t="s">
        <v>339</v>
      </c>
      <c r="B14" s="313" t="s">
        <v>340</v>
      </c>
      <c r="C14" s="310" t="s">
        <v>341</v>
      </c>
      <c r="D14" s="316"/>
      <c r="F14" t="s">
        <v>342</v>
      </c>
      <c r="I14" s="310" t="s">
        <v>343</v>
      </c>
      <c r="M14" s="313"/>
      <c r="O14" t="s">
        <v>221</v>
      </c>
      <c r="P14" s="381"/>
      <c r="Q14" t="s">
        <v>221</v>
      </c>
      <c r="S14" t="s">
        <v>221</v>
      </c>
      <c r="T14" s="8"/>
      <c r="U14" t="s">
        <v>221</v>
      </c>
      <c r="V14" s="313"/>
      <c r="W14" t="s">
        <v>220</v>
      </c>
      <c r="X14" t="s">
        <v>220</v>
      </c>
      <c r="Z14" t="s">
        <v>220</v>
      </c>
      <c r="AB14"/>
      <c r="AD14" s="8" t="s">
        <v>222</v>
      </c>
      <c r="AF14" s="8" t="s">
        <v>222</v>
      </c>
      <c r="AG14"/>
      <c r="AH14" t="s">
        <v>312</v>
      </c>
      <c r="AI14"/>
      <c r="AJ14" t="s">
        <v>221</v>
      </c>
      <c r="AK14">
        <v>0</v>
      </c>
      <c r="AL14">
        <v>1</v>
      </c>
      <c r="AM14" t="s">
        <v>221</v>
      </c>
      <c r="AN14" t="s">
        <v>249</v>
      </c>
      <c r="AO14" t="s">
        <v>224</v>
      </c>
      <c r="AP14"/>
      <c r="AQ14" t="s">
        <v>221</v>
      </c>
      <c r="AR14"/>
      <c r="AS14" t="s">
        <v>221</v>
      </c>
      <c r="AT14"/>
      <c r="AU14" t="s">
        <v>220</v>
      </c>
      <c r="AV14"/>
      <c r="AW14" s="313" t="s">
        <v>220</v>
      </c>
      <c r="AX14" t="s">
        <v>226</v>
      </c>
      <c r="AY14" s="313" t="s">
        <v>220</v>
      </c>
      <c r="AZ14" s="313">
        <v>0.23799999999999999</v>
      </c>
      <c r="BB14" s="313" t="s">
        <v>220</v>
      </c>
      <c r="BC14">
        <v>0.17799999999999999</v>
      </c>
      <c r="BD14" t="s">
        <v>220</v>
      </c>
      <c r="BE14">
        <v>0.20499999999999999</v>
      </c>
      <c r="BF14" s="2" t="s">
        <v>220</v>
      </c>
      <c r="BH14" s="2" t="s">
        <v>228</v>
      </c>
      <c r="BI14" s="2" t="s">
        <v>229</v>
      </c>
      <c r="BK14" s="412"/>
      <c r="BL14" s="2" t="s">
        <v>312</v>
      </c>
      <c r="BM14" t="s">
        <v>231</v>
      </c>
      <c r="BO14" t="s">
        <v>220</v>
      </c>
      <c r="BP14" s="8" t="s">
        <v>344</v>
      </c>
      <c r="BQ14" t="s">
        <v>222</v>
      </c>
      <c r="BR14" t="s">
        <v>230</v>
      </c>
      <c r="BU14" t="s">
        <v>293</v>
      </c>
      <c r="BV14" t="s">
        <v>249</v>
      </c>
      <c r="BW14" t="s">
        <v>321</v>
      </c>
      <c r="BX14" t="s">
        <v>276</v>
      </c>
      <c r="BY14" t="s">
        <v>220</v>
      </c>
      <c r="BZ14">
        <v>0.51200000000000001</v>
      </c>
      <c r="CA14" t="s">
        <v>234</v>
      </c>
      <c r="CF14" t="s">
        <v>257</v>
      </c>
      <c r="CG14">
        <v>0.51100000000000001</v>
      </c>
      <c r="CH14" t="s">
        <v>220</v>
      </c>
      <c r="CI14">
        <v>0.38400000000000001</v>
      </c>
      <c r="CK14" t="s">
        <v>220</v>
      </c>
      <c r="CL14" t="s">
        <v>220</v>
      </c>
      <c r="CM14" t="s">
        <v>231</v>
      </c>
      <c r="CN14" s="2" t="s">
        <v>312</v>
      </c>
      <c r="CS14" s="8" t="s">
        <v>345</v>
      </c>
      <c r="CW14" t="s">
        <v>220</v>
      </c>
      <c r="CX14" t="s">
        <v>220</v>
      </c>
      <c r="CY14" t="s">
        <v>231</v>
      </c>
      <c r="CZ14" t="s">
        <v>220</v>
      </c>
      <c r="DA14" t="s">
        <v>220</v>
      </c>
      <c r="DB14" t="s">
        <v>220</v>
      </c>
      <c r="DC14" t="s">
        <v>220</v>
      </c>
      <c r="DD14" t="s">
        <v>220</v>
      </c>
      <c r="DE14" t="s">
        <v>220</v>
      </c>
      <c r="DF14"/>
      <c r="DG14"/>
      <c r="DH14" s="323"/>
      <c r="DI14" s="323"/>
      <c r="DJ14" s="323" t="s">
        <v>312</v>
      </c>
      <c r="DL14" t="s">
        <v>220</v>
      </c>
      <c r="DM14" t="s">
        <v>220</v>
      </c>
      <c r="DN14" t="s">
        <v>220</v>
      </c>
      <c r="DO14" t="s">
        <v>227</v>
      </c>
      <c r="DP14" t="s">
        <v>227</v>
      </c>
      <c r="DQ14" s="325" t="s">
        <v>346</v>
      </c>
      <c r="DR14" s="334" t="s">
        <v>258</v>
      </c>
      <c r="DS14" s="309">
        <v>131.608</v>
      </c>
      <c r="DU14" s="309">
        <v>149.18600000000001</v>
      </c>
      <c r="DW14">
        <v>2720</v>
      </c>
      <c r="DX14" t="s">
        <v>267</v>
      </c>
      <c r="DY14">
        <v>60.9</v>
      </c>
      <c r="DZ14" t="s">
        <v>238</v>
      </c>
      <c r="EA14"/>
      <c r="EB14"/>
      <c r="ED14" s="410"/>
      <c r="EE14" s="1"/>
      <c r="EG14" s="410"/>
      <c r="EI14" s="410">
        <v>590</v>
      </c>
      <c r="EJ14" s="8" t="s">
        <v>259</v>
      </c>
      <c r="EK14" s="1">
        <v>625</v>
      </c>
      <c r="EL14" s="8" t="s">
        <v>259</v>
      </c>
      <c r="EM14"/>
      <c r="EQ14" s="344"/>
      <c r="EU14" s="344"/>
      <c r="EW14" s="409"/>
      <c r="EY14" s="1"/>
      <c r="FA14">
        <v>6.97</v>
      </c>
      <c r="FB14" t="s">
        <v>223</v>
      </c>
      <c r="FC14" s="7">
        <v>40.513522022926388</v>
      </c>
      <c r="FD14" s="357" t="s">
        <v>225</v>
      </c>
      <c r="FE14" s="8">
        <v>47.380539333882552</v>
      </c>
      <c r="FF14" t="s">
        <v>237</v>
      </c>
      <c r="FH14" s="9">
        <v>79.487712678872469</v>
      </c>
      <c r="FI14" s="9" t="s">
        <v>225</v>
      </c>
      <c r="FJ14">
        <v>8.17</v>
      </c>
      <c r="FK14" t="s">
        <v>238</v>
      </c>
      <c r="FL14">
        <v>54</v>
      </c>
      <c r="FM14">
        <v>182.38957023196386</v>
      </c>
      <c r="FN14" s="5" t="s">
        <v>237</v>
      </c>
      <c r="FP14" s="6">
        <v>295</v>
      </c>
      <c r="FQ14" t="s">
        <v>294</v>
      </c>
      <c r="FS14" t="s">
        <v>261</v>
      </c>
      <c r="FU14" s="8">
        <v>2</v>
      </c>
      <c r="FV14" s="8">
        <v>10</v>
      </c>
      <c r="FW14" s="8">
        <v>10</v>
      </c>
      <c r="FX14" s="8">
        <v>1</v>
      </c>
      <c r="FY14" s="8">
        <v>3</v>
      </c>
      <c r="FZ14">
        <f t="shared" si="0"/>
        <v>600</v>
      </c>
      <c r="GA14" s="7" t="s">
        <v>241</v>
      </c>
      <c r="GB14" s="7" t="s">
        <v>326</v>
      </c>
      <c r="GC14" s="6">
        <v>1.5</v>
      </c>
      <c r="GD14" s="348" t="s">
        <v>304</v>
      </c>
      <c r="GF14" s="6">
        <v>2.7233333333333332E-3</v>
      </c>
      <c r="GH14" s="7"/>
      <c r="GI14" s="441"/>
      <c r="GJ14" s="441"/>
      <c r="GK14" s="441"/>
      <c r="GL14" s="441"/>
      <c r="GM14" s="454"/>
      <c r="GN14" s="441"/>
      <c r="GO14" s="441"/>
      <c r="GP14" s="441"/>
      <c r="GQ14" s="441"/>
      <c r="GR14" s="441"/>
      <c r="GS14" s="441"/>
      <c r="GT14" s="441"/>
      <c r="GU14" s="441"/>
      <c r="GV14" s="441"/>
      <c r="GW14" s="441"/>
      <c r="GX14" s="441"/>
      <c r="GY14" s="441"/>
      <c r="GZ14" s="441"/>
      <c r="HA14" s="441"/>
      <c r="HB14" s="441"/>
      <c r="HC14" s="441"/>
      <c r="HD14" s="441"/>
      <c r="HE14" s="441"/>
      <c r="HF14" s="441"/>
      <c r="HG14" s="441"/>
      <c r="HH14" s="441"/>
      <c r="HI14" s="441"/>
      <c r="HJ14" s="441"/>
      <c r="HK14" s="441"/>
      <c r="HL14" s="441"/>
      <c r="HM14" s="441"/>
      <c r="HN14" s="441"/>
      <c r="HO14" s="441"/>
      <c r="HP14" s="441"/>
      <c r="HQ14" s="441"/>
      <c r="HR14" s="441"/>
      <c r="HS14" s="441"/>
      <c r="HT14" s="441"/>
      <c r="HU14" s="441"/>
      <c r="HV14" s="441"/>
      <c r="HW14" s="441"/>
      <c r="HX14" s="441"/>
      <c r="HY14" s="441"/>
      <c r="HZ14" s="441"/>
      <c r="IA14" s="441"/>
      <c r="IB14" s="441"/>
      <c r="IC14" s="441"/>
      <c r="ID14" s="441"/>
      <c r="IE14" s="441"/>
      <c r="IF14" s="441"/>
      <c r="IH14" t="s">
        <v>235</v>
      </c>
    </row>
    <row r="15" spans="1:245" x14ac:dyDescent="0.35">
      <c r="A15" s="310" t="s">
        <v>347</v>
      </c>
      <c r="B15" s="313" t="s">
        <v>348</v>
      </c>
      <c r="C15" s="310" t="s">
        <v>349</v>
      </c>
      <c r="D15" s="316"/>
      <c r="F15" t="s">
        <v>350</v>
      </c>
      <c r="I15" s="310" t="s">
        <v>351</v>
      </c>
      <c r="M15" s="313" t="s">
        <v>220</v>
      </c>
      <c r="O15" t="s">
        <v>221</v>
      </c>
      <c r="P15" s="381"/>
      <c r="Q15" t="s">
        <v>221</v>
      </c>
      <c r="S15" t="s">
        <v>221</v>
      </c>
      <c r="T15" s="8"/>
      <c r="U15" t="s">
        <v>221</v>
      </c>
      <c r="V15" s="313"/>
      <c r="W15" t="s">
        <v>220</v>
      </c>
      <c r="X15" t="s">
        <v>220</v>
      </c>
      <c r="Z15" t="s">
        <v>220</v>
      </c>
      <c r="AB15"/>
      <c r="AD15" s="8" t="s">
        <v>222</v>
      </c>
      <c r="AF15" s="8" t="s">
        <v>222</v>
      </c>
      <c r="AG15"/>
      <c r="AH15" t="s">
        <v>312</v>
      </c>
      <c r="AI15"/>
      <c r="AJ15" t="s">
        <v>221</v>
      </c>
      <c r="AK15">
        <v>0</v>
      </c>
      <c r="AL15">
        <v>1</v>
      </c>
      <c r="AM15" t="s">
        <v>221</v>
      </c>
      <c r="AN15" t="s">
        <v>249</v>
      </c>
      <c r="AO15" t="s">
        <v>224</v>
      </c>
      <c r="AP15"/>
      <c r="AQ15" t="s">
        <v>221</v>
      </c>
      <c r="AR15"/>
      <c r="AS15" t="s">
        <v>221</v>
      </c>
      <c r="AT15"/>
      <c r="AU15" t="s">
        <v>220</v>
      </c>
      <c r="AV15"/>
      <c r="AW15" s="313" t="s">
        <v>220</v>
      </c>
      <c r="AX15" t="s">
        <v>226</v>
      </c>
      <c r="AY15" s="313" t="s">
        <v>220</v>
      </c>
      <c r="AZ15" s="313">
        <v>0.183</v>
      </c>
      <c r="BB15" s="313" t="s">
        <v>220</v>
      </c>
      <c r="BC15">
        <v>0.22700000000000001</v>
      </c>
      <c r="BD15" t="s">
        <v>220</v>
      </c>
      <c r="BE15">
        <v>0.23599999999999999</v>
      </c>
      <c r="BF15" s="2" t="s">
        <v>220</v>
      </c>
      <c r="BH15" s="2" t="s">
        <v>228</v>
      </c>
      <c r="BI15" s="2" t="s">
        <v>229</v>
      </c>
      <c r="BK15" s="2" t="s">
        <v>352</v>
      </c>
      <c r="BL15" s="2" t="s">
        <v>312</v>
      </c>
      <c r="BM15"/>
      <c r="BO15" t="s">
        <v>220</v>
      </c>
      <c r="BP15" s="8" t="s">
        <v>312</v>
      </c>
      <c r="BQ15" t="s">
        <v>230</v>
      </c>
      <c r="BR15" t="s">
        <v>222</v>
      </c>
      <c r="BS15" t="s">
        <v>255</v>
      </c>
      <c r="BU15" t="s">
        <v>293</v>
      </c>
      <c r="BV15" t="s">
        <v>236</v>
      </c>
      <c r="BW15" t="s">
        <v>232</v>
      </c>
      <c r="BX15" t="s">
        <v>256</v>
      </c>
      <c r="BY15" t="s">
        <v>220</v>
      </c>
      <c r="BZ15">
        <v>0.28399999999999997</v>
      </c>
      <c r="CA15" t="s">
        <v>234</v>
      </c>
      <c r="CF15" t="s">
        <v>220</v>
      </c>
      <c r="CG15">
        <v>0.46200000000000002</v>
      </c>
      <c r="CH15" t="s">
        <v>220</v>
      </c>
      <c r="CI15">
        <v>0.496</v>
      </c>
      <c r="CK15" t="s">
        <v>257</v>
      </c>
      <c r="CL15" t="s">
        <v>220</v>
      </c>
      <c r="CM15"/>
      <c r="CN15" s="2" t="s">
        <v>312</v>
      </c>
      <c r="CS15" s="8"/>
      <c r="CW15" t="s">
        <v>257</v>
      </c>
      <c r="CX15" t="s">
        <v>220</v>
      </c>
      <c r="CY15" t="s">
        <v>231</v>
      </c>
      <c r="CZ15" t="s">
        <v>220</v>
      </c>
      <c r="DA15" t="s">
        <v>220</v>
      </c>
      <c r="DB15" t="s">
        <v>220</v>
      </c>
      <c r="DC15" t="s">
        <v>220</v>
      </c>
      <c r="DD15" t="s">
        <v>220</v>
      </c>
      <c r="DE15"/>
      <c r="DF15"/>
      <c r="DG15"/>
      <c r="DH15" s="323"/>
      <c r="DI15" s="323"/>
      <c r="DJ15" s="323" t="s">
        <v>316</v>
      </c>
      <c r="DL15" t="s">
        <v>220</v>
      </c>
      <c r="DM15" t="s">
        <v>220</v>
      </c>
      <c r="DN15" t="s">
        <v>257</v>
      </c>
      <c r="DO15" t="s">
        <v>220</v>
      </c>
      <c r="DP15" t="s">
        <v>220</v>
      </c>
      <c r="DQ15" s="326" t="s">
        <v>258</v>
      </c>
      <c r="DR15" s="326" t="s">
        <v>258</v>
      </c>
      <c r="DS15" s="309">
        <v>102.78</v>
      </c>
      <c r="DU15" s="309">
        <v>148.518</v>
      </c>
      <c r="DW15">
        <v>166</v>
      </c>
      <c r="DX15" t="s">
        <v>238</v>
      </c>
      <c r="DY15">
        <v>55.1</v>
      </c>
      <c r="DZ15" t="s">
        <v>238</v>
      </c>
      <c r="EA15"/>
      <c r="EB15"/>
      <c r="ED15" s="410">
        <v>400</v>
      </c>
      <c r="EE15" s="1"/>
      <c r="EF15" s="8" t="s">
        <v>324</v>
      </c>
      <c r="EG15" s="410"/>
      <c r="EI15" s="410"/>
      <c r="EK15" s="1">
        <v>400</v>
      </c>
      <c r="EL15" s="8" t="s">
        <v>324</v>
      </c>
      <c r="EM15"/>
      <c r="EQ15" s="344"/>
      <c r="EU15" s="344"/>
      <c r="EW15" s="381">
        <v>200</v>
      </c>
      <c r="EX15" s="8" t="s">
        <v>324</v>
      </c>
      <c r="EY15" s="1"/>
      <c r="FA15">
        <v>22.14</v>
      </c>
      <c r="FB15" t="s">
        <v>225</v>
      </c>
      <c r="FC15" s="7">
        <v>84.255837533982671</v>
      </c>
      <c r="FD15" s="357" t="s">
        <v>225</v>
      </c>
      <c r="FE15" s="8">
        <v>230.78097296984035</v>
      </c>
      <c r="FF15" t="s">
        <v>237</v>
      </c>
      <c r="FH15" s="9">
        <v>157.90649727284281</v>
      </c>
      <c r="FI15" s="9" t="s">
        <v>225</v>
      </c>
      <c r="FJ15">
        <v>62.5</v>
      </c>
      <c r="FK15" t="s">
        <v>238</v>
      </c>
      <c r="FL15">
        <v>232</v>
      </c>
      <c r="FM15">
        <v>642.39181682438652</v>
      </c>
      <c r="FN15" s="5" t="s">
        <v>237</v>
      </c>
      <c r="FP15" s="6">
        <v>20</v>
      </c>
      <c r="FQ15" t="s">
        <v>353</v>
      </c>
      <c r="FS15" t="s">
        <v>261</v>
      </c>
      <c r="FU15" s="8">
        <v>1</v>
      </c>
      <c r="FV15" s="8">
        <v>10</v>
      </c>
      <c r="FW15" s="8">
        <v>10</v>
      </c>
      <c r="FX15" s="8">
        <v>10</v>
      </c>
      <c r="FY15" s="8">
        <v>3</v>
      </c>
      <c r="FZ15">
        <f t="shared" si="0"/>
        <v>3000</v>
      </c>
      <c r="GA15" s="7" t="s">
        <v>241</v>
      </c>
      <c r="GB15" s="7" t="s">
        <v>241</v>
      </c>
      <c r="GC15" s="6">
        <v>30</v>
      </c>
      <c r="GD15" s="348" t="s">
        <v>242</v>
      </c>
      <c r="GE15" s="6">
        <v>4</v>
      </c>
      <c r="GF15" s="6">
        <v>2.0833333333333336E-2</v>
      </c>
      <c r="GH15" s="7"/>
      <c r="GI15" s="441"/>
      <c r="GJ15" s="441"/>
      <c r="GK15" s="441"/>
      <c r="GL15" s="441"/>
      <c r="GM15" s="454"/>
      <c r="GN15" s="441"/>
      <c r="GO15" s="441"/>
      <c r="GP15" s="441"/>
      <c r="GQ15" s="441"/>
      <c r="GR15" s="441"/>
      <c r="GS15" s="441"/>
      <c r="GT15" s="441"/>
      <c r="GU15" s="441"/>
      <c r="GV15" s="441"/>
      <c r="GW15" s="441"/>
      <c r="GX15" s="441"/>
      <c r="GY15" s="441"/>
      <c r="GZ15" s="441"/>
      <c r="HA15" s="441"/>
      <c r="HB15" s="441"/>
      <c r="HC15" s="441"/>
      <c r="HD15" s="441"/>
      <c r="HE15" s="441"/>
      <c r="HF15" s="441"/>
      <c r="HG15" s="441"/>
      <c r="HH15" s="441"/>
      <c r="HI15" s="441"/>
      <c r="HJ15" s="441"/>
      <c r="HK15" s="441"/>
      <c r="HL15" s="441"/>
      <c r="HM15" s="441"/>
      <c r="HN15" s="441"/>
      <c r="HO15" s="441"/>
      <c r="HP15" s="441"/>
      <c r="HQ15" s="441"/>
      <c r="HR15" s="441"/>
      <c r="HS15" s="441"/>
      <c r="HT15" s="441"/>
      <c r="HU15" s="441"/>
      <c r="HV15" s="441"/>
      <c r="HW15" s="441"/>
      <c r="HX15" s="441"/>
      <c r="HY15" s="441"/>
      <c r="HZ15" s="441"/>
      <c r="IA15" s="441"/>
      <c r="IB15" s="441"/>
      <c r="IC15" s="441"/>
      <c r="ID15" s="441"/>
      <c r="IE15" s="441"/>
      <c r="IF15" s="441"/>
      <c r="IH15" t="s">
        <v>235</v>
      </c>
    </row>
    <row r="16" spans="1:245" x14ac:dyDescent="0.35">
      <c r="A16" s="310" t="s">
        <v>354</v>
      </c>
      <c r="B16" s="313" t="s">
        <v>355</v>
      </c>
      <c r="C16" s="310" t="s">
        <v>356</v>
      </c>
      <c r="D16" s="316"/>
      <c r="F16" t="s">
        <v>357</v>
      </c>
      <c r="I16" s="310" t="s">
        <v>358</v>
      </c>
      <c r="M16" s="313" t="s">
        <v>220</v>
      </c>
      <c r="O16"/>
      <c r="P16" s="381"/>
      <c r="Q16"/>
      <c r="T16" s="8"/>
      <c r="U16"/>
      <c r="V16" s="313"/>
      <c r="W16" t="s">
        <v>301</v>
      </c>
      <c r="X16"/>
      <c r="Z16"/>
      <c r="AB16"/>
      <c r="AD16" s="8" t="s">
        <v>222</v>
      </c>
      <c r="AF16" s="8" t="s">
        <v>230</v>
      </c>
      <c r="AG16"/>
      <c r="AH16"/>
      <c r="AI16"/>
      <c r="AJ16" t="s">
        <v>221</v>
      </c>
      <c r="AK16">
        <v>0</v>
      </c>
      <c r="AL16">
        <v>0.9</v>
      </c>
      <c r="AM16" t="s">
        <v>221</v>
      </c>
      <c r="AN16" t="s">
        <v>223</v>
      </c>
      <c r="AO16" t="s">
        <v>224</v>
      </c>
      <c r="AP16" t="s">
        <v>223</v>
      </c>
      <c r="AQ16" t="s">
        <v>221</v>
      </c>
      <c r="AR16" t="s">
        <v>223</v>
      </c>
      <c r="AS16" t="s">
        <v>221</v>
      </c>
      <c r="AT16" t="s">
        <v>223</v>
      </c>
      <c r="AU16" t="s">
        <v>220</v>
      </c>
      <c r="AV16"/>
      <c r="AW16" s="313" t="s">
        <v>220</v>
      </c>
      <c r="AX16" t="s">
        <v>226</v>
      </c>
      <c r="AY16" s="313" t="s">
        <v>220</v>
      </c>
      <c r="AZ16" s="313">
        <v>0.19800000000000001</v>
      </c>
      <c r="BB16" s="313" t="s">
        <v>220</v>
      </c>
      <c r="BC16">
        <v>0.121</v>
      </c>
      <c r="BD16" t="s">
        <v>220</v>
      </c>
      <c r="BE16">
        <v>0.20599999999999999</v>
      </c>
      <c r="BF16" s="2" t="s">
        <v>220</v>
      </c>
      <c r="BH16" s="2" t="s">
        <v>228</v>
      </c>
      <c r="BI16" s="2" t="s">
        <v>302</v>
      </c>
      <c r="BM16"/>
      <c r="BP16" s="8"/>
      <c r="BQ16" t="s">
        <v>230</v>
      </c>
      <c r="BR16" t="s">
        <v>230</v>
      </c>
      <c r="BU16" t="s">
        <v>231</v>
      </c>
      <c r="BV16" t="s">
        <v>223</v>
      </c>
      <c r="BW16" t="s">
        <v>232</v>
      </c>
      <c r="BX16" t="s">
        <v>284</v>
      </c>
      <c r="BY16" t="s">
        <v>220</v>
      </c>
      <c r="BZ16">
        <v>0.376</v>
      </c>
      <c r="CA16" t="s">
        <v>234</v>
      </c>
      <c r="CF16" t="s">
        <v>220</v>
      </c>
      <c r="CG16">
        <v>0.35499999999999998</v>
      </c>
      <c r="CH16" t="s">
        <v>220</v>
      </c>
      <c r="CI16">
        <v>0.438</v>
      </c>
      <c r="CK16"/>
      <c r="CL16"/>
      <c r="CM16"/>
      <c r="CS16" s="8"/>
      <c r="CW16" t="s">
        <v>227</v>
      </c>
      <c r="CX16" t="s">
        <v>220</v>
      </c>
      <c r="CY16" t="s">
        <v>231</v>
      </c>
      <c r="CZ16" t="s">
        <v>220</v>
      </c>
      <c r="DA16" t="s">
        <v>220</v>
      </c>
      <c r="DB16" t="s">
        <v>220</v>
      </c>
      <c r="DC16"/>
      <c r="DD16"/>
      <c r="DE16"/>
      <c r="DF16"/>
      <c r="DG16"/>
      <c r="DH16" s="323"/>
      <c r="DI16" s="323"/>
      <c r="DJ16" s="323"/>
      <c r="DL16" t="s">
        <v>257</v>
      </c>
      <c r="DM16" t="s">
        <v>220</v>
      </c>
      <c r="DN16" t="s">
        <v>257</v>
      </c>
      <c r="DO16" t="s">
        <v>220</v>
      </c>
      <c r="DP16" t="s">
        <v>220</v>
      </c>
      <c r="DS16" s="309">
        <v>161.08600000000001</v>
      </c>
      <c r="DU16" s="309">
        <v>141.006</v>
      </c>
      <c r="DW16">
        <v>213</v>
      </c>
      <c r="DX16" t="s">
        <v>238</v>
      </c>
      <c r="DY16">
        <v>9570</v>
      </c>
      <c r="DZ16" t="s">
        <v>238</v>
      </c>
      <c r="EA16"/>
      <c r="EB16"/>
      <c r="ED16" s="410"/>
      <c r="EE16" s="1"/>
      <c r="EG16" s="410"/>
      <c r="EI16" s="410"/>
      <c r="EK16" s="1"/>
      <c r="EM16"/>
      <c r="EQ16" s="344"/>
      <c r="EU16" s="344"/>
      <c r="EW16" s="409"/>
      <c r="EY16" s="1"/>
      <c r="FA16">
        <v>61.63</v>
      </c>
      <c r="FB16" t="s">
        <v>236</v>
      </c>
      <c r="FC16" s="7">
        <v>52.179510423900254</v>
      </c>
      <c r="FD16" s="357" t="s">
        <v>225</v>
      </c>
      <c r="FE16" s="8">
        <v>57.319184115876332</v>
      </c>
      <c r="FF16" t="s">
        <v>237</v>
      </c>
      <c r="FH16" s="9">
        <v>137.65753865094163</v>
      </c>
      <c r="FI16" s="9" t="s">
        <v>225</v>
      </c>
      <c r="FK16" t="s">
        <v>235</v>
      </c>
      <c r="FL16">
        <v>41.1</v>
      </c>
      <c r="FM16">
        <v>163.07973610235956</v>
      </c>
      <c r="FN16" s="5" t="s">
        <v>237</v>
      </c>
      <c r="FP16" s="6">
        <v>4.1100000000000003</v>
      </c>
      <c r="FQ16" t="s">
        <v>239</v>
      </c>
      <c r="FS16" t="s">
        <v>240</v>
      </c>
      <c r="FU16" s="8">
        <v>1</v>
      </c>
      <c r="FV16" s="8">
        <v>10</v>
      </c>
      <c r="FW16" s="8">
        <v>10</v>
      </c>
      <c r="FX16" s="8">
        <v>10</v>
      </c>
      <c r="FY16" s="8">
        <v>3</v>
      </c>
      <c r="FZ16">
        <f t="shared" si="0"/>
        <v>3000</v>
      </c>
      <c r="GA16" s="7" t="s">
        <v>326</v>
      </c>
      <c r="GB16" s="7" t="s">
        <v>326</v>
      </c>
      <c r="GC16" s="6">
        <v>1.5</v>
      </c>
      <c r="GD16" s="348" t="s">
        <v>242</v>
      </c>
      <c r="GF16" s="6">
        <v>1.37E-2</v>
      </c>
      <c r="GH16" s="7"/>
      <c r="GI16" s="441">
        <v>9.0999999999999998E-2</v>
      </c>
      <c r="GJ16" s="441">
        <v>0.17100000000000001</v>
      </c>
      <c r="GK16" s="441">
        <v>0.27400000000000002</v>
      </c>
      <c r="GL16" s="441">
        <v>0.68500000000000005</v>
      </c>
      <c r="GM16" s="452" t="s">
        <v>262</v>
      </c>
      <c r="GN16" s="6">
        <v>0.01</v>
      </c>
      <c r="GO16" s="6">
        <v>1.8749999999999999E-2</v>
      </c>
      <c r="GP16" s="6">
        <v>0.03</v>
      </c>
      <c r="GQ16" s="6">
        <v>7.4999999999999997E-2</v>
      </c>
      <c r="GR16" s="6" t="s">
        <v>230</v>
      </c>
      <c r="GU16" t="s">
        <v>243</v>
      </c>
      <c r="GV16" t="s">
        <v>236</v>
      </c>
      <c r="GW16" t="s">
        <v>359</v>
      </c>
      <c r="GX16" t="s">
        <v>223</v>
      </c>
      <c r="GY16" t="s">
        <v>245</v>
      </c>
      <c r="HE16" t="s">
        <v>246</v>
      </c>
      <c r="HF16" t="s">
        <v>236</v>
      </c>
      <c r="HG16" t="s">
        <v>231</v>
      </c>
      <c r="HH16" t="s">
        <v>223</v>
      </c>
      <c r="HI16" t="s">
        <v>247</v>
      </c>
      <c r="HJ16" t="s">
        <v>223</v>
      </c>
      <c r="HK16" t="s">
        <v>266</v>
      </c>
      <c r="HL16" t="s">
        <v>231</v>
      </c>
      <c r="HM16" t="s">
        <v>231</v>
      </c>
      <c r="HO16" t="s">
        <v>231</v>
      </c>
      <c r="HP16" t="s">
        <v>249</v>
      </c>
      <c r="HQ16" t="s">
        <v>231</v>
      </c>
      <c r="HR16" t="s">
        <v>249</v>
      </c>
      <c r="HU16" t="s">
        <v>231</v>
      </c>
      <c r="HV16" t="s">
        <v>223</v>
      </c>
      <c r="HW16" t="s">
        <v>246</v>
      </c>
      <c r="HX16" t="s">
        <v>236</v>
      </c>
      <c r="IA16" t="s">
        <v>231</v>
      </c>
      <c r="IB16" t="s">
        <v>250</v>
      </c>
      <c r="IC16">
        <v>9.0999999999999998E-2</v>
      </c>
      <c r="ID16">
        <v>0.17100000000000001</v>
      </c>
      <c r="IE16">
        <v>0.27400000000000002</v>
      </c>
      <c r="IF16">
        <v>0.68500000000000005</v>
      </c>
      <c r="IH16" t="s">
        <v>267</v>
      </c>
    </row>
    <row r="17" spans="1:242" x14ac:dyDescent="0.35">
      <c r="A17" s="310" t="s">
        <v>360</v>
      </c>
      <c r="B17" s="313" t="s">
        <v>361</v>
      </c>
      <c r="C17" s="310" t="s">
        <v>362</v>
      </c>
      <c r="D17" s="316"/>
      <c r="F17" t="s">
        <v>363</v>
      </c>
      <c r="I17" s="310" t="s">
        <v>364</v>
      </c>
      <c r="M17" s="313" t="s">
        <v>220</v>
      </c>
      <c r="O17"/>
      <c r="P17" s="381"/>
      <c r="Q17"/>
      <c r="T17" s="8"/>
      <c r="U17"/>
      <c r="V17" s="313"/>
      <c r="W17" t="s">
        <v>301</v>
      </c>
      <c r="X17"/>
      <c r="Z17"/>
      <c r="AB17"/>
      <c r="AD17" s="8" t="s">
        <v>222</v>
      </c>
      <c r="AF17" s="8" t="s">
        <v>230</v>
      </c>
      <c r="AG17"/>
      <c r="AH17"/>
      <c r="AI17"/>
      <c r="AJ17" t="s">
        <v>221</v>
      </c>
      <c r="AK17">
        <v>0</v>
      </c>
      <c r="AL17">
        <v>0.9</v>
      </c>
      <c r="AM17" t="s">
        <v>221</v>
      </c>
      <c r="AN17" t="s">
        <v>223</v>
      </c>
      <c r="AO17" t="s">
        <v>224</v>
      </c>
      <c r="AP17" t="s">
        <v>223</v>
      </c>
      <c r="AQ17" t="s">
        <v>221</v>
      </c>
      <c r="AR17" t="s">
        <v>223</v>
      </c>
      <c r="AS17" t="s">
        <v>221</v>
      </c>
      <c r="AT17" t="s">
        <v>223</v>
      </c>
      <c r="AU17" t="s">
        <v>220</v>
      </c>
      <c r="AV17"/>
      <c r="AW17" s="313" t="s">
        <v>220</v>
      </c>
      <c r="AX17" t="s">
        <v>226</v>
      </c>
      <c r="AY17" s="313" t="s">
        <v>220</v>
      </c>
      <c r="AZ17" s="313">
        <v>0.23599999999999999</v>
      </c>
      <c r="BB17" s="313" t="s">
        <v>220</v>
      </c>
      <c r="BC17">
        <v>0.2</v>
      </c>
      <c r="BD17" t="s">
        <v>220</v>
      </c>
      <c r="BE17">
        <v>0.20899999999999999</v>
      </c>
      <c r="BF17" s="2" t="s">
        <v>220</v>
      </c>
      <c r="BH17" s="2" t="s">
        <v>228</v>
      </c>
      <c r="BI17" s="2" t="s">
        <v>302</v>
      </c>
      <c r="BM17"/>
      <c r="BP17" s="8"/>
      <c r="BQ17" t="s">
        <v>230</v>
      </c>
      <c r="BR17" t="s">
        <v>230</v>
      </c>
      <c r="BU17" t="s">
        <v>293</v>
      </c>
      <c r="BV17" t="s">
        <v>236</v>
      </c>
      <c r="BW17" t="s">
        <v>232</v>
      </c>
      <c r="BX17" t="s">
        <v>284</v>
      </c>
      <c r="BY17" t="s">
        <v>220</v>
      </c>
      <c r="BZ17">
        <v>0.377</v>
      </c>
      <c r="CA17" t="s">
        <v>234</v>
      </c>
      <c r="CF17" t="s">
        <v>220</v>
      </c>
      <c r="CG17">
        <v>0.47799999999999998</v>
      </c>
      <c r="CH17" t="s">
        <v>220</v>
      </c>
      <c r="CI17">
        <v>0.46300000000000002</v>
      </c>
      <c r="CK17"/>
      <c r="CL17"/>
      <c r="CM17"/>
      <c r="CS17" s="8"/>
      <c r="CW17" t="s">
        <v>227</v>
      </c>
      <c r="CX17" t="s">
        <v>220</v>
      </c>
      <c r="CY17" t="s">
        <v>231</v>
      </c>
      <c r="CZ17" t="s">
        <v>220</v>
      </c>
      <c r="DA17" t="s">
        <v>220</v>
      </c>
      <c r="DB17" t="s">
        <v>220</v>
      </c>
      <c r="DC17"/>
      <c r="DD17"/>
      <c r="DE17"/>
      <c r="DF17"/>
      <c r="DG17"/>
      <c r="DH17" s="323"/>
      <c r="DI17" s="323"/>
      <c r="DJ17" s="323"/>
      <c r="DL17" t="s">
        <v>257</v>
      </c>
      <c r="DM17" t="s">
        <v>220</v>
      </c>
      <c r="DN17" t="s">
        <v>257</v>
      </c>
      <c r="DO17" t="s">
        <v>220</v>
      </c>
      <c r="DP17" t="s">
        <v>220</v>
      </c>
      <c r="DS17" s="309">
        <v>140.73699999999999</v>
      </c>
      <c r="DU17" s="309">
        <v>209.155</v>
      </c>
      <c r="DW17">
        <v>979</v>
      </c>
      <c r="DX17" t="s">
        <v>238</v>
      </c>
      <c r="DY17">
        <v>947</v>
      </c>
      <c r="DZ17" t="s">
        <v>238</v>
      </c>
      <c r="EA17"/>
      <c r="EB17"/>
      <c r="ED17" s="410"/>
      <c r="EE17" s="1"/>
      <c r="EG17" s="410"/>
      <c r="EI17" s="410"/>
      <c r="EK17" s="1"/>
      <c r="EM17"/>
      <c r="EQ17" s="344"/>
      <c r="EU17" s="344"/>
      <c r="EW17" s="409"/>
      <c r="EY17" s="1"/>
      <c r="FA17">
        <v>66.16</v>
      </c>
      <c r="FB17" t="s">
        <v>236</v>
      </c>
      <c r="FC17" s="7">
        <v>114.86824875461105</v>
      </c>
      <c r="FD17" s="357" t="s">
        <v>225</v>
      </c>
      <c r="FE17" s="8">
        <v>41.010966087481201</v>
      </c>
      <c r="FF17" t="s">
        <v>237</v>
      </c>
      <c r="FH17" s="9">
        <v>95.499258602143655</v>
      </c>
      <c r="FI17" s="9" t="s">
        <v>225</v>
      </c>
      <c r="FK17" t="s">
        <v>235</v>
      </c>
      <c r="FL17">
        <v>237</v>
      </c>
      <c r="FM17">
        <v>80.686337036381957</v>
      </c>
      <c r="FN17" s="5" t="s">
        <v>237</v>
      </c>
      <c r="FP17" s="6">
        <v>4.0343168518190975</v>
      </c>
      <c r="FQ17" t="s">
        <v>277</v>
      </c>
      <c r="FS17" t="s">
        <v>240</v>
      </c>
      <c r="FU17" s="8">
        <v>2</v>
      </c>
      <c r="FV17" s="8">
        <v>10</v>
      </c>
      <c r="FW17" s="8">
        <v>10</v>
      </c>
      <c r="FX17" s="8">
        <v>10</v>
      </c>
      <c r="FY17" s="8">
        <v>3</v>
      </c>
      <c r="FZ17">
        <f t="shared" si="0"/>
        <v>6000</v>
      </c>
      <c r="GA17" s="7" t="s">
        <v>241</v>
      </c>
      <c r="GB17" s="7" t="s">
        <v>241</v>
      </c>
      <c r="GC17" s="6">
        <v>30</v>
      </c>
      <c r="GD17" s="348" t="s">
        <v>242</v>
      </c>
      <c r="GF17" s="6">
        <v>6.8351610145802003E-2</v>
      </c>
      <c r="GH17" s="7"/>
      <c r="GI17" s="445"/>
      <c r="GJ17" s="445"/>
      <c r="GK17" s="445"/>
      <c r="GL17" s="445"/>
      <c r="GM17" s="453"/>
      <c r="GN17" s="6">
        <v>0.2</v>
      </c>
      <c r="GO17" s="6">
        <v>0.375</v>
      </c>
      <c r="GP17" s="6">
        <v>0.6</v>
      </c>
      <c r="GQ17" s="6">
        <v>1.5</v>
      </c>
      <c r="GR17" s="6" t="s">
        <v>230</v>
      </c>
      <c r="GU17" t="s">
        <v>365</v>
      </c>
      <c r="GV17" t="s">
        <v>223</v>
      </c>
      <c r="GW17" t="s">
        <v>359</v>
      </c>
      <c r="GX17" t="s">
        <v>223</v>
      </c>
      <c r="GY17" t="s">
        <v>245</v>
      </c>
      <c r="HE17" t="s">
        <v>246</v>
      </c>
      <c r="HF17" t="s">
        <v>236</v>
      </c>
      <c r="HG17" t="s">
        <v>231</v>
      </c>
      <c r="HH17" t="s">
        <v>223</v>
      </c>
      <c r="HI17" t="s">
        <v>247</v>
      </c>
      <c r="HJ17" t="s">
        <v>223</v>
      </c>
      <c r="HK17" t="s">
        <v>266</v>
      </c>
      <c r="HO17" t="s">
        <v>231</v>
      </c>
      <c r="HP17" t="s">
        <v>223</v>
      </c>
      <c r="HQ17" t="s">
        <v>231</v>
      </c>
      <c r="HR17" t="s">
        <v>223</v>
      </c>
      <c r="HU17" t="s">
        <v>231</v>
      </c>
      <c r="HV17" t="s">
        <v>223</v>
      </c>
      <c r="HW17" t="s">
        <v>246</v>
      </c>
      <c r="HX17" t="s">
        <v>236</v>
      </c>
      <c r="IA17" t="s">
        <v>231</v>
      </c>
      <c r="IB17" t="s">
        <v>250</v>
      </c>
      <c r="IC17" s="447"/>
      <c r="ID17" s="447"/>
      <c r="IE17" s="447"/>
      <c r="IF17" s="447"/>
      <c r="IH17" t="s">
        <v>235</v>
      </c>
    </row>
    <row r="18" spans="1:242" x14ac:dyDescent="0.35">
      <c r="A18" s="310" t="s">
        <v>366</v>
      </c>
      <c r="B18" s="313" t="s">
        <v>367</v>
      </c>
      <c r="C18" s="310" t="s">
        <v>368</v>
      </c>
      <c r="D18" s="316"/>
      <c r="F18" t="s">
        <v>369</v>
      </c>
      <c r="I18" s="310" t="s">
        <v>370</v>
      </c>
      <c r="M18" s="313"/>
      <c r="O18" t="s">
        <v>221</v>
      </c>
      <c r="P18" s="381"/>
      <c r="Q18" t="s">
        <v>221</v>
      </c>
      <c r="T18" s="8"/>
      <c r="U18" t="s">
        <v>221</v>
      </c>
      <c r="V18" s="313"/>
      <c r="W18" t="s">
        <v>220</v>
      </c>
      <c r="X18" t="s">
        <v>220</v>
      </c>
      <c r="Z18" t="s">
        <v>220</v>
      </c>
      <c r="AB18"/>
      <c r="AD18" s="8" t="s">
        <v>222</v>
      </c>
      <c r="AF18" s="8" t="s">
        <v>222</v>
      </c>
      <c r="AG18"/>
      <c r="AH18" t="s">
        <v>371</v>
      </c>
      <c r="AI18"/>
      <c r="AJ18" t="s">
        <v>221</v>
      </c>
      <c r="AK18">
        <v>0</v>
      </c>
      <c r="AL18">
        <v>1</v>
      </c>
      <c r="AM18" t="s">
        <v>221</v>
      </c>
      <c r="AN18" t="s">
        <v>249</v>
      </c>
      <c r="AO18" t="s">
        <v>224</v>
      </c>
      <c r="AP18"/>
      <c r="AQ18" t="s">
        <v>221</v>
      </c>
      <c r="AR18" t="s">
        <v>225</v>
      </c>
      <c r="AS18" t="s">
        <v>221</v>
      </c>
      <c r="AT18"/>
      <c r="AU18" t="s">
        <v>220</v>
      </c>
      <c r="AV18"/>
      <c r="AW18" s="313" t="s">
        <v>220</v>
      </c>
      <c r="AX18" t="s">
        <v>226</v>
      </c>
      <c r="AY18" s="313" t="s">
        <v>220</v>
      </c>
      <c r="AZ18" s="313">
        <v>0.23100000000000001</v>
      </c>
      <c r="BB18" s="313" t="s">
        <v>220</v>
      </c>
      <c r="BC18">
        <v>0.2</v>
      </c>
      <c r="BD18" t="s">
        <v>220</v>
      </c>
      <c r="BE18">
        <v>0.30599999999999999</v>
      </c>
      <c r="BF18" s="2" t="s">
        <v>220</v>
      </c>
      <c r="BH18" s="2" t="s">
        <v>228</v>
      </c>
      <c r="BI18" s="2" t="s">
        <v>229</v>
      </c>
      <c r="BM18"/>
      <c r="BP18" s="8"/>
      <c r="BQ18" t="s">
        <v>230</v>
      </c>
      <c r="BR18" t="s">
        <v>230</v>
      </c>
      <c r="BU18" t="s">
        <v>293</v>
      </c>
      <c r="BV18" t="s">
        <v>236</v>
      </c>
      <c r="BW18" t="s">
        <v>232</v>
      </c>
      <c r="BX18" t="s">
        <v>276</v>
      </c>
      <c r="BY18" t="s">
        <v>257</v>
      </c>
      <c r="BZ18">
        <v>0.71299999999999997</v>
      </c>
      <c r="CA18" t="s">
        <v>372</v>
      </c>
      <c r="CF18" t="s">
        <v>227</v>
      </c>
      <c r="CG18">
        <v>0.59899999999999998</v>
      </c>
      <c r="CH18" t="s">
        <v>257</v>
      </c>
      <c r="CI18">
        <v>0.70899999999999996</v>
      </c>
      <c r="CK18"/>
      <c r="CL18"/>
      <c r="CM18"/>
      <c r="CN18" s="2" t="s">
        <v>312</v>
      </c>
      <c r="CP18" t="s">
        <v>220</v>
      </c>
      <c r="CQ18" t="s">
        <v>220</v>
      </c>
      <c r="CS18" s="8" t="s">
        <v>312</v>
      </c>
      <c r="CW18" t="s">
        <v>227</v>
      </c>
      <c r="CX18" t="s">
        <v>227</v>
      </c>
      <c r="CY18" t="s">
        <v>231</v>
      </c>
      <c r="CZ18" t="s">
        <v>220</v>
      </c>
      <c r="DA18" t="s">
        <v>220</v>
      </c>
      <c r="DB18" t="s">
        <v>227</v>
      </c>
      <c r="DC18"/>
      <c r="DD18"/>
      <c r="DE18"/>
      <c r="DF18" t="s">
        <v>257</v>
      </c>
      <c r="DG18" t="s">
        <v>257</v>
      </c>
      <c r="DH18" s="323"/>
      <c r="DI18" s="323"/>
      <c r="DJ18" s="323" t="s">
        <v>316</v>
      </c>
      <c r="DL18" t="s">
        <v>227</v>
      </c>
      <c r="DM18" t="s">
        <v>257</v>
      </c>
      <c r="DN18" t="s">
        <v>257</v>
      </c>
      <c r="DO18" t="s">
        <v>257</v>
      </c>
      <c r="DP18" t="s">
        <v>257</v>
      </c>
      <c r="DS18" s="309">
        <v>88.289000000000001</v>
      </c>
      <c r="DU18" s="309">
        <v>174.80199999999999</v>
      </c>
      <c r="DW18">
        <v>184</v>
      </c>
      <c r="DX18" t="s">
        <v>238</v>
      </c>
      <c r="DY18">
        <v>232</v>
      </c>
      <c r="DZ18" t="s">
        <v>238</v>
      </c>
      <c r="EA18"/>
      <c r="EB18"/>
      <c r="ED18" s="410"/>
      <c r="EE18" s="1"/>
      <c r="EG18" s="410"/>
      <c r="EI18" s="410"/>
      <c r="EK18" s="1">
        <v>11</v>
      </c>
      <c r="EL18" s="8" t="s">
        <v>323</v>
      </c>
      <c r="EM18"/>
      <c r="EQ18" s="344"/>
      <c r="EU18" s="344"/>
      <c r="EW18" s="381">
        <v>25</v>
      </c>
      <c r="EX18" s="8" t="s">
        <v>323</v>
      </c>
      <c r="EY18" s="1"/>
      <c r="FA18">
        <v>82.72</v>
      </c>
      <c r="FB18" t="s">
        <v>225</v>
      </c>
      <c r="FC18" s="7">
        <v>83.965330157987509</v>
      </c>
      <c r="FD18" s="357" t="s">
        <v>236</v>
      </c>
      <c r="FE18" s="8">
        <v>289.26773831200927</v>
      </c>
      <c r="FF18" t="s">
        <v>237</v>
      </c>
      <c r="FH18" s="9">
        <v>178.93693744453037</v>
      </c>
      <c r="FI18" s="9" t="s">
        <v>225</v>
      </c>
      <c r="FJ18">
        <v>702</v>
      </c>
      <c r="FK18" t="s">
        <v>238</v>
      </c>
      <c r="FL18">
        <v>229</v>
      </c>
      <c r="FM18">
        <v>720.94145716442347</v>
      </c>
      <c r="FN18" s="5" t="s">
        <v>237</v>
      </c>
      <c r="FP18" s="6">
        <v>2.5</v>
      </c>
      <c r="FQ18" t="s">
        <v>353</v>
      </c>
      <c r="FS18" t="s">
        <v>261</v>
      </c>
      <c r="FU18" s="8">
        <v>1</v>
      </c>
      <c r="FV18" s="8">
        <v>10</v>
      </c>
      <c r="FW18" s="8">
        <v>10</v>
      </c>
      <c r="FX18" s="8">
        <v>10</v>
      </c>
      <c r="FY18" s="8">
        <v>1</v>
      </c>
      <c r="FZ18">
        <f t="shared" si="0"/>
        <v>1000</v>
      </c>
      <c r="GA18" s="7" t="s">
        <v>241</v>
      </c>
      <c r="GB18" s="7" t="s">
        <v>241</v>
      </c>
      <c r="GC18" s="6">
        <v>30</v>
      </c>
      <c r="GD18" s="348" t="s">
        <v>242</v>
      </c>
      <c r="GF18" s="6">
        <v>2.5000000000000001E-2</v>
      </c>
      <c r="GH18" s="7"/>
      <c r="GI18" s="445"/>
      <c r="GJ18" s="445"/>
      <c r="GK18" s="445"/>
      <c r="GL18" s="445"/>
      <c r="GM18" s="453"/>
      <c r="GN18" s="6">
        <v>0.2</v>
      </c>
      <c r="GO18" s="6">
        <v>0.375</v>
      </c>
      <c r="GP18" s="6">
        <v>0.6</v>
      </c>
      <c r="GQ18" s="6">
        <v>1.5</v>
      </c>
      <c r="GR18" s="6" t="s">
        <v>230</v>
      </c>
      <c r="GT18" t="s">
        <v>373</v>
      </c>
      <c r="GU18" t="s">
        <v>365</v>
      </c>
      <c r="GV18" t="s">
        <v>223</v>
      </c>
      <c r="GW18" t="s">
        <v>374</v>
      </c>
      <c r="GX18" t="s">
        <v>249</v>
      </c>
      <c r="GY18" t="s">
        <v>375</v>
      </c>
      <c r="GZ18" t="s">
        <v>376</v>
      </c>
      <c r="HB18" t="s">
        <v>376</v>
      </c>
      <c r="HE18" t="s">
        <v>247</v>
      </c>
      <c r="HF18" t="s">
        <v>249</v>
      </c>
      <c r="HG18" t="s">
        <v>231</v>
      </c>
      <c r="HH18" t="s">
        <v>223</v>
      </c>
      <c r="HI18" t="s">
        <v>247</v>
      </c>
      <c r="HJ18" t="s">
        <v>249</v>
      </c>
      <c r="HK18" t="s">
        <v>266</v>
      </c>
      <c r="HL18" t="s">
        <v>231</v>
      </c>
      <c r="HM18" t="s">
        <v>231</v>
      </c>
      <c r="HO18" t="s">
        <v>231</v>
      </c>
      <c r="HP18" t="s">
        <v>249</v>
      </c>
      <c r="HQ18" t="s">
        <v>231</v>
      </c>
      <c r="HR18" t="s">
        <v>249</v>
      </c>
      <c r="HU18" t="s">
        <v>231</v>
      </c>
      <c r="HV18" t="s">
        <v>223</v>
      </c>
      <c r="HW18" t="s">
        <v>246</v>
      </c>
      <c r="HX18" t="s">
        <v>236</v>
      </c>
      <c r="IA18" t="s">
        <v>231</v>
      </c>
      <c r="IB18" t="s">
        <v>250</v>
      </c>
      <c r="IC18" s="447"/>
      <c r="ID18" s="447"/>
      <c r="IE18" s="447"/>
      <c r="IF18" s="447"/>
      <c r="IH18" t="s">
        <v>235</v>
      </c>
    </row>
    <row r="19" spans="1:242" x14ac:dyDescent="0.35">
      <c r="A19" s="310" t="s">
        <v>377</v>
      </c>
      <c r="B19" s="313" t="s">
        <v>378</v>
      </c>
      <c r="C19" s="310" t="s">
        <v>379</v>
      </c>
      <c r="D19" s="316"/>
      <c r="F19" t="s">
        <v>380</v>
      </c>
      <c r="I19" s="310" t="s">
        <v>381</v>
      </c>
      <c r="M19" s="313" t="s">
        <v>220</v>
      </c>
      <c r="O19" t="s">
        <v>221</v>
      </c>
      <c r="P19" s="381"/>
      <c r="Q19" t="s">
        <v>221</v>
      </c>
      <c r="T19" s="8"/>
      <c r="U19" t="s">
        <v>221</v>
      </c>
      <c r="V19" s="313"/>
      <c r="W19" t="s">
        <v>220</v>
      </c>
      <c r="X19" t="s">
        <v>220</v>
      </c>
      <c r="Z19" t="s">
        <v>220</v>
      </c>
      <c r="AB19"/>
      <c r="AD19" s="8" t="s">
        <v>222</v>
      </c>
      <c r="AF19" s="8" t="s">
        <v>222</v>
      </c>
      <c r="AG19"/>
      <c r="AH19"/>
      <c r="AI19"/>
      <c r="AJ19" t="s">
        <v>221</v>
      </c>
      <c r="AK19">
        <v>0</v>
      </c>
      <c r="AL19">
        <v>1</v>
      </c>
      <c r="AM19" t="s">
        <v>221</v>
      </c>
      <c r="AN19" t="s">
        <v>249</v>
      </c>
      <c r="AO19" t="s">
        <v>221</v>
      </c>
      <c r="AP19"/>
      <c r="AQ19" t="s">
        <v>221</v>
      </c>
      <c r="AR19" t="s">
        <v>225</v>
      </c>
      <c r="AS19" t="s">
        <v>221</v>
      </c>
      <c r="AT19"/>
      <c r="AU19" t="s">
        <v>220</v>
      </c>
      <c r="AV19"/>
      <c r="AW19" s="313" t="s">
        <v>220</v>
      </c>
      <c r="AX19" t="s">
        <v>226</v>
      </c>
      <c r="AY19" s="313" t="s">
        <v>220</v>
      </c>
      <c r="AZ19" s="313">
        <v>0.26200000000000001</v>
      </c>
      <c r="BB19" s="313" t="s">
        <v>220</v>
      </c>
      <c r="BC19">
        <v>8.5099999999999995E-2</v>
      </c>
      <c r="BD19" t="s">
        <v>220</v>
      </c>
      <c r="BE19">
        <v>0.19400000000000001</v>
      </c>
      <c r="BF19" s="2" t="s">
        <v>220</v>
      </c>
      <c r="BH19" s="2" t="s">
        <v>228</v>
      </c>
      <c r="BI19" s="2" t="s">
        <v>229</v>
      </c>
      <c r="BM19"/>
      <c r="BO19" t="s">
        <v>220</v>
      </c>
      <c r="BP19" s="8"/>
      <c r="BQ19" t="s">
        <v>222</v>
      </c>
      <c r="BR19" t="s">
        <v>222</v>
      </c>
      <c r="BS19" t="s">
        <v>255</v>
      </c>
      <c r="BU19" t="s">
        <v>231</v>
      </c>
      <c r="BV19" t="s">
        <v>223</v>
      </c>
      <c r="BW19" t="s">
        <v>232</v>
      </c>
      <c r="BX19" t="s">
        <v>256</v>
      </c>
      <c r="BY19" t="s">
        <v>220</v>
      </c>
      <c r="BZ19">
        <v>0.47499999999999998</v>
      </c>
      <c r="CA19" t="s">
        <v>234</v>
      </c>
      <c r="CF19" t="s">
        <v>257</v>
      </c>
      <c r="CG19">
        <v>0.504</v>
      </c>
      <c r="CH19" t="s">
        <v>220</v>
      </c>
      <c r="CI19">
        <v>0.498</v>
      </c>
      <c r="CK19"/>
      <c r="CL19"/>
      <c r="CM19"/>
      <c r="CS19" s="8"/>
      <c r="CW19" t="s">
        <v>227</v>
      </c>
      <c r="CX19" t="s">
        <v>257</v>
      </c>
      <c r="CY19" t="s">
        <v>231</v>
      </c>
      <c r="CZ19" t="s">
        <v>220</v>
      </c>
      <c r="DA19" t="s">
        <v>257</v>
      </c>
      <c r="DB19" t="s">
        <v>227</v>
      </c>
      <c r="DC19"/>
      <c r="DD19"/>
      <c r="DE19"/>
      <c r="DF19"/>
      <c r="DG19"/>
      <c r="DH19" s="323"/>
      <c r="DI19" s="323"/>
      <c r="DJ19" s="323"/>
      <c r="DL19" t="s">
        <v>257</v>
      </c>
      <c r="DM19" t="s">
        <v>257</v>
      </c>
      <c r="DN19" t="s">
        <v>257</v>
      </c>
      <c r="DO19" t="s">
        <v>220</v>
      </c>
      <c r="DP19" t="s">
        <v>220</v>
      </c>
      <c r="DS19" s="309">
        <v>198.303</v>
      </c>
      <c r="DU19" s="309">
        <v>224.96</v>
      </c>
      <c r="DW19"/>
      <c r="DX19" t="s">
        <v>235</v>
      </c>
      <c r="DY19">
        <v>3100</v>
      </c>
      <c r="DZ19" t="s">
        <v>238</v>
      </c>
      <c r="EA19"/>
      <c r="EB19"/>
      <c r="ED19" s="410">
        <v>100</v>
      </c>
      <c r="EE19" s="1"/>
      <c r="EF19" s="8" t="s">
        <v>324</v>
      </c>
      <c r="EG19" s="410"/>
      <c r="EI19" s="410"/>
      <c r="EK19" s="1">
        <v>121</v>
      </c>
      <c r="EL19" s="8" t="s">
        <v>324</v>
      </c>
      <c r="EM19"/>
      <c r="EQ19" s="344"/>
      <c r="EU19" s="344"/>
      <c r="EW19" s="409"/>
      <c r="EY19" s="1"/>
      <c r="FA19">
        <v>34.299999999999997</v>
      </c>
      <c r="FB19" t="s">
        <v>225</v>
      </c>
      <c r="FC19" s="7">
        <v>91.306143529317609</v>
      </c>
      <c r="FD19" s="357" t="s">
        <v>236</v>
      </c>
      <c r="FE19" s="8">
        <v>29.744042981251411</v>
      </c>
      <c r="FF19" t="s">
        <v>237</v>
      </c>
      <c r="FH19" s="9">
        <v>151.73997214347997</v>
      </c>
      <c r="FI19" s="9" t="s">
        <v>225</v>
      </c>
      <c r="FK19" t="s">
        <v>235</v>
      </c>
      <c r="FL19">
        <v>29.3</v>
      </c>
      <c r="FM19">
        <v>99.976976799815688</v>
      </c>
      <c r="FN19" s="5" t="s">
        <v>237</v>
      </c>
      <c r="FP19" s="6">
        <v>100</v>
      </c>
      <c r="FQ19" t="s">
        <v>382</v>
      </c>
      <c r="FS19" t="s">
        <v>261</v>
      </c>
      <c r="FU19" s="8">
        <v>1</v>
      </c>
      <c r="FV19" s="8">
        <v>10</v>
      </c>
      <c r="FW19" s="8">
        <v>10</v>
      </c>
      <c r="FX19" s="8">
        <v>1</v>
      </c>
      <c r="FY19" s="8">
        <v>3</v>
      </c>
      <c r="FZ19">
        <f t="shared" si="0"/>
        <v>300</v>
      </c>
      <c r="GA19" s="7" t="s">
        <v>326</v>
      </c>
      <c r="GB19" s="7" t="s">
        <v>326</v>
      </c>
      <c r="GC19" s="6">
        <v>1.5</v>
      </c>
      <c r="GD19" s="348" t="s">
        <v>383</v>
      </c>
      <c r="GE19" s="6">
        <v>1</v>
      </c>
      <c r="GF19" s="6">
        <v>9.7666666666666666E-3</v>
      </c>
      <c r="GH19" s="7"/>
      <c r="GI19" s="441">
        <v>2.222</v>
      </c>
      <c r="GJ19" s="441">
        <v>4.1669999999999998</v>
      </c>
      <c r="GK19" s="441">
        <v>6.6669999999999998</v>
      </c>
      <c r="GL19" s="441">
        <v>16.667000000000002</v>
      </c>
      <c r="GM19" s="452" t="s">
        <v>262</v>
      </c>
      <c r="GN19" s="6">
        <v>0.01</v>
      </c>
      <c r="GO19" s="6">
        <v>1.8749999999999999E-2</v>
      </c>
      <c r="GP19" s="6">
        <v>0.03</v>
      </c>
      <c r="GQ19" s="6">
        <v>7.4999999999999997E-2</v>
      </c>
      <c r="GR19" s="6" t="s">
        <v>230</v>
      </c>
      <c r="GU19" t="s">
        <v>365</v>
      </c>
      <c r="GV19" t="s">
        <v>223</v>
      </c>
      <c r="GW19" t="s">
        <v>359</v>
      </c>
      <c r="GX19" t="s">
        <v>236</v>
      </c>
      <c r="GY19" t="s">
        <v>245</v>
      </c>
      <c r="HE19" t="s">
        <v>384</v>
      </c>
      <c r="HF19" t="s">
        <v>223</v>
      </c>
      <c r="HG19" t="s">
        <v>231</v>
      </c>
      <c r="HH19" t="s">
        <v>225</v>
      </c>
      <c r="HI19" t="s">
        <v>247</v>
      </c>
      <c r="HJ19" t="s">
        <v>223</v>
      </c>
      <c r="HK19" t="s">
        <v>266</v>
      </c>
      <c r="HL19" t="s">
        <v>231</v>
      </c>
      <c r="HM19" t="s">
        <v>231</v>
      </c>
      <c r="HO19" t="s">
        <v>231</v>
      </c>
      <c r="HP19" t="s">
        <v>249</v>
      </c>
      <c r="HQ19" t="s">
        <v>231</v>
      </c>
      <c r="HR19" t="s">
        <v>249</v>
      </c>
      <c r="HU19" t="s">
        <v>231</v>
      </c>
      <c r="HV19" t="s">
        <v>223</v>
      </c>
      <c r="HW19" t="s">
        <v>246</v>
      </c>
      <c r="HX19" t="s">
        <v>236</v>
      </c>
      <c r="IA19" t="s">
        <v>231</v>
      </c>
      <c r="IB19" t="s">
        <v>250</v>
      </c>
      <c r="IC19">
        <v>2.222</v>
      </c>
      <c r="ID19">
        <v>4.1669999999999998</v>
      </c>
      <c r="IE19">
        <v>6.6669999999999998</v>
      </c>
      <c r="IF19">
        <v>16.667000000000002</v>
      </c>
      <c r="IH19" t="s">
        <v>267</v>
      </c>
    </row>
    <row r="20" spans="1:242" x14ac:dyDescent="0.35">
      <c r="A20" s="310" t="s">
        <v>385</v>
      </c>
      <c r="B20" s="313" t="s">
        <v>386</v>
      </c>
      <c r="C20" s="310" t="s">
        <v>387</v>
      </c>
      <c r="D20" s="316"/>
      <c r="F20" t="s">
        <v>388</v>
      </c>
      <c r="I20" s="310" t="s">
        <v>389</v>
      </c>
      <c r="J20" t="s">
        <v>390</v>
      </c>
      <c r="K20" t="s">
        <v>391</v>
      </c>
      <c r="M20" s="313" t="s">
        <v>220</v>
      </c>
      <c r="O20"/>
      <c r="P20" s="381"/>
      <c r="Q20"/>
      <c r="T20" s="8"/>
      <c r="U20"/>
      <c r="V20" s="313"/>
      <c r="W20" t="s">
        <v>220</v>
      </c>
      <c r="X20" t="s">
        <v>220</v>
      </c>
      <c r="Z20" t="s">
        <v>220</v>
      </c>
      <c r="AB20"/>
      <c r="AD20" s="8" t="s">
        <v>222</v>
      </c>
      <c r="AF20" s="8" t="s">
        <v>230</v>
      </c>
      <c r="AG20"/>
      <c r="AH20"/>
      <c r="AI20"/>
      <c r="AJ20" t="s">
        <v>221</v>
      </c>
      <c r="AK20">
        <v>0</v>
      </c>
      <c r="AL20">
        <v>0.3</v>
      </c>
      <c r="AM20" t="s">
        <v>221</v>
      </c>
      <c r="AN20" t="s">
        <v>236</v>
      </c>
      <c r="AO20" t="s">
        <v>224</v>
      </c>
      <c r="AP20" t="s">
        <v>236</v>
      </c>
      <c r="AQ20" t="s">
        <v>221</v>
      </c>
      <c r="AR20" t="s">
        <v>236</v>
      </c>
      <c r="AS20" t="s">
        <v>221</v>
      </c>
      <c r="AT20" t="s">
        <v>225</v>
      </c>
      <c r="AU20" t="s">
        <v>220</v>
      </c>
      <c r="AV20"/>
      <c r="AW20" s="313" t="s">
        <v>220</v>
      </c>
      <c r="AX20" t="s">
        <v>226</v>
      </c>
      <c r="AY20" s="313" t="s">
        <v>220</v>
      </c>
      <c r="AZ20" s="313">
        <v>9.1600000000000001E-2</v>
      </c>
      <c r="BB20" s="313" t="s">
        <v>220</v>
      </c>
      <c r="BC20">
        <v>5.8700000000000002E-2</v>
      </c>
      <c r="BD20" t="s">
        <v>220</v>
      </c>
      <c r="BE20">
        <v>2.63E-2</v>
      </c>
      <c r="BF20" s="2" t="s">
        <v>220</v>
      </c>
      <c r="BG20" s="2" t="s">
        <v>230</v>
      </c>
      <c r="BH20" s="2" t="s">
        <v>228</v>
      </c>
      <c r="BI20" s="2" t="s">
        <v>392</v>
      </c>
      <c r="BM20"/>
      <c r="BP20" s="8"/>
      <c r="BQ20" t="s">
        <v>230</v>
      </c>
      <c r="BR20" t="s">
        <v>222</v>
      </c>
      <c r="BU20" t="s">
        <v>293</v>
      </c>
      <c r="BV20" t="s">
        <v>236</v>
      </c>
      <c r="BW20" t="s">
        <v>293</v>
      </c>
      <c r="BX20" t="s">
        <v>393</v>
      </c>
      <c r="BY20" t="s">
        <v>227</v>
      </c>
      <c r="BZ20">
        <v>0.61699999999999999</v>
      </c>
      <c r="CA20" t="s">
        <v>234</v>
      </c>
      <c r="CC20" t="s">
        <v>220</v>
      </c>
      <c r="CD20" t="s">
        <v>220</v>
      </c>
      <c r="CF20" t="s">
        <v>220</v>
      </c>
      <c r="CG20">
        <v>0.47399999999999998</v>
      </c>
      <c r="CH20" t="s">
        <v>220</v>
      </c>
      <c r="CI20">
        <v>0.55000000000000004</v>
      </c>
      <c r="CK20"/>
      <c r="CL20"/>
      <c r="CM20"/>
      <c r="CS20" s="8"/>
      <c r="CW20" t="s">
        <v>227</v>
      </c>
      <c r="CX20" t="s">
        <v>227</v>
      </c>
      <c r="CY20" t="s">
        <v>231</v>
      </c>
      <c r="CZ20" t="s">
        <v>227</v>
      </c>
      <c r="DA20" t="s">
        <v>227</v>
      </c>
      <c r="DB20" t="s">
        <v>227</v>
      </c>
      <c r="DC20"/>
      <c r="DD20"/>
      <c r="DE20"/>
      <c r="DF20"/>
      <c r="DG20"/>
      <c r="DH20" s="323"/>
      <c r="DI20" s="323"/>
      <c r="DJ20" s="323"/>
      <c r="DL20" t="s">
        <v>227</v>
      </c>
      <c r="DM20" t="s">
        <v>227</v>
      </c>
      <c r="DN20" t="s">
        <v>227</v>
      </c>
      <c r="DO20" t="s">
        <v>227</v>
      </c>
      <c r="DP20" t="s">
        <v>227</v>
      </c>
      <c r="DS20" s="338">
        <v>6361.3149999999996</v>
      </c>
      <c r="DT20" s="8" t="s">
        <v>394</v>
      </c>
      <c r="DU20" s="338">
        <v>3057.5810000000001</v>
      </c>
      <c r="DV20" s="8" t="s">
        <v>394</v>
      </c>
      <c r="DW20"/>
      <c r="DX20" t="s">
        <v>235</v>
      </c>
      <c r="DY20"/>
      <c r="DZ20" t="s">
        <v>235</v>
      </c>
      <c r="EA20"/>
      <c r="EB20"/>
      <c r="ED20" s="410"/>
      <c r="EE20" s="1"/>
      <c r="EG20" s="410"/>
      <c r="EI20" s="410"/>
      <c r="EK20" s="1">
        <v>373.75</v>
      </c>
      <c r="EL20" s="8" t="s">
        <v>324</v>
      </c>
      <c r="EM20"/>
      <c r="EQ20" s="344"/>
      <c r="EU20" s="344"/>
      <c r="EW20" s="409"/>
      <c r="EY20" s="1"/>
      <c r="FA20">
        <v>2.9999999999999997E-4</v>
      </c>
      <c r="FB20" t="s">
        <v>236</v>
      </c>
      <c r="FC20" s="7">
        <v>110.12856999410705</v>
      </c>
      <c r="FD20" s="357" t="s">
        <v>236</v>
      </c>
      <c r="FE20" s="8">
        <v>1.0185913880541167E-2</v>
      </c>
      <c r="FF20" t="s">
        <v>237</v>
      </c>
      <c r="FH20" s="9">
        <v>179.59738131969206</v>
      </c>
      <c r="FI20" s="9" t="s">
        <v>236</v>
      </c>
      <c r="FK20" t="s">
        <v>235</v>
      </c>
      <c r="FL20">
        <v>0.01</v>
      </c>
      <c r="FM20">
        <v>0.14236394038164879</v>
      </c>
      <c r="FN20" s="5" t="s">
        <v>237</v>
      </c>
      <c r="FP20" s="6">
        <v>373.75</v>
      </c>
      <c r="FQ20" t="s">
        <v>260</v>
      </c>
      <c r="FS20" t="s">
        <v>261</v>
      </c>
      <c r="FU20" s="8">
        <v>1</v>
      </c>
      <c r="FV20" s="8">
        <v>10</v>
      </c>
      <c r="FW20" s="8">
        <v>10</v>
      </c>
      <c r="FX20" s="8">
        <v>1</v>
      </c>
      <c r="FY20" s="8">
        <v>3</v>
      </c>
      <c r="FZ20">
        <f t="shared" si="0"/>
        <v>300</v>
      </c>
      <c r="GA20" s="7" t="s">
        <v>326</v>
      </c>
      <c r="GB20" s="7" t="s">
        <v>326</v>
      </c>
      <c r="GC20" s="6">
        <v>1.5</v>
      </c>
      <c r="GD20" s="348" t="s">
        <v>242</v>
      </c>
      <c r="GF20" s="6">
        <v>3.3333333333333333E-6</v>
      </c>
      <c r="GH20" s="7"/>
      <c r="GI20" s="441">
        <v>2.4700000000000002</v>
      </c>
      <c r="GJ20" s="441"/>
      <c r="GK20" s="441"/>
      <c r="GL20" s="441"/>
      <c r="GM20" s="452"/>
      <c r="GN20" s="6" t="s">
        <v>395</v>
      </c>
      <c r="GO20" s="6" t="s">
        <v>395</v>
      </c>
      <c r="GP20" s="6" t="s">
        <v>395</v>
      </c>
      <c r="GQ20" s="6" t="s">
        <v>395</v>
      </c>
      <c r="GR20" s="6" t="s">
        <v>396</v>
      </c>
      <c r="GU20" t="s">
        <v>365</v>
      </c>
      <c r="GV20" t="s">
        <v>236</v>
      </c>
      <c r="GW20" t="s">
        <v>359</v>
      </c>
      <c r="GX20" t="s">
        <v>225</v>
      </c>
      <c r="GY20" t="s">
        <v>245</v>
      </c>
      <c r="GZ20" t="s">
        <v>376</v>
      </c>
      <c r="HB20" t="s">
        <v>376</v>
      </c>
      <c r="HE20" t="s">
        <v>247</v>
      </c>
      <c r="HF20" t="s">
        <v>249</v>
      </c>
      <c r="HG20" t="s">
        <v>231</v>
      </c>
      <c r="HH20" t="s">
        <v>236</v>
      </c>
      <c r="HI20" t="s">
        <v>247</v>
      </c>
      <c r="HJ20" t="s">
        <v>249</v>
      </c>
      <c r="HK20" t="s">
        <v>266</v>
      </c>
      <c r="HL20" t="s">
        <v>231</v>
      </c>
      <c r="HM20" t="s">
        <v>231</v>
      </c>
      <c r="HO20" t="s">
        <v>231</v>
      </c>
      <c r="HP20" t="s">
        <v>249</v>
      </c>
      <c r="HQ20" t="s">
        <v>231</v>
      </c>
      <c r="HR20" t="s">
        <v>249</v>
      </c>
      <c r="HU20" t="s">
        <v>231</v>
      </c>
      <c r="HV20" t="s">
        <v>236</v>
      </c>
      <c r="HW20" t="s">
        <v>246</v>
      </c>
      <c r="HX20" t="s">
        <v>236</v>
      </c>
      <c r="IA20" t="s">
        <v>231</v>
      </c>
      <c r="IB20" t="s">
        <v>250</v>
      </c>
      <c r="IC20">
        <v>2.4700000000000002</v>
      </c>
      <c r="IH20" t="s">
        <v>267</v>
      </c>
    </row>
    <row r="21" spans="1:242" x14ac:dyDescent="0.35">
      <c r="A21" s="310" t="s">
        <v>397</v>
      </c>
      <c r="B21" s="313" t="s">
        <v>398</v>
      </c>
      <c r="C21" s="310" t="s">
        <v>399</v>
      </c>
      <c r="D21" s="316"/>
      <c r="F21" t="s">
        <v>400</v>
      </c>
      <c r="I21" s="310" t="s">
        <v>401</v>
      </c>
      <c r="M21" s="313"/>
      <c r="O21"/>
      <c r="P21" s="381"/>
      <c r="Q21"/>
      <c r="T21" s="8"/>
      <c r="U21"/>
      <c r="V21" s="313"/>
      <c r="W21" t="s">
        <v>220</v>
      </c>
      <c r="X21" t="s">
        <v>220</v>
      </c>
      <c r="Z21" t="s">
        <v>220</v>
      </c>
      <c r="AB21"/>
      <c r="AD21" s="8" t="s">
        <v>222</v>
      </c>
      <c r="AF21" s="8" t="s">
        <v>222</v>
      </c>
      <c r="AG21"/>
      <c r="AH21"/>
      <c r="AI21"/>
      <c r="AJ21" t="s">
        <v>221</v>
      </c>
      <c r="AK21">
        <v>0</v>
      </c>
      <c r="AL21">
        <v>0.82499999999999996</v>
      </c>
      <c r="AM21" t="s">
        <v>221</v>
      </c>
      <c r="AN21" t="s">
        <v>223</v>
      </c>
      <c r="AO21" t="s">
        <v>221</v>
      </c>
      <c r="AP21" t="s">
        <v>223</v>
      </c>
      <c r="AQ21" t="s">
        <v>221</v>
      </c>
      <c r="AR21" t="s">
        <v>223</v>
      </c>
      <c r="AS21" t="s">
        <v>221</v>
      </c>
      <c r="AT21" t="s">
        <v>225</v>
      </c>
      <c r="AU21" t="s">
        <v>220</v>
      </c>
      <c r="AV21"/>
      <c r="AW21" s="313" t="s">
        <v>220</v>
      </c>
      <c r="AX21" t="s">
        <v>226</v>
      </c>
      <c r="AY21" s="313" t="s">
        <v>220</v>
      </c>
      <c r="AZ21" s="313">
        <v>0.29099999999999998</v>
      </c>
      <c r="BB21" s="313" t="s">
        <v>220</v>
      </c>
      <c r="BC21">
        <v>0.36899999999999999</v>
      </c>
      <c r="BD21" t="s">
        <v>220</v>
      </c>
      <c r="BE21">
        <v>0.30499999999999999</v>
      </c>
      <c r="BF21" s="2" t="s">
        <v>220</v>
      </c>
      <c r="BH21" s="2" t="s">
        <v>228</v>
      </c>
      <c r="BI21" s="2" t="s">
        <v>402</v>
      </c>
      <c r="BM21"/>
      <c r="BP21" s="8"/>
      <c r="BQ21" t="s">
        <v>230</v>
      </c>
      <c r="BR21" t="s">
        <v>230</v>
      </c>
      <c r="BU21" t="s">
        <v>293</v>
      </c>
      <c r="BV21" t="s">
        <v>236</v>
      </c>
      <c r="BW21" t="s">
        <v>232</v>
      </c>
      <c r="BX21" t="s">
        <v>284</v>
      </c>
      <c r="BY21" t="s">
        <v>257</v>
      </c>
      <c r="BZ21">
        <v>0.70299999999999996</v>
      </c>
      <c r="CA21" t="s">
        <v>372</v>
      </c>
      <c r="CF21" t="s">
        <v>227</v>
      </c>
      <c r="CG21">
        <v>0.56699999999999995</v>
      </c>
      <c r="CH21" t="s">
        <v>257</v>
      </c>
      <c r="CI21">
        <v>0.7</v>
      </c>
      <c r="CK21"/>
      <c r="CL21"/>
      <c r="CM21"/>
      <c r="CS21" s="8"/>
      <c r="CW21" t="s">
        <v>227</v>
      </c>
      <c r="CX21" t="s">
        <v>227</v>
      </c>
      <c r="CY21" t="s">
        <v>231</v>
      </c>
      <c r="CZ21" t="s">
        <v>220</v>
      </c>
      <c r="DA21" t="s">
        <v>257</v>
      </c>
      <c r="DB21" t="s">
        <v>227</v>
      </c>
      <c r="DC21"/>
      <c r="DD21"/>
      <c r="DE21"/>
      <c r="DF21"/>
      <c r="DG21"/>
      <c r="DH21" s="323"/>
      <c r="DI21" s="323"/>
      <c r="DJ21" s="323"/>
      <c r="DL21" t="s">
        <v>227</v>
      </c>
      <c r="DM21" t="s">
        <v>257</v>
      </c>
      <c r="DN21" t="s">
        <v>257</v>
      </c>
      <c r="DO21" t="s">
        <v>227</v>
      </c>
      <c r="DP21" t="s">
        <v>257</v>
      </c>
      <c r="DS21" s="309">
        <v>95.650999999999996</v>
      </c>
      <c r="DU21" s="309">
        <v>164.726</v>
      </c>
      <c r="DW21">
        <v>399</v>
      </c>
      <c r="DX21" t="s">
        <v>238</v>
      </c>
      <c r="DY21">
        <v>261</v>
      </c>
      <c r="DZ21" t="s">
        <v>238</v>
      </c>
      <c r="EA21"/>
      <c r="EB21"/>
      <c r="ED21" s="410"/>
      <c r="EE21" s="1"/>
      <c r="EG21" s="410"/>
      <c r="EI21" s="410"/>
      <c r="EK21" s="1">
        <v>900</v>
      </c>
      <c r="EL21" s="8" t="s">
        <v>259</v>
      </c>
      <c r="EM21"/>
      <c r="EQ21" s="344"/>
      <c r="EU21" s="344"/>
      <c r="EW21" s="409"/>
      <c r="EY21" s="1"/>
      <c r="FA21">
        <v>87.81</v>
      </c>
      <c r="FB21" t="s">
        <v>225</v>
      </c>
      <c r="FC21" s="7">
        <v>124.2796438440915</v>
      </c>
      <c r="FD21" s="357" t="s">
        <v>236</v>
      </c>
      <c r="FE21" s="8">
        <v>542.6252513290151</v>
      </c>
      <c r="FF21" t="s">
        <v>237</v>
      </c>
      <c r="FH21" s="9">
        <v>372.04887872008749</v>
      </c>
      <c r="FI21" s="9" t="s">
        <v>225</v>
      </c>
      <c r="FJ21">
        <v>1450</v>
      </c>
      <c r="FK21" t="s">
        <v>238</v>
      </c>
      <c r="FL21">
        <v>309</v>
      </c>
      <c r="FM21">
        <v>1208.6484515794589</v>
      </c>
      <c r="FN21" s="5" t="s">
        <v>237</v>
      </c>
      <c r="FP21" s="6">
        <v>450</v>
      </c>
      <c r="FQ21" t="s">
        <v>260</v>
      </c>
      <c r="FS21" t="s">
        <v>261</v>
      </c>
      <c r="FU21" s="8">
        <v>2</v>
      </c>
      <c r="FV21" s="8">
        <v>10</v>
      </c>
      <c r="FW21" s="8">
        <v>10</v>
      </c>
      <c r="FX21" s="8">
        <v>1</v>
      </c>
      <c r="FY21" s="8">
        <v>3</v>
      </c>
      <c r="FZ21">
        <f t="shared" si="0"/>
        <v>600</v>
      </c>
      <c r="GA21" s="7" t="s">
        <v>241</v>
      </c>
      <c r="GB21" s="7" t="s">
        <v>241</v>
      </c>
      <c r="GC21" s="6">
        <v>30</v>
      </c>
      <c r="GD21" s="348" t="s">
        <v>242</v>
      </c>
      <c r="GF21" s="6">
        <v>0.10299999999999999</v>
      </c>
      <c r="GH21" s="7"/>
      <c r="GI21" s="441">
        <v>10</v>
      </c>
      <c r="GJ21" s="441">
        <v>18.75</v>
      </c>
      <c r="GK21" s="441">
        <v>30</v>
      </c>
      <c r="GL21" s="441">
        <v>75</v>
      </c>
      <c r="GM21" s="452" t="s">
        <v>262</v>
      </c>
      <c r="GN21" s="6">
        <v>0.2</v>
      </c>
      <c r="GO21" s="6">
        <v>0.375</v>
      </c>
      <c r="GP21" s="6">
        <v>0.6</v>
      </c>
      <c r="GQ21" s="6">
        <v>1.5</v>
      </c>
      <c r="GR21" s="6" t="s">
        <v>230</v>
      </c>
      <c r="GU21" t="s">
        <v>365</v>
      </c>
      <c r="GV21" t="s">
        <v>223</v>
      </c>
      <c r="GW21" t="s">
        <v>359</v>
      </c>
      <c r="GX21" t="s">
        <v>223</v>
      </c>
      <c r="GY21" t="s">
        <v>403</v>
      </c>
      <c r="GZ21" t="s">
        <v>376</v>
      </c>
      <c r="HB21" t="s">
        <v>376</v>
      </c>
      <c r="HE21" t="s">
        <v>247</v>
      </c>
      <c r="HF21" t="s">
        <v>249</v>
      </c>
      <c r="HG21" t="s">
        <v>231</v>
      </c>
      <c r="HH21" t="s">
        <v>223</v>
      </c>
      <c r="HI21" t="s">
        <v>247</v>
      </c>
      <c r="HJ21" t="s">
        <v>249</v>
      </c>
      <c r="HK21" t="s">
        <v>266</v>
      </c>
      <c r="HL21" t="s">
        <v>231</v>
      </c>
      <c r="HM21" t="s">
        <v>231</v>
      </c>
      <c r="HO21" t="s">
        <v>231</v>
      </c>
      <c r="HP21" t="s">
        <v>249</v>
      </c>
      <c r="HQ21" t="s">
        <v>231</v>
      </c>
      <c r="HR21" t="s">
        <v>249</v>
      </c>
      <c r="HS21" t="s">
        <v>231</v>
      </c>
      <c r="HU21" t="s">
        <v>231</v>
      </c>
      <c r="HV21" t="s">
        <v>249</v>
      </c>
      <c r="HW21" t="s">
        <v>246</v>
      </c>
      <c r="HX21" t="s">
        <v>236</v>
      </c>
      <c r="IA21" t="s">
        <v>231</v>
      </c>
      <c r="IB21" t="s">
        <v>250</v>
      </c>
      <c r="IC21">
        <v>10</v>
      </c>
      <c r="ID21">
        <v>18.75</v>
      </c>
      <c r="IE21">
        <v>30</v>
      </c>
      <c r="IF21">
        <v>75</v>
      </c>
      <c r="IH21" t="s">
        <v>267</v>
      </c>
    </row>
    <row r="22" spans="1:242" x14ac:dyDescent="0.35">
      <c r="A22" s="310" t="s">
        <v>404</v>
      </c>
      <c r="B22" s="313" t="s">
        <v>405</v>
      </c>
      <c r="C22" s="310" t="s">
        <v>406</v>
      </c>
      <c r="D22" s="316"/>
      <c r="F22" t="s">
        <v>407</v>
      </c>
      <c r="I22" s="310" t="s">
        <v>408</v>
      </c>
      <c r="M22" s="313" t="s">
        <v>220</v>
      </c>
      <c r="O22"/>
      <c r="P22" s="381"/>
      <c r="Q22"/>
      <c r="T22" s="8"/>
      <c r="U22"/>
      <c r="V22" s="313"/>
      <c r="W22" t="s">
        <v>301</v>
      </c>
      <c r="X22"/>
      <c r="Z22"/>
      <c r="AB22"/>
      <c r="AD22" s="8" t="s">
        <v>230</v>
      </c>
      <c r="AF22" s="8" t="s">
        <v>230</v>
      </c>
      <c r="AG22"/>
      <c r="AH22"/>
      <c r="AI22"/>
      <c r="AJ22" t="s">
        <v>221</v>
      </c>
      <c r="AK22">
        <v>0</v>
      </c>
      <c r="AL22">
        <v>0.9</v>
      </c>
      <c r="AM22" t="s">
        <v>221</v>
      </c>
      <c r="AN22" t="s">
        <v>223</v>
      </c>
      <c r="AO22" t="s">
        <v>221</v>
      </c>
      <c r="AP22" t="s">
        <v>223</v>
      </c>
      <c r="AQ22" t="s">
        <v>221</v>
      </c>
      <c r="AR22" t="s">
        <v>223</v>
      </c>
      <c r="AS22" t="s">
        <v>221</v>
      </c>
      <c r="AT22" t="s">
        <v>223</v>
      </c>
      <c r="AU22" t="s">
        <v>220</v>
      </c>
      <c r="AV22"/>
      <c r="AW22" s="313" t="s">
        <v>220</v>
      </c>
      <c r="AX22" t="s">
        <v>226</v>
      </c>
      <c r="AY22" s="313" t="s">
        <v>220</v>
      </c>
      <c r="AZ22" s="313">
        <v>0.13100000000000001</v>
      </c>
      <c r="BB22" s="313" t="s">
        <v>220</v>
      </c>
      <c r="BC22">
        <v>4.1399999999999999E-2</v>
      </c>
      <c r="BD22" t="s">
        <v>220</v>
      </c>
      <c r="BE22">
        <v>0.109</v>
      </c>
      <c r="BF22" s="2" t="s">
        <v>220</v>
      </c>
      <c r="BG22" s="2" t="s">
        <v>273</v>
      </c>
      <c r="BH22" s="2" t="s">
        <v>274</v>
      </c>
      <c r="BI22" s="2" t="s">
        <v>275</v>
      </c>
      <c r="BM22"/>
      <c r="BP22" s="8"/>
      <c r="BQ22" t="s">
        <v>230</v>
      </c>
      <c r="BR22" t="s">
        <v>230</v>
      </c>
      <c r="BU22" t="s">
        <v>231</v>
      </c>
      <c r="BV22" t="s">
        <v>223</v>
      </c>
      <c r="BW22" t="s">
        <v>232</v>
      </c>
      <c r="BX22" t="s">
        <v>276</v>
      </c>
      <c r="BY22" t="s">
        <v>220</v>
      </c>
      <c r="BZ22">
        <v>0.41799999999999998</v>
      </c>
      <c r="CA22" t="s">
        <v>234</v>
      </c>
      <c r="CF22" t="s">
        <v>220</v>
      </c>
      <c r="CG22">
        <v>0.11799999999999999</v>
      </c>
      <c r="CH22" t="s">
        <v>220</v>
      </c>
      <c r="CI22">
        <v>0.40400000000000003</v>
      </c>
      <c r="CK22"/>
      <c r="CL22"/>
      <c r="CM22"/>
      <c r="CS22" s="8"/>
      <c r="CW22" t="s">
        <v>220</v>
      </c>
      <c r="CX22" t="s">
        <v>220</v>
      </c>
      <c r="CY22" t="s">
        <v>231</v>
      </c>
      <c r="CZ22" t="s">
        <v>227</v>
      </c>
      <c r="DA22" t="s">
        <v>227</v>
      </c>
      <c r="DB22" t="s">
        <v>227</v>
      </c>
      <c r="DC22"/>
      <c r="DD22"/>
      <c r="DE22"/>
      <c r="DF22"/>
      <c r="DG22"/>
      <c r="DH22" s="323"/>
      <c r="DI22" s="323"/>
      <c r="DJ22" s="323"/>
      <c r="DL22" t="s">
        <v>257</v>
      </c>
      <c r="DM22" t="s">
        <v>220</v>
      </c>
      <c r="DN22" t="s">
        <v>227</v>
      </c>
      <c r="DO22" t="s">
        <v>220</v>
      </c>
      <c r="DP22" t="s">
        <v>227</v>
      </c>
      <c r="DS22" s="309">
        <v>336.65</v>
      </c>
      <c r="DU22" s="309">
        <v>232.62700000000001</v>
      </c>
      <c r="DW22"/>
      <c r="DX22" t="s">
        <v>235</v>
      </c>
      <c r="DY22"/>
      <c r="DZ22" t="s">
        <v>235</v>
      </c>
      <c r="EA22"/>
      <c r="EB22"/>
      <c r="ED22" s="410"/>
      <c r="EE22" s="1"/>
      <c r="EG22" s="410"/>
      <c r="EI22" s="410"/>
      <c r="EK22" s="1"/>
      <c r="EM22"/>
      <c r="EQ22" s="344"/>
      <c r="EU22" s="344"/>
      <c r="EW22" s="409"/>
      <c r="EY22" s="1"/>
      <c r="FA22">
        <v>17.75</v>
      </c>
      <c r="FB22" t="s">
        <v>225</v>
      </c>
      <c r="FC22" s="7">
        <v>119.7291777608167</v>
      </c>
      <c r="FD22" s="357" t="s">
        <v>225</v>
      </c>
      <c r="FE22" s="8">
        <v>33.596961369121409</v>
      </c>
      <c r="FF22" t="s">
        <v>337</v>
      </c>
      <c r="FH22" s="9">
        <v>85.48698491636668</v>
      </c>
      <c r="FI22" s="9" t="s">
        <v>225</v>
      </c>
      <c r="FK22" t="s">
        <v>235</v>
      </c>
      <c r="FL22">
        <v>31.5</v>
      </c>
      <c r="FM22">
        <v>201.27971090730034</v>
      </c>
      <c r="FN22" s="5" t="s">
        <v>337</v>
      </c>
      <c r="FP22" s="6">
        <v>3.15</v>
      </c>
      <c r="FQ22" t="s">
        <v>239</v>
      </c>
      <c r="FS22" t="s">
        <v>240</v>
      </c>
      <c r="FU22" s="8">
        <v>1</v>
      </c>
      <c r="FV22" s="8">
        <v>10</v>
      </c>
      <c r="FW22" s="8">
        <v>10</v>
      </c>
      <c r="FX22" s="8">
        <v>10</v>
      </c>
      <c r="FY22" s="8">
        <v>3</v>
      </c>
      <c r="FZ22">
        <f t="shared" si="0"/>
        <v>3000</v>
      </c>
      <c r="GA22" s="7" t="s">
        <v>241</v>
      </c>
      <c r="GB22" s="7" t="s">
        <v>241</v>
      </c>
      <c r="GC22" s="6">
        <v>30</v>
      </c>
      <c r="GD22" s="348" t="s">
        <v>242</v>
      </c>
      <c r="GF22" s="6">
        <v>1.0500000000000001E-2</v>
      </c>
      <c r="GH22" s="7"/>
      <c r="GI22" s="445"/>
      <c r="GJ22" s="445"/>
      <c r="GK22" s="445"/>
      <c r="GL22" s="445"/>
      <c r="GM22" s="453"/>
      <c r="GN22" s="6">
        <v>0.2</v>
      </c>
      <c r="GO22" s="6">
        <v>0.375</v>
      </c>
      <c r="GP22" s="6">
        <v>0.6</v>
      </c>
      <c r="GQ22" s="6">
        <v>1.5</v>
      </c>
      <c r="GR22" s="6" t="s">
        <v>230</v>
      </c>
      <c r="GU22" t="s">
        <v>243</v>
      </c>
      <c r="GV22" t="s">
        <v>236</v>
      </c>
      <c r="GW22" t="s">
        <v>244</v>
      </c>
      <c r="GX22" t="s">
        <v>236</v>
      </c>
      <c r="GY22" t="s">
        <v>245</v>
      </c>
      <c r="HE22" t="s">
        <v>246</v>
      </c>
      <c r="HF22" t="s">
        <v>236</v>
      </c>
      <c r="HG22" t="s">
        <v>231</v>
      </c>
      <c r="HH22" t="s">
        <v>223</v>
      </c>
      <c r="HI22" t="s">
        <v>247</v>
      </c>
      <c r="HJ22" t="s">
        <v>223</v>
      </c>
      <c r="HK22" t="s">
        <v>248</v>
      </c>
      <c r="HL22" t="s">
        <v>231</v>
      </c>
      <c r="HM22" t="s">
        <v>231</v>
      </c>
      <c r="HO22" t="s">
        <v>231</v>
      </c>
      <c r="HP22" t="s">
        <v>249</v>
      </c>
      <c r="HQ22" t="s">
        <v>231</v>
      </c>
      <c r="HR22" t="s">
        <v>249</v>
      </c>
      <c r="HU22" t="s">
        <v>231</v>
      </c>
      <c r="HV22" t="s">
        <v>223</v>
      </c>
      <c r="HW22" t="s">
        <v>246</v>
      </c>
      <c r="HX22" t="s">
        <v>236</v>
      </c>
      <c r="IA22" t="s">
        <v>231</v>
      </c>
      <c r="IB22" t="s">
        <v>250</v>
      </c>
      <c r="IC22" s="447"/>
      <c r="ID22" s="447"/>
      <c r="IE22" s="447"/>
      <c r="IF22" s="447"/>
      <c r="IH22" t="s">
        <v>235</v>
      </c>
    </row>
    <row r="23" spans="1:242" x14ac:dyDescent="0.35">
      <c r="A23" s="310" t="s">
        <v>409</v>
      </c>
      <c r="B23" s="313" t="s">
        <v>410</v>
      </c>
      <c r="C23" s="310" t="s">
        <v>411</v>
      </c>
      <c r="D23" s="316"/>
      <c r="F23" t="s">
        <v>412</v>
      </c>
      <c r="I23" s="310" t="s">
        <v>413</v>
      </c>
      <c r="M23" s="313"/>
      <c r="O23"/>
      <c r="P23" s="381"/>
      <c r="Q23"/>
      <c r="T23" s="8"/>
      <c r="U23"/>
      <c r="V23" s="313"/>
      <c r="W23"/>
      <c r="X23"/>
      <c r="Z23"/>
      <c r="AB23"/>
      <c r="AD23" s="8" t="s">
        <v>230</v>
      </c>
      <c r="AF23" s="8" t="s">
        <v>230</v>
      </c>
      <c r="AG23"/>
      <c r="AH23"/>
      <c r="AI23"/>
      <c r="AJ23" t="s">
        <v>221</v>
      </c>
      <c r="AK23">
        <v>0.05</v>
      </c>
      <c r="AL23">
        <v>0.6</v>
      </c>
      <c r="AM23" s="442" t="s">
        <v>414</v>
      </c>
      <c r="AN23" t="s">
        <v>236</v>
      </c>
      <c r="AO23" t="s">
        <v>221</v>
      </c>
      <c r="AP23" t="s">
        <v>223</v>
      </c>
      <c r="AQ23" t="s">
        <v>221</v>
      </c>
      <c r="AR23" t="s">
        <v>223</v>
      </c>
      <c r="AS23" t="s">
        <v>221</v>
      </c>
      <c r="AT23" t="s">
        <v>225</v>
      </c>
      <c r="AU23" t="s">
        <v>220</v>
      </c>
      <c r="AV23"/>
      <c r="AW23" s="313" t="s">
        <v>220</v>
      </c>
      <c r="AX23" t="s">
        <v>226</v>
      </c>
      <c r="AY23" s="313" t="s">
        <v>220</v>
      </c>
      <c r="AZ23" s="313">
        <v>0.312</v>
      </c>
      <c r="BA23" s="3" t="s">
        <v>415</v>
      </c>
      <c r="BB23" s="313" t="s">
        <v>220</v>
      </c>
      <c r="BC23">
        <v>0.18099999999999999</v>
      </c>
      <c r="BD23" t="s">
        <v>220</v>
      </c>
      <c r="BE23">
        <v>0.33300000000000002</v>
      </c>
      <c r="BF23" s="2" t="s">
        <v>220</v>
      </c>
      <c r="BG23" s="3" t="s">
        <v>416</v>
      </c>
      <c r="BH23" s="2" t="s">
        <v>274</v>
      </c>
      <c r="BI23" s="2" t="s">
        <v>275</v>
      </c>
      <c r="BM23"/>
      <c r="BP23" s="8"/>
      <c r="BQ23" t="s">
        <v>230</v>
      </c>
      <c r="BR23" t="s">
        <v>230</v>
      </c>
      <c r="BU23" t="s">
        <v>293</v>
      </c>
      <c r="BV23" t="s">
        <v>236</v>
      </c>
      <c r="BW23" t="s">
        <v>232</v>
      </c>
      <c r="BX23" t="s">
        <v>284</v>
      </c>
      <c r="BY23" t="s">
        <v>257</v>
      </c>
      <c r="BZ23">
        <v>0.72099999999999997</v>
      </c>
      <c r="CA23" t="s">
        <v>372</v>
      </c>
      <c r="CF23" t="s">
        <v>227</v>
      </c>
      <c r="CG23">
        <v>0.6</v>
      </c>
      <c r="CH23" t="s">
        <v>227</v>
      </c>
      <c r="CI23">
        <v>0.71399999999999997</v>
      </c>
      <c r="CK23"/>
      <c r="CL23"/>
      <c r="CM23"/>
      <c r="CS23" s="8"/>
      <c r="CW23" t="s">
        <v>220</v>
      </c>
      <c r="CX23" t="s">
        <v>227</v>
      </c>
      <c r="CY23" t="s">
        <v>231</v>
      </c>
      <c r="CZ23" t="s">
        <v>257</v>
      </c>
      <c r="DA23" t="s">
        <v>257</v>
      </c>
      <c r="DB23" t="s">
        <v>220</v>
      </c>
      <c r="DC23"/>
      <c r="DD23"/>
      <c r="DE23"/>
      <c r="DF23"/>
      <c r="DG23"/>
      <c r="DH23" s="323"/>
      <c r="DI23" s="323"/>
      <c r="DJ23" s="323"/>
      <c r="DL23" t="s">
        <v>227</v>
      </c>
      <c r="DM23" t="s">
        <v>257</v>
      </c>
      <c r="DN23" t="s">
        <v>227</v>
      </c>
      <c r="DO23" t="s">
        <v>227</v>
      </c>
      <c r="DP23" t="s">
        <v>220</v>
      </c>
      <c r="DS23" s="309">
        <v>162.22200000000001</v>
      </c>
      <c r="DU23" s="309">
        <v>182.50899999999999</v>
      </c>
      <c r="DW23">
        <v>131</v>
      </c>
      <c r="DX23" t="s">
        <v>238</v>
      </c>
      <c r="DY23">
        <v>191</v>
      </c>
      <c r="DZ23" t="s">
        <v>238</v>
      </c>
      <c r="EA23"/>
      <c r="EB23"/>
      <c r="ED23" s="410"/>
      <c r="EE23" s="1"/>
      <c r="EG23" s="410"/>
      <c r="EI23" s="410"/>
      <c r="EK23" s="1"/>
      <c r="EM23"/>
      <c r="EQ23" s="344"/>
      <c r="EU23" s="344"/>
      <c r="EW23" s="409"/>
      <c r="EY23" s="1"/>
      <c r="FA23">
        <v>84.32</v>
      </c>
      <c r="FB23" t="s">
        <v>236</v>
      </c>
      <c r="FC23" s="7">
        <v>97.140425172876803</v>
      </c>
      <c r="FD23" s="357" t="s">
        <v>236</v>
      </c>
      <c r="FE23" s="8">
        <v>510.03502395944656</v>
      </c>
      <c r="FF23" t="s">
        <v>237</v>
      </c>
      <c r="FH23" s="9">
        <v>66.788240136653954</v>
      </c>
      <c r="FI23" s="9" t="s">
        <v>236</v>
      </c>
      <c r="FK23" t="s">
        <v>235</v>
      </c>
      <c r="FL23">
        <v>54.5</v>
      </c>
      <c r="FM23">
        <v>1057.3043037421846</v>
      </c>
      <c r="FN23" s="5" t="s">
        <v>237</v>
      </c>
      <c r="FP23" s="6">
        <v>5.45</v>
      </c>
      <c r="FQ23" t="s">
        <v>239</v>
      </c>
      <c r="FS23" t="s">
        <v>240</v>
      </c>
      <c r="FU23" s="8">
        <v>1</v>
      </c>
      <c r="FV23" s="8">
        <v>10</v>
      </c>
      <c r="FW23" s="8">
        <v>10</v>
      </c>
      <c r="FX23" s="8">
        <v>10</v>
      </c>
      <c r="FY23" s="8">
        <v>3</v>
      </c>
      <c r="FZ23">
        <f t="shared" si="0"/>
        <v>3000</v>
      </c>
      <c r="GA23" s="7" t="s">
        <v>326</v>
      </c>
      <c r="GB23" s="7" t="s">
        <v>326</v>
      </c>
      <c r="GC23" s="6">
        <v>1.5</v>
      </c>
      <c r="GD23" s="348" t="s">
        <v>242</v>
      </c>
      <c r="GF23" s="6">
        <v>1.8166666666666668E-2</v>
      </c>
      <c r="GH23" s="7"/>
      <c r="GI23" s="441">
        <v>0.121</v>
      </c>
      <c r="GJ23" s="441">
        <v>0.22700000000000001</v>
      </c>
      <c r="GK23" s="441">
        <v>0.36299999999999999</v>
      </c>
      <c r="GL23" s="441">
        <v>0.90800000000000003</v>
      </c>
      <c r="GM23" s="452" t="s">
        <v>262</v>
      </c>
      <c r="GN23" s="6">
        <v>0.01</v>
      </c>
      <c r="GO23" s="6">
        <v>1.8749999999999999E-2</v>
      </c>
      <c r="GP23" s="6">
        <v>0.03</v>
      </c>
      <c r="GQ23" s="6">
        <v>7.4999999999999997E-2</v>
      </c>
      <c r="GR23" s="6" t="s">
        <v>230</v>
      </c>
      <c r="GU23" t="s">
        <v>365</v>
      </c>
      <c r="GV23" t="s">
        <v>223</v>
      </c>
      <c r="GW23" t="s">
        <v>359</v>
      </c>
      <c r="GX23" t="s">
        <v>223</v>
      </c>
      <c r="GY23" t="s">
        <v>417</v>
      </c>
      <c r="HE23" t="s">
        <v>384</v>
      </c>
      <c r="HF23" t="s">
        <v>223</v>
      </c>
      <c r="HG23" t="s">
        <v>231</v>
      </c>
      <c r="HH23" t="s">
        <v>225</v>
      </c>
      <c r="HI23" t="s">
        <v>247</v>
      </c>
      <c r="HJ23" t="s">
        <v>223</v>
      </c>
      <c r="HK23" t="s">
        <v>418</v>
      </c>
      <c r="HO23" t="s">
        <v>231</v>
      </c>
      <c r="HP23" t="s">
        <v>223</v>
      </c>
      <c r="HQ23" t="s">
        <v>231</v>
      </c>
      <c r="HR23" t="s">
        <v>223</v>
      </c>
      <c r="HU23" t="s">
        <v>231</v>
      </c>
      <c r="HV23" t="s">
        <v>223</v>
      </c>
      <c r="HW23" t="s">
        <v>246</v>
      </c>
      <c r="HX23" t="s">
        <v>236</v>
      </c>
      <c r="IA23" t="s">
        <v>231</v>
      </c>
      <c r="IB23" t="s">
        <v>250</v>
      </c>
      <c r="IC23">
        <v>0.121</v>
      </c>
      <c r="ID23">
        <v>0.22700000000000001</v>
      </c>
      <c r="IE23">
        <v>0.36299999999999999</v>
      </c>
      <c r="IF23">
        <v>0.90800000000000003</v>
      </c>
      <c r="IH23" t="s">
        <v>267</v>
      </c>
    </row>
    <row r="24" spans="1:242" x14ac:dyDescent="0.35">
      <c r="A24" s="310" t="s">
        <v>419</v>
      </c>
      <c r="B24" s="313" t="s">
        <v>420</v>
      </c>
      <c r="C24" s="310" t="s">
        <v>421</v>
      </c>
      <c r="D24" s="316"/>
      <c r="F24" t="s">
        <v>422</v>
      </c>
      <c r="I24" s="310" t="s">
        <v>423</v>
      </c>
      <c r="M24" s="313" t="s">
        <v>220</v>
      </c>
      <c r="O24" t="s">
        <v>221</v>
      </c>
      <c r="P24" s="381"/>
      <c r="Q24" t="s">
        <v>221</v>
      </c>
      <c r="T24" s="8"/>
      <c r="U24" t="s">
        <v>221</v>
      </c>
      <c r="V24" s="313"/>
      <c r="W24" t="s">
        <v>220</v>
      </c>
      <c r="X24" t="s">
        <v>220</v>
      </c>
      <c r="Z24"/>
      <c r="AB24"/>
      <c r="AD24" s="8" t="s">
        <v>230</v>
      </c>
      <c r="AF24" s="8" t="s">
        <v>230</v>
      </c>
      <c r="AG24"/>
      <c r="AH24"/>
      <c r="AI24"/>
      <c r="AJ24" t="s">
        <v>221</v>
      </c>
      <c r="AK24">
        <v>0</v>
      </c>
      <c r="AL24">
        <v>1</v>
      </c>
      <c r="AM24" t="s">
        <v>221</v>
      </c>
      <c r="AN24" t="s">
        <v>249</v>
      </c>
      <c r="AO24" t="s">
        <v>221</v>
      </c>
      <c r="AP24"/>
      <c r="AQ24" t="s">
        <v>221</v>
      </c>
      <c r="AR24" t="s">
        <v>223</v>
      </c>
      <c r="AS24" t="s">
        <v>221</v>
      </c>
      <c r="AT24"/>
      <c r="AU24" t="s">
        <v>220</v>
      </c>
      <c r="AV24"/>
      <c r="AW24" s="313" t="s">
        <v>220</v>
      </c>
      <c r="AX24" t="s">
        <v>226</v>
      </c>
      <c r="AY24" s="313" t="s">
        <v>220</v>
      </c>
      <c r="AZ24" s="313">
        <v>0.24099999999999999</v>
      </c>
      <c r="BB24" s="313" t="s">
        <v>220</v>
      </c>
      <c r="BC24">
        <v>0.13300000000000001</v>
      </c>
      <c r="BD24" t="s">
        <v>227</v>
      </c>
      <c r="BE24">
        <v>0.104</v>
      </c>
      <c r="BF24" s="2" t="s">
        <v>220</v>
      </c>
      <c r="BH24" s="2" t="s">
        <v>228</v>
      </c>
      <c r="BI24" s="2" t="s">
        <v>424</v>
      </c>
      <c r="BM24"/>
      <c r="BP24" s="8"/>
      <c r="BQ24" t="s">
        <v>230</v>
      </c>
      <c r="BR24" t="s">
        <v>230</v>
      </c>
      <c r="BU24" t="s">
        <v>231</v>
      </c>
      <c r="BV24" t="s">
        <v>223</v>
      </c>
      <c r="BW24" t="s">
        <v>232</v>
      </c>
      <c r="BX24" t="s">
        <v>276</v>
      </c>
      <c r="BY24" t="s">
        <v>220</v>
      </c>
      <c r="BZ24">
        <v>0.442</v>
      </c>
      <c r="CA24" t="s">
        <v>234</v>
      </c>
      <c r="CF24" t="s">
        <v>227</v>
      </c>
      <c r="CG24">
        <v>0.36699999999999999</v>
      </c>
      <c r="CH24" t="s">
        <v>227</v>
      </c>
      <c r="CI24">
        <v>0.39400000000000002</v>
      </c>
      <c r="CK24"/>
      <c r="CL24"/>
      <c r="CM24"/>
      <c r="CS24" s="8"/>
      <c r="CW24" t="s">
        <v>220</v>
      </c>
      <c r="CX24" t="s">
        <v>227</v>
      </c>
      <c r="CY24" t="s">
        <v>231</v>
      </c>
      <c r="CZ24" t="s">
        <v>220</v>
      </c>
      <c r="DA24" t="s">
        <v>220</v>
      </c>
      <c r="DB24" t="s">
        <v>220</v>
      </c>
      <c r="DC24"/>
      <c r="DD24"/>
      <c r="DE24"/>
      <c r="DF24"/>
      <c r="DG24"/>
      <c r="DH24" s="323"/>
      <c r="DI24" s="323"/>
      <c r="DJ24" s="323"/>
      <c r="DL24" t="s">
        <v>257</v>
      </c>
      <c r="DM24" t="s">
        <v>220</v>
      </c>
      <c r="DN24" t="s">
        <v>227</v>
      </c>
      <c r="DO24" t="s">
        <v>220</v>
      </c>
      <c r="DP24" t="s">
        <v>227</v>
      </c>
      <c r="DS24" s="309">
        <v>439.76299999999998</v>
      </c>
      <c r="DU24" s="309">
        <v>291.99099999999999</v>
      </c>
      <c r="DW24"/>
      <c r="DX24" t="s">
        <v>235</v>
      </c>
      <c r="DY24"/>
      <c r="DZ24" t="s">
        <v>235</v>
      </c>
      <c r="EA24"/>
      <c r="EB24"/>
      <c r="ED24" s="410"/>
      <c r="EE24" s="1"/>
      <c r="EG24" s="410"/>
      <c r="EI24" s="410"/>
      <c r="EK24" s="1"/>
      <c r="EM24"/>
      <c r="EQ24" s="344"/>
      <c r="EU24" s="344"/>
      <c r="EW24" s="409"/>
      <c r="EY24" s="1"/>
      <c r="FA24">
        <v>17.75</v>
      </c>
      <c r="FB24" t="s">
        <v>225</v>
      </c>
      <c r="FC24" s="7">
        <v>72.227070431217271</v>
      </c>
      <c r="FD24" s="357" t="s">
        <v>225</v>
      </c>
      <c r="FE24" s="8">
        <v>17.068682499156647</v>
      </c>
      <c r="FF24" t="s">
        <v>237</v>
      </c>
      <c r="FH24" s="9">
        <v>15.624279522764851</v>
      </c>
      <c r="FI24" s="9" t="s">
        <v>225</v>
      </c>
      <c r="FK24" t="s">
        <v>235</v>
      </c>
      <c r="FL24">
        <v>31.5</v>
      </c>
      <c r="FM24">
        <v>104.47202192208005</v>
      </c>
      <c r="FN24" s="5" t="s">
        <v>237</v>
      </c>
      <c r="FP24" s="6">
        <v>3.15</v>
      </c>
      <c r="FQ24" t="s">
        <v>239</v>
      </c>
      <c r="FS24" t="s">
        <v>240</v>
      </c>
      <c r="FU24" s="8">
        <v>1</v>
      </c>
      <c r="FV24" s="8">
        <v>10</v>
      </c>
      <c r="FW24" s="8">
        <v>10</v>
      </c>
      <c r="FX24" s="8">
        <v>10</v>
      </c>
      <c r="FY24" s="8">
        <v>3</v>
      </c>
      <c r="FZ24">
        <f t="shared" si="0"/>
        <v>3000</v>
      </c>
      <c r="GA24" s="7" t="s">
        <v>241</v>
      </c>
      <c r="GB24" s="7" t="s">
        <v>241</v>
      </c>
      <c r="GC24" s="6">
        <v>30</v>
      </c>
      <c r="GD24" s="348" t="s">
        <v>242</v>
      </c>
      <c r="GF24" s="6">
        <v>1.0500000000000001E-2</v>
      </c>
      <c r="GH24" s="7"/>
      <c r="GI24" s="441"/>
      <c r="GJ24" s="441"/>
      <c r="GK24" s="441"/>
      <c r="GL24" s="441"/>
      <c r="GM24" s="454"/>
      <c r="GN24" s="441"/>
      <c r="GO24" s="441"/>
      <c r="GP24" s="441"/>
      <c r="GQ24" s="441"/>
      <c r="GR24" s="441"/>
      <c r="GS24" s="441"/>
      <c r="GT24" s="441"/>
      <c r="GU24" s="441"/>
      <c r="GV24" s="441"/>
      <c r="GW24" s="441"/>
      <c r="GX24" s="441"/>
      <c r="GY24" s="441"/>
      <c r="GZ24" s="441"/>
      <c r="HA24" s="441"/>
      <c r="HB24" s="441"/>
      <c r="HC24" s="441"/>
      <c r="HD24" s="441"/>
      <c r="HE24" s="441"/>
      <c r="HF24" s="441"/>
      <c r="HG24" s="441"/>
      <c r="HH24" s="441"/>
      <c r="HI24" s="441"/>
      <c r="HJ24" s="441"/>
      <c r="HK24" s="441"/>
      <c r="HL24" s="441"/>
      <c r="HM24" s="441"/>
      <c r="HN24" s="441"/>
      <c r="HO24" s="441"/>
      <c r="HP24" s="441"/>
      <c r="HQ24" s="441"/>
      <c r="HR24" s="441"/>
      <c r="HS24" s="441"/>
      <c r="HT24" s="441"/>
      <c r="HU24" s="441"/>
      <c r="HV24" s="441"/>
      <c r="HW24" s="441"/>
      <c r="HX24" s="441"/>
      <c r="HY24" s="441"/>
      <c r="HZ24" s="441"/>
      <c r="IA24" s="441"/>
      <c r="IB24" s="441"/>
      <c r="IC24" s="441"/>
      <c r="ID24" s="441"/>
      <c r="IE24" s="441"/>
      <c r="IF24" s="441"/>
      <c r="IH24" t="s">
        <v>235</v>
      </c>
    </row>
    <row r="25" spans="1:242" hidden="1" x14ac:dyDescent="0.35">
      <c r="A25" s="310" t="s">
        <v>425</v>
      </c>
      <c r="B25" s="313" t="s">
        <v>426</v>
      </c>
      <c r="C25" s="310" t="s">
        <v>427</v>
      </c>
      <c r="D25" s="316"/>
      <c r="F25" t="s">
        <v>428</v>
      </c>
      <c r="I25" s="310" t="s">
        <v>429</v>
      </c>
      <c r="M25" s="313"/>
      <c r="O25"/>
      <c r="P25" s="381"/>
      <c r="Q25"/>
      <c r="T25" s="8"/>
      <c r="U25"/>
      <c r="V25" s="313"/>
      <c r="W25"/>
      <c r="X25"/>
      <c r="Z25"/>
      <c r="AB25"/>
      <c r="AD25" s="8" t="s">
        <v>230</v>
      </c>
      <c r="AF25" s="8" t="s">
        <v>230</v>
      </c>
      <c r="AG25"/>
      <c r="AH25"/>
      <c r="AI25"/>
      <c r="AJ25" t="s">
        <v>414</v>
      </c>
      <c r="AK25">
        <v>0.9</v>
      </c>
      <c r="AL25">
        <v>0</v>
      </c>
      <c r="AM25" t="s">
        <v>430</v>
      </c>
      <c r="AN25" t="s">
        <v>223</v>
      </c>
      <c r="AO25" t="s">
        <v>414</v>
      </c>
      <c r="AP25" t="s">
        <v>223</v>
      </c>
      <c r="AQ25" t="s">
        <v>414</v>
      </c>
      <c r="AR25" t="s">
        <v>223</v>
      </c>
      <c r="AS25" t="s">
        <v>414</v>
      </c>
      <c r="AT25" t="s">
        <v>223</v>
      </c>
      <c r="AU25" t="s">
        <v>257</v>
      </c>
      <c r="AV25"/>
      <c r="AW25" s="313" t="s">
        <v>220</v>
      </c>
      <c r="AX25" t="s">
        <v>226</v>
      </c>
      <c r="AY25" s="313" t="s">
        <v>257</v>
      </c>
      <c r="AZ25" s="313">
        <v>0.76800000000000002</v>
      </c>
      <c r="BB25" s="313" t="s">
        <v>257</v>
      </c>
      <c r="BC25">
        <v>0.74399999999999999</v>
      </c>
      <c r="BD25" t="s">
        <v>431</v>
      </c>
      <c r="BE25">
        <v>0.48</v>
      </c>
      <c r="BF25" s="2" t="s">
        <v>257</v>
      </c>
      <c r="BG25" s="2" t="s">
        <v>273</v>
      </c>
      <c r="BH25" s="2" t="s">
        <v>274</v>
      </c>
      <c r="BI25" s="2" t="s">
        <v>432</v>
      </c>
      <c r="BM25"/>
      <c r="BP25" s="8"/>
      <c r="BQ25" t="s">
        <v>230</v>
      </c>
      <c r="BR25" t="s">
        <v>230</v>
      </c>
      <c r="BU25" t="s">
        <v>231</v>
      </c>
      <c r="BV25" t="s">
        <v>236</v>
      </c>
      <c r="BW25" t="s">
        <v>232</v>
      </c>
      <c r="BX25" t="s">
        <v>284</v>
      </c>
      <c r="BY25" t="s">
        <v>220</v>
      </c>
      <c r="BZ25">
        <v>0.45100000000000001</v>
      </c>
      <c r="CA25" t="s">
        <v>372</v>
      </c>
      <c r="CF25" t="s">
        <v>257</v>
      </c>
      <c r="CG25">
        <v>0.67400000000000004</v>
      </c>
      <c r="CH25" t="s">
        <v>257</v>
      </c>
      <c r="CI25">
        <v>0.54600000000000004</v>
      </c>
      <c r="CK25"/>
      <c r="CL25"/>
      <c r="CM25"/>
      <c r="CS25" s="8"/>
      <c r="CW25" t="s">
        <v>257</v>
      </c>
      <c r="CX25" t="s">
        <v>220</v>
      </c>
      <c r="CY25" t="s">
        <v>231</v>
      </c>
      <c r="CZ25" t="s">
        <v>220</v>
      </c>
      <c r="DA25" t="s">
        <v>227</v>
      </c>
      <c r="DB25" t="s">
        <v>220</v>
      </c>
      <c r="DC25"/>
      <c r="DD25"/>
      <c r="DE25"/>
      <c r="DF25"/>
      <c r="DG25"/>
      <c r="DH25" s="323"/>
      <c r="DI25" s="323"/>
      <c r="DJ25" s="323"/>
      <c r="DL25" t="s">
        <v>257</v>
      </c>
      <c r="DM25" t="s">
        <v>257</v>
      </c>
      <c r="DN25" t="s">
        <v>257</v>
      </c>
      <c r="DO25" t="s">
        <v>220</v>
      </c>
      <c r="DP25" t="s">
        <v>220</v>
      </c>
      <c r="DS25" s="309">
        <v>206.929</v>
      </c>
      <c r="DU25" s="309">
        <v>136.226</v>
      </c>
      <c r="DW25"/>
      <c r="DX25" t="s">
        <v>235</v>
      </c>
      <c r="DY25"/>
      <c r="DZ25" t="s">
        <v>235</v>
      </c>
      <c r="EA25"/>
      <c r="EB25"/>
      <c r="ED25" s="410"/>
      <c r="EE25" s="1"/>
      <c r="EG25" s="410"/>
      <c r="EI25" s="410"/>
      <c r="EK25" s="1"/>
      <c r="EM25"/>
      <c r="EQ25" s="344"/>
      <c r="EU25" s="344"/>
      <c r="EW25" s="409"/>
      <c r="EY25" s="1"/>
      <c r="FA25">
        <v>95.42</v>
      </c>
      <c r="FB25" t="s">
        <v>236</v>
      </c>
      <c r="FC25" s="7">
        <v>44.915889010593197</v>
      </c>
      <c r="FD25" s="357" t="s">
        <v>236</v>
      </c>
      <c r="FE25" s="8">
        <v>8.6456967803391294</v>
      </c>
      <c r="FF25" t="s">
        <v>237</v>
      </c>
      <c r="FH25" s="9">
        <v>121.70264024040537</v>
      </c>
      <c r="FI25" s="9" t="s">
        <v>236</v>
      </c>
      <c r="FK25" t="s">
        <v>235</v>
      </c>
      <c r="FL25">
        <v>33.4</v>
      </c>
      <c r="FM25">
        <v>16.251745024063545</v>
      </c>
      <c r="FN25" s="419" t="s">
        <v>237</v>
      </c>
      <c r="FV25" s="8"/>
      <c r="FW25" s="8"/>
      <c r="FX25" s="8"/>
      <c r="GC25" s="7">
        <v>2.5000000000000001E-3</v>
      </c>
      <c r="GH25" s="7"/>
      <c r="GI25" s="441" t="s">
        <v>395</v>
      </c>
      <c r="GJ25" s="441" t="s">
        <v>395</v>
      </c>
      <c r="GK25" s="441" t="s">
        <v>395</v>
      </c>
      <c r="GL25" s="441" t="s">
        <v>395</v>
      </c>
      <c r="GM25" s="452" t="s">
        <v>230</v>
      </c>
      <c r="GN25" s="6" t="s">
        <v>395</v>
      </c>
      <c r="GO25" s="6" t="s">
        <v>395</v>
      </c>
      <c r="GP25" s="6" t="s">
        <v>395</v>
      </c>
      <c r="GQ25" s="6" t="s">
        <v>395</v>
      </c>
      <c r="GR25" s="6" t="s">
        <v>230</v>
      </c>
      <c r="GU25" t="s">
        <v>243</v>
      </c>
      <c r="GV25" t="s">
        <v>236</v>
      </c>
      <c r="GW25" t="s">
        <v>359</v>
      </c>
      <c r="GX25" t="s">
        <v>225</v>
      </c>
      <c r="GY25" t="s">
        <v>245</v>
      </c>
      <c r="HE25" t="s">
        <v>247</v>
      </c>
      <c r="HF25" t="s">
        <v>223</v>
      </c>
      <c r="HG25" t="s">
        <v>231</v>
      </c>
      <c r="HH25" t="s">
        <v>223</v>
      </c>
      <c r="HI25" t="s">
        <v>247</v>
      </c>
      <c r="HJ25" t="s">
        <v>223</v>
      </c>
      <c r="HK25" t="s">
        <v>266</v>
      </c>
      <c r="HO25" t="s">
        <v>231</v>
      </c>
      <c r="HP25" t="s">
        <v>223</v>
      </c>
      <c r="HQ25" t="s">
        <v>231</v>
      </c>
      <c r="HR25" t="s">
        <v>223</v>
      </c>
      <c r="HU25" t="s">
        <v>231</v>
      </c>
      <c r="HV25" t="s">
        <v>223</v>
      </c>
      <c r="HW25" t="s">
        <v>246</v>
      </c>
      <c r="HX25" t="s">
        <v>236</v>
      </c>
      <c r="IA25" t="s">
        <v>231</v>
      </c>
      <c r="IB25" t="s">
        <v>250</v>
      </c>
      <c r="IC25" t="s">
        <v>395</v>
      </c>
      <c r="ID25" t="s">
        <v>395</v>
      </c>
      <c r="IE25" t="s">
        <v>395</v>
      </c>
      <c r="IF25" t="s">
        <v>395</v>
      </c>
      <c r="IH25" t="s">
        <v>235</v>
      </c>
    </row>
    <row r="26" spans="1:242" x14ac:dyDescent="0.35">
      <c r="A26" s="310" t="s">
        <v>433</v>
      </c>
      <c r="B26" s="313" t="s">
        <v>434</v>
      </c>
      <c r="C26" s="310" t="s">
        <v>435</v>
      </c>
      <c r="D26" s="316"/>
      <c r="F26" t="s">
        <v>436</v>
      </c>
      <c r="I26" s="310" t="s">
        <v>437</v>
      </c>
      <c r="M26" s="313" t="s">
        <v>220</v>
      </c>
      <c r="O26" t="s">
        <v>221</v>
      </c>
      <c r="P26" s="381"/>
      <c r="Q26" t="s">
        <v>221</v>
      </c>
      <c r="T26" s="8"/>
      <c r="U26"/>
      <c r="V26" s="313"/>
      <c r="W26" t="s">
        <v>220</v>
      </c>
      <c r="X26" t="s">
        <v>220</v>
      </c>
      <c r="Z26"/>
      <c r="AB26" t="s">
        <v>220</v>
      </c>
      <c r="AD26" s="8" t="s">
        <v>222</v>
      </c>
      <c r="AF26" s="8" t="s">
        <v>222</v>
      </c>
      <c r="AG26"/>
      <c r="AH26"/>
      <c r="AI26"/>
      <c r="AJ26" t="s">
        <v>221</v>
      </c>
      <c r="AK26">
        <v>0</v>
      </c>
      <c r="AL26">
        <v>1</v>
      </c>
      <c r="AM26" t="s">
        <v>221</v>
      </c>
      <c r="AN26" t="s">
        <v>249</v>
      </c>
      <c r="AO26" t="s">
        <v>221</v>
      </c>
      <c r="AP26"/>
      <c r="AQ26" t="s">
        <v>221</v>
      </c>
      <c r="AR26" t="s">
        <v>225</v>
      </c>
      <c r="AS26" t="s">
        <v>221</v>
      </c>
      <c r="AT26" t="s">
        <v>223</v>
      </c>
      <c r="AU26" t="s">
        <v>220</v>
      </c>
      <c r="AV26"/>
      <c r="AW26" s="313" t="s">
        <v>220</v>
      </c>
      <c r="AX26" t="s">
        <v>226</v>
      </c>
      <c r="AY26" s="313" t="s">
        <v>220</v>
      </c>
      <c r="AZ26" s="313">
        <v>0.17</v>
      </c>
      <c r="BB26" s="313" t="s">
        <v>220</v>
      </c>
      <c r="BC26">
        <v>0.104</v>
      </c>
      <c r="BD26" t="s">
        <v>220</v>
      </c>
      <c r="BE26">
        <v>8.1699999999999995E-2</v>
      </c>
      <c r="BF26" s="2" t="s">
        <v>220</v>
      </c>
      <c r="BH26" s="2" t="s">
        <v>228</v>
      </c>
      <c r="BI26" s="2" t="s">
        <v>229</v>
      </c>
      <c r="BM26"/>
      <c r="BO26" t="s">
        <v>220</v>
      </c>
      <c r="BP26" s="8"/>
      <c r="BQ26" t="s">
        <v>230</v>
      </c>
      <c r="BR26" t="s">
        <v>222</v>
      </c>
      <c r="BU26" t="s">
        <v>231</v>
      </c>
      <c r="BV26" t="s">
        <v>223</v>
      </c>
      <c r="BW26" t="s">
        <v>232</v>
      </c>
      <c r="BX26" t="s">
        <v>276</v>
      </c>
      <c r="BY26" t="s">
        <v>220</v>
      </c>
      <c r="BZ26">
        <v>0.35799999999999998</v>
      </c>
      <c r="CA26" t="s">
        <v>234</v>
      </c>
      <c r="CF26" t="s">
        <v>220</v>
      </c>
      <c r="CG26">
        <v>5.4699999999999999E-2</v>
      </c>
      <c r="CH26" t="s">
        <v>220</v>
      </c>
      <c r="CI26">
        <v>4.7600000000000003E-2</v>
      </c>
      <c r="CK26" t="s">
        <v>220</v>
      </c>
      <c r="CL26"/>
      <c r="CM26"/>
      <c r="CS26" s="8"/>
      <c r="CW26" t="s">
        <v>220</v>
      </c>
      <c r="CX26" t="s">
        <v>220</v>
      </c>
      <c r="CY26" t="s">
        <v>231</v>
      </c>
      <c r="CZ26" t="s">
        <v>220</v>
      </c>
      <c r="DA26" t="s">
        <v>220</v>
      </c>
      <c r="DB26" t="s">
        <v>220</v>
      </c>
      <c r="DC26"/>
      <c r="DD26"/>
      <c r="DE26"/>
      <c r="DF26"/>
      <c r="DG26"/>
      <c r="DH26" s="323"/>
      <c r="DI26" s="323"/>
      <c r="DJ26" s="323"/>
      <c r="DL26" t="s">
        <v>257</v>
      </c>
      <c r="DM26" t="s">
        <v>220</v>
      </c>
      <c r="DN26" t="s">
        <v>257</v>
      </c>
      <c r="DO26" t="s">
        <v>220</v>
      </c>
      <c r="DP26" t="s">
        <v>220</v>
      </c>
      <c r="DQ26" s="326" t="s">
        <v>258</v>
      </c>
      <c r="DR26" s="335">
        <v>1680</v>
      </c>
      <c r="DS26" s="309">
        <v>266.37900000000002</v>
      </c>
      <c r="DU26" s="309">
        <v>211.83799999999999</v>
      </c>
      <c r="DW26">
        <v>6.96</v>
      </c>
      <c r="DX26" t="s">
        <v>238</v>
      </c>
      <c r="DY26">
        <v>594</v>
      </c>
      <c r="DZ26" t="s">
        <v>238</v>
      </c>
      <c r="EA26"/>
      <c r="EB26"/>
      <c r="ED26" s="410">
        <v>50</v>
      </c>
      <c r="EE26" s="1"/>
      <c r="EF26" s="8" t="s">
        <v>324</v>
      </c>
      <c r="EG26" s="410">
        <v>50</v>
      </c>
      <c r="EH26" s="8" t="s">
        <v>324</v>
      </c>
      <c r="EI26" s="410"/>
      <c r="EK26" s="334">
        <v>200</v>
      </c>
      <c r="EL26" s="8" t="s">
        <v>324</v>
      </c>
      <c r="EM26"/>
      <c r="EQ26" s="344"/>
      <c r="EU26" s="344"/>
      <c r="EW26" s="381">
        <v>250</v>
      </c>
      <c r="EX26" s="8" t="s">
        <v>259</v>
      </c>
      <c r="EY26" s="1"/>
      <c r="FA26">
        <v>102.03</v>
      </c>
      <c r="FB26" t="s">
        <v>236</v>
      </c>
      <c r="FC26" s="7">
        <v>140.83156323665287</v>
      </c>
      <c r="FD26" s="357" t="s">
        <v>225</v>
      </c>
      <c r="FE26" s="8">
        <v>71.862115838045796</v>
      </c>
      <c r="FF26" t="s">
        <v>237</v>
      </c>
      <c r="FH26" s="9">
        <v>126.24087614670488</v>
      </c>
      <c r="FI26" s="9" t="s">
        <v>225</v>
      </c>
      <c r="FJ26">
        <v>50.5</v>
      </c>
      <c r="FK26" t="s">
        <v>238</v>
      </c>
      <c r="FL26">
        <v>275</v>
      </c>
      <c r="FM26">
        <v>245.98011487888536</v>
      </c>
      <c r="FN26" s="5" t="s">
        <v>237</v>
      </c>
      <c r="FP26" s="6">
        <v>12.5</v>
      </c>
      <c r="FQ26" t="s">
        <v>353</v>
      </c>
      <c r="FS26" t="s">
        <v>261</v>
      </c>
      <c r="FU26" s="8">
        <v>2</v>
      </c>
      <c r="FV26" s="8">
        <v>10</v>
      </c>
      <c r="FW26" s="8">
        <v>10</v>
      </c>
      <c r="FX26" s="8">
        <v>10</v>
      </c>
      <c r="FY26" s="8">
        <v>3</v>
      </c>
      <c r="FZ26">
        <f t="shared" si="0"/>
        <v>6000</v>
      </c>
      <c r="GA26" s="7" t="s">
        <v>241</v>
      </c>
      <c r="GB26" s="7" t="s">
        <v>241</v>
      </c>
      <c r="GC26" s="6">
        <v>30</v>
      </c>
      <c r="GD26" s="348" t="s">
        <v>242</v>
      </c>
      <c r="GE26" s="6">
        <v>0.5</v>
      </c>
      <c r="GF26" s="6">
        <v>1.6833333333333332E-2</v>
      </c>
      <c r="GH26" s="7"/>
      <c r="GI26" s="441"/>
      <c r="GJ26" s="441"/>
      <c r="GK26" s="441"/>
      <c r="GL26" s="441"/>
      <c r="GM26" s="454"/>
      <c r="GN26" s="441"/>
      <c r="GO26" s="441"/>
      <c r="GP26" s="441"/>
      <c r="GQ26" s="441"/>
      <c r="GR26" s="441"/>
      <c r="GS26" s="441"/>
      <c r="GT26" s="441"/>
      <c r="GU26" s="441"/>
      <c r="GV26" s="441"/>
      <c r="GW26" s="441"/>
      <c r="GX26" s="441"/>
      <c r="GY26" s="441"/>
      <c r="GZ26" s="441"/>
      <c r="HA26" s="441"/>
      <c r="HB26" s="441"/>
      <c r="HC26" s="441"/>
      <c r="HD26" s="441"/>
      <c r="HE26" s="441"/>
      <c r="HF26" s="441"/>
      <c r="HG26" s="441"/>
      <c r="HH26" s="441"/>
      <c r="HI26" s="441"/>
      <c r="HJ26" s="441"/>
      <c r="HK26" s="441"/>
      <c r="HL26" s="441"/>
      <c r="HM26" s="441"/>
      <c r="HN26" s="441"/>
      <c r="HO26" s="441"/>
      <c r="HP26" s="441"/>
      <c r="HQ26" s="441"/>
      <c r="HR26" s="441"/>
      <c r="HS26" s="441"/>
      <c r="HT26" s="441"/>
      <c r="HU26" s="441"/>
      <c r="HV26" s="441"/>
      <c r="HW26" s="441"/>
      <c r="HX26" s="441"/>
      <c r="HY26" s="441"/>
      <c r="HZ26" s="441"/>
      <c r="IA26" s="441"/>
      <c r="IB26" s="441"/>
      <c r="IC26" s="441"/>
      <c r="ID26" s="441"/>
      <c r="IE26" s="441"/>
      <c r="IF26" s="441"/>
      <c r="IH26" t="s">
        <v>235</v>
      </c>
    </row>
    <row r="27" spans="1:242" x14ac:dyDescent="0.35">
      <c r="A27" s="310" t="s">
        <v>438</v>
      </c>
      <c r="B27" s="313" t="s">
        <v>439</v>
      </c>
      <c r="C27" s="310" t="s">
        <v>440</v>
      </c>
      <c r="D27" s="316"/>
      <c r="F27" t="s">
        <v>441</v>
      </c>
      <c r="I27" s="310" t="s">
        <v>442</v>
      </c>
      <c r="M27" s="313"/>
      <c r="O27" t="s">
        <v>221</v>
      </c>
      <c r="P27" s="381"/>
      <c r="Q27" t="s">
        <v>221</v>
      </c>
      <c r="T27" s="8"/>
      <c r="U27" t="s">
        <v>221</v>
      </c>
      <c r="V27" s="313"/>
      <c r="W27" t="s">
        <v>220</v>
      </c>
      <c r="X27" t="s">
        <v>220</v>
      </c>
      <c r="Z27"/>
      <c r="AB27"/>
      <c r="AD27" s="8" t="s">
        <v>230</v>
      </c>
      <c r="AF27" s="8" t="s">
        <v>230</v>
      </c>
      <c r="AG27"/>
      <c r="AH27"/>
      <c r="AI27"/>
      <c r="AJ27" t="s">
        <v>221</v>
      </c>
      <c r="AK27">
        <v>0</v>
      </c>
      <c r="AL27">
        <v>1</v>
      </c>
      <c r="AM27" t="s">
        <v>221</v>
      </c>
      <c r="AN27" t="s">
        <v>249</v>
      </c>
      <c r="AO27" t="s">
        <v>224</v>
      </c>
      <c r="AP27"/>
      <c r="AQ27" t="s">
        <v>221</v>
      </c>
      <c r="AR27" t="s">
        <v>225</v>
      </c>
      <c r="AS27" t="s">
        <v>221</v>
      </c>
      <c r="AT27"/>
      <c r="AU27" t="s">
        <v>220</v>
      </c>
      <c r="AV27"/>
      <c r="AW27" s="313" t="s">
        <v>220</v>
      </c>
      <c r="AX27" t="s">
        <v>226</v>
      </c>
      <c r="AY27" s="313" t="s">
        <v>220</v>
      </c>
      <c r="AZ27" s="313">
        <v>0.17599999999999999</v>
      </c>
      <c r="BB27" s="313" t="s">
        <v>220</v>
      </c>
      <c r="BC27">
        <v>9.8000000000000004E-2</v>
      </c>
      <c r="BD27" t="s">
        <v>220</v>
      </c>
      <c r="BE27">
        <v>0.20499999999999999</v>
      </c>
      <c r="BF27" s="2" t="s">
        <v>220</v>
      </c>
      <c r="BH27" s="2" t="s">
        <v>228</v>
      </c>
      <c r="BI27" s="2" t="s">
        <v>424</v>
      </c>
      <c r="BM27"/>
      <c r="BP27" s="8"/>
      <c r="BQ27" t="s">
        <v>230</v>
      </c>
      <c r="BR27" t="s">
        <v>230</v>
      </c>
      <c r="BU27" t="s">
        <v>231</v>
      </c>
      <c r="BV27" t="s">
        <v>225</v>
      </c>
      <c r="BW27" t="s">
        <v>232</v>
      </c>
      <c r="BX27" t="s">
        <v>276</v>
      </c>
      <c r="BY27" t="s">
        <v>220</v>
      </c>
      <c r="BZ27">
        <v>0.36099999999999999</v>
      </c>
      <c r="CA27" t="s">
        <v>372</v>
      </c>
      <c r="CF27" t="s">
        <v>220</v>
      </c>
      <c r="CG27">
        <v>0.37</v>
      </c>
      <c r="CH27" t="s">
        <v>257</v>
      </c>
      <c r="CI27">
        <v>0.65200000000000002</v>
      </c>
      <c r="CK27"/>
      <c r="CL27"/>
      <c r="CM27"/>
      <c r="CS27" s="8"/>
      <c r="CW27" t="s">
        <v>220</v>
      </c>
      <c r="CX27" t="s">
        <v>220</v>
      </c>
      <c r="CY27" t="s">
        <v>231</v>
      </c>
      <c r="CZ27" t="s">
        <v>257</v>
      </c>
      <c r="DA27" t="s">
        <v>227</v>
      </c>
      <c r="DB27" t="s">
        <v>220</v>
      </c>
      <c r="DC27"/>
      <c r="DD27"/>
      <c r="DE27"/>
      <c r="DF27"/>
      <c r="DG27"/>
      <c r="DH27" s="323"/>
      <c r="DI27" s="323"/>
      <c r="DJ27" s="323"/>
      <c r="DL27" t="s">
        <v>257</v>
      </c>
      <c r="DM27" t="s">
        <v>220</v>
      </c>
      <c r="DN27" t="s">
        <v>227</v>
      </c>
      <c r="DO27" t="s">
        <v>220</v>
      </c>
      <c r="DP27" t="s">
        <v>257</v>
      </c>
      <c r="DS27" s="309">
        <v>26.518000000000001</v>
      </c>
      <c r="DU27" s="309">
        <v>418.71899999999999</v>
      </c>
      <c r="DW27">
        <v>8.3799999999999999E-2</v>
      </c>
      <c r="DX27" t="s">
        <v>238</v>
      </c>
      <c r="DY27"/>
      <c r="DZ27" t="s">
        <v>235</v>
      </c>
      <c r="EA27"/>
      <c r="EB27"/>
      <c r="ED27" s="410"/>
      <c r="EE27" s="1"/>
      <c r="EG27" s="410"/>
      <c r="EI27" s="410"/>
      <c r="EK27" s="1"/>
      <c r="EM27"/>
      <c r="EQ27" s="344"/>
      <c r="EU27" s="344"/>
      <c r="EW27" s="409"/>
      <c r="EY27" s="1"/>
      <c r="FA27">
        <v>114.88</v>
      </c>
      <c r="FB27" t="s">
        <v>223</v>
      </c>
      <c r="FC27" s="7">
        <v>125.11229769215957</v>
      </c>
      <c r="FD27" s="357" t="s">
        <v>225</v>
      </c>
      <c r="FE27" s="8">
        <v>88.674755565404212</v>
      </c>
      <c r="FF27" t="s">
        <v>237</v>
      </c>
      <c r="FH27" s="9">
        <v>161.1387535720003</v>
      </c>
      <c r="FI27" s="9" t="s">
        <v>225</v>
      </c>
      <c r="FK27" t="s">
        <v>235</v>
      </c>
      <c r="FL27">
        <v>178</v>
      </c>
      <c r="FM27">
        <v>196.74332193069662</v>
      </c>
      <c r="FN27" s="5" t="s">
        <v>237</v>
      </c>
      <c r="FP27" s="6">
        <v>9.8371660965348315</v>
      </c>
      <c r="FQ27" t="s">
        <v>277</v>
      </c>
      <c r="FS27" t="s">
        <v>240</v>
      </c>
      <c r="FU27" s="8">
        <v>2</v>
      </c>
      <c r="FV27" s="8">
        <v>10</v>
      </c>
      <c r="FW27" s="8">
        <v>10</v>
      </c>
      <c r="FX27" s="8">
        <v>10</v>
      </c>
      <c r="FY27" s="8">
        <v>3</v>
      </c>
      <c r="FZ27">
        <f t="shared" si="0"/>
        <v>6000</v>
      </c>
      <c r="GA27" s="7" t="s">
        <v>326</v>
      </c>
      <c r="GB27" s="7" t="s">
        <v>326</v>
      </c>
      <c r="GC27" s="6">
        <v>1.5</v>
      </c>
      <c r="GD27" s="348" t="s">
        <v>242</v>
      </c>
      <c r="GF27" s="6">
        <v>5.9333333333333335E-2</v>
      </c>
      <c r="GH27" s="7"/>
      <c r="GI27" s="441">
        <v>0.219</v>
      </c>
      <c r="GJ27" s="441">
        <v>0.41</v>
      </c>
      <c r="GK27" s="441">
        <v>0.65600000000000003</v>
      </c>
      <c r="GL27" s="441">
        <v>1.64</v>
      </c>
      <c r="GM27" s="452" t="s">
        <v>262</v>
      </c>
      <c r="GN27" s="6">
        <v>0.01</v>
      </c>
      <c r="GO27" s="6">
        <v>1.8749999999999999E-2</v>
      </c>
      <c r="GP27" s="6">
        <v>0.03</v>
      </c>
      <c r="GQ27" s="6">
        <v>7.4999999999999997E-2</v>
      </c>
      <c r="GR27" s="6" t="s">
        <v>230</v>
      </c>
      <c r="GT27" t="s">
        <v>443</v>
      </c>
      <c r="GU27" t="s">
        <v>243</v>
      </c>
      <c r="GV27" t="s">
        <v>236</v>
      </c>
      <c r="GW27" t="s">
        <v>444</v>
      </c>
      <c r="GY27" t="s">
        <v>265</v>
      </c>
      <c r="HE27" t="s">
        <v>384</v>
      </c>
      <c r="HF27" t="s">
        <v>223</v>
      </c>
      <c r="HG27" t="s">
        <v>231</v>
      </c>
      <c r="HH27" t="s">
        <v>223</v>
      </c>
      <c r="HI27" t="s">
        <v>247</v>
      </c>
      <c r="HJ27" t="s">
        <v>223</v>
      </c>
      <c r="HK27" t="s">
        <v>266</v>
      </c>
      <c r="HL27" t="s">
        <v>231</v>
      </c>
      <c r="HM27" t="s">
        <v>231</v>
      </c>
      <c r="HO27" t="s">
        <v>231</v>
      </c>
      <c r="HP27" t="s">
        <v>249</v>
      </c>
      <c r="HQ27" t="s">
        <v>231</v>
      </c>
      <c r="HR27" t="s">
        <v>249</v>
      </c>
      <c r="HU27" t="s">
        <v>231</v>
      </c>
      <c r="HV27" t="s">
        <v>223</v>
      </c>
      <c r="HW27" t="s">
        <v>246</v>
      </c>
      <c r="HX27" t="s">
        <v>236</v>
      </c>
      <c r="IA27" t="s">
        <v>231</v>
      </c>
      <c r="IB27" t="s">
        <v>250</v>
      </c>
      <c r="IC27">
        <v>0.219</v>
      </c>
      <c r="ID27">
        <v>0.41</v>
      </c>
      <c r="IE27">
        <v>0.65600000000000003</v>
      </c>
      <c r="IF27">
        <v>1.64</v>
      </c>
      <c r="IH27" t="s">
        <v>267</v>
      </c>
    </row>
    <row r="28" spans="1:242" ht="72.5" x14ac:dyDescent="0.35">
      <c r="A28" s="310" t="s">
        <v>445</v>
      </c>
      <c r="B28" s="313" t="s">
        <v>446</v>
      </c>
      <c r="C28" s="310" t="s">
        <v>447</v>
      </c>
      <c r="D28" s="316"/>
      <c r="F28" t="s">
        <v>448</v>
      </c>
      <c r="I28" s="310" t="s">
        <v>449</v>
      </c>
      <c r="M28" s="313"/>
      <c r="O28"/>
      <c r="P28" s="381"/>
      <c r="Q28"/>
      <c r="T28" s="8"/>
      <c r="U28"/>
      <c r="V28" s="313"/>
      <c r="W28" t="s">
        <v>301</v>
      </c>
      <c r="X28"/>
      <c r="Z28"/>
      <c r="AB28"/>
      <c r="AD28" s="8" t="s">
        <v>230</v>
      </c>
      <c r="AF28" s="8" t="s">
        <v>230</v>
      </c>
      <c r="AG28"/>
      <c r="AH28"/>
      <c r="AI28"/>
      <c r="AJ28" t="s">
        <v>221</v>
      </c>
      <c r="AK28">
        <v>0</v>
      </c>
      <c r="AL28">
        <v>0.67500000000000004</v>
      </c>
      <c r="AM28" t="s">
        <v>221</v>
      </c>
      <c r="AN28" t="s">
        <v>225</v>
      </c>
      <c r="AO28" t="s">
        <v>221</v>
      </c>
      <c r="AP28" t="s">
        <v>225</v>
      </c>
      <c r="AQ28" t="s">
        <v>221</v>
      </c>
      <c r="AR28" t="s">
        <v>225</v>
      </c>
      <c r="AS28" t="s">
        <v>221</v>
      </c>
      <c r="AT28" t="s">
        <v>223</v>
      </c>
      <c r="AU28" t="s">
        <v>220</v>
      </c>
      <c r="AV28"/>
      <c r="AW28" s="313" t="s">
        <v>220</v>
      </c>
      <c r="AX28" t="s">
        <v>226</v>
      </c>
      <c r="AY28" s="313" t="s">
        <v>220</v>
      </c>
      <c r="AZ28" s="313">
        <v>5.45E-2</v>
      </c>
      <c r="BB28" s="313" t="s">
        <v>220</v>
      </c>
      <c r="BC28">
        <v>3.4099999999999998E-2</v>
      </c>
      <c r="BD28" t="s">
        <v>220</v>
      </c>
      <c r="BE28">
        <v>4.2099999999999999E-2</v>
      </c>
      <c r="BF28" s="2" t="s">
        <v>220</v>
      </c>
      <c r="BG28" s="2" t="s">
        <v>273</v>
      </c>
      <c r="BH28" s="2" t="s">
        <v>274</v>
      </c>
      <c r="BI28" s="2" t="s">
        <v>275</v>
      </c>
      <c r="BM28"/>
      <c r="BP28" s="8"/>
      <c r="BQ28" t="s">
        <v>230</v>
      </c>
      <c r="BR28" t="s">
        <v>230</v>
      </c>
      <c r="BU28" t="s">
        <v>231</v>
      </c>
      <c r="BV28" t="s">
        <v>223</v>
      </c>
      <c r="BW28" t="s">
        <v>232</v>
      </c>
      <c r="BX28" t="s">
        <v>276</v>
      </c>
      <c r="BY28" t="s">
        <v>220</v>
      </c>
      <c r="BZ28">
        <v>0.224</v>
      </c>
      <c r="CA28" t="s">
        <v>234</v>
      </c>
      <c r="CF28" t="s">
        <v>220</v>
      </c>
      <c r="CG28">
        <v>9.01E-2</v>
      </c>
      <c r="CH28" t="s">
        <v>220</v>
      </c>
      <c r="CI28">
        <v>3.95E-2</v>
      </c>
      <c r="CK28"/>
      <c r="CL28"/>
      <c r="CM28"/>
      <c r="CS28" s="8"/>
      <c r="CW28" t="s">
        <v>220</v>
      </c>
      <c r="CX28" t="s">
        <v>220</v>
      </c>
      <c r="CY28" t="s">
        <v>231</v>
      </c>
      <c r="CZ28" t="s">
        <v>220</v>
      </c>
      <c r="DA28" t="s">
        <v>220</v>
      </c>
      <c r="DB28" t="s">
        <v>220</v>
      </c>
      <c r="DC28"/>
      <c r="DD28"/>
      <c r="DE28"/>
      <c r="DF28"/>
      <c r="DG28"/>
      <c r="DH28" s="323"/>
      <c r="DI28" s="323"/>
      <c r="DJ28" s="323"/>
      <c r="DL28" t="s">
        <v>220</v>
      </c>
      <c r="DM28" t="s">
        <v>220</v>
      </c>
      <c r="DN28" t="s">
        <v>257</v>
      </c>
      <c r="DO28" t="s">
        <v>220</v>
      </c>
      <c r="DP28" t="s">
        <v>257</v>
      </c>
      <c r="DS28" s="338">
        <v>848.08600000000001</v>
      </c>
      <c r="DT28" s="8" t="s">
        <v>394</v>
      </c>
      <c r="DU28" s="309">
        <v>282.29599999999999</v>
      </c>
      <c r="DW28">
        <v>23.8</v>
      </c>
      <c r="DX28" t="s">
        <v>238</v>
      </c>
      <c r="DY28">
        <v>1410</v>
      </c>
      <c r="DZ28" t="s">
        <v>238</v>
      </c>
      <c r="EA28"/>
      <c r="EB28"/>
      <c r="ED28" s="410"/>
      <c r="EE28" s="1"/>
      <c r="EG28" s="410"/>
      <c r="EI28" s="410"/>
      <c r="EK28" s="1"/>
      <c r="EM28"/>
      <c r="EQ28" s="344"/>
      <c r="EU28" s="344"/>
      <c r="EW28" s="409"/>
      <c r="EY28" s="1"/>
      <c r="FA28">
        <v>208.98</v>
      </c>
      <c r="FB28" t="s">
        <v>225</v>
      </c>
      <c r="FC28" s="7">
        <v>876.19344540405575</v>
      </c>
      <c r="FD28" s="357" t="s">
        <v>225</v>
      </c>
      <c r="FE28" s="8">
        <v>47.874031366341619</v>
      </c>
      <c r="FF28" t="s">
        <v>237</v>
      </c>
      <c r="FH28" s="9">
        <v>480.9500785491</v>
      </c>
      <c r="FI28" s="9" t="s">
        <v>225</v>
      </c>
      <c r="FJ28">
        <v>186</v>
      </c>
      <c r="FK28" t="s">
        <v>238</v>
      </c>
      <c r="FL28">
        <v>482</v>
      </c>
      <c r="FM28">
        <v>373.5080789430624</v>
      </c>
      <c r="FN28" s="5" t="s">
        <v>237</v>
      </c>
      <c r="FP28" s="6">
        <v>18.600000000000001</v>
      </c>
      <c r="FQ28" t="s">
        <v>450</v>
      </c>
      <c r="FS28" t="s">
        <v>240</v>
      </c>
      <c r="FU28" s="8">
        <v>1</v>
      </c>
      <c r="FV28" s="8">
        <v>10</v>
      </c>
      <c r="FW28" s="8">
        <v>10</v>
      </c>
      <c r="FX28" s="8">
        <v>10</v>
      </c>
      <c r="FY28" s="8">
        <v>3</v>
      </c>
      <c r="FZ28">
        <f t="shared" si="0"/>
        <v>3000</v>
      </c>
      <c r="GA28" s="7" t="s">
        <v>241</v>
      </c>
      <c r="GB28" s="7" t="s">
        <v>241</v>
      </c>
      <c r="GC28" s="6">
        <v>30</v>
      </c>
      <c r="GD28" s="348" t="s">
        <v>242</v>
      </c>
      <c r="GF28" s="6">
        <v>6.2E-2</v>
      </c>
      <c r="GH28" s="7"/>
      <c r="GI28" s="445"/>
      <c r="GJ28" s="445"/>
      <c r="GK28" s="445"/>
      <c r="GL28" s="445"/>
      <c r="GM28" s="460" t="s">
        <v>278</v>
      </c>
      <c r="GN28" s="448"/>
      <c r="GO28" s="448"/>
      <c r="GP28" s="448"/>
      <c r="GQ28" s="448"/>
      <c r="GR28" s="460" t="s">
        <v>278</v>
      </c>
      <c r="GU28" t="s">
        <v>365</v>
      </c>
      <c r="GV28" t="s">
        <v>225</v>
      </c>
      <c r="GW28" t="s">
        <v>244</v>
      </c>
      <c r="GX28" t="s">
        <v>236</v>
      </c>
      <c r="GY28" t="s">
        <v>245</v>
      </c>
      <c r="HE28" t="s">
        <v>246</v>
      </c>
      <c r="HF28" t="s">
        <v>236</v>
      </c>
      <c r="HG28" t="s">
        <v>317</v>
      </c>
      <c r="HH28" t="s">
        <v>223</v>
      </c>
      <c r="HI28" t="s">
        <v>247</v>
      </c>
      <c r="HJ28" t="s">
        <v>223</v>
      </c>
      <c r="HK28" t="s">
        <v>266</v>
      </c>
      <c r="HO28" t="s">
        <v>231</v>
      </c>
      <c r="HP28" t="s">
        <v>223</v>
      </c>
      <c r="HQ28" t="s">
        <v>231</v>
      </c>
      <c r="HR28" t="s">
        <v>223</v>
      </c>
      <c r="HU28" t="s">
        <v>231</v>
      </c>
      <c r="HV28" t="s">
        <v>223</v>
      </c>
      <c r="HW28" t="s">
        <v>246</v>
      </c>
      <c r="HX28" t="s">
        <v>236</v>
      </c>
      <c r="IA28" t="s">
        <v>231</v>
      </c>
      <c r="IB28" t="s">
        <v>250</v>
      </c>
      <c r="IC28" s="447"/>
      <c r="ID28" s="447"/>
      <c r="IE28" s="447"/>
      <c r="IF28" s="447"/>
      <c r="IG28" s="459" t="s">
        <v>451</v>
      </c>
      <c r="IH28" t="s">
        <v>235</v>
      </c>
    </row>
    <row r="29" spans="1:242" x14ac:dyDescent="0.35">
      <c r="A29" s="310" t="s">
        <v>452</v>
      </c>
      <c r="B29" s="313" t="s">
        <v>453</v>
      </c>
      <c r="C29" s="310" t="s">
        <v>454</v>
      </c>
      <c r="D29" s="316"/>
      <c r="F29" t="s">
        <v>455</v>
      </c>
      <c r="I29" s="310" t="s">
        <v>456</v>
      </c>
      <c r="M29" s="313"/>
      <c r="O29" t="s">
        <v>221</v>
      </c>
      <c r="P29" s="381"/>
      <c r="Q29" t="s">
        <v>221</v>
      </c>
      <c r="T29" s="8"/>
      <c r="U29" t="s">
        <v>221</v>
      </c>
      <c r="V29" s="313"/>
      <c r="W29" t="s">
        <v>220</v>
      </c>
      <c r="X29" t="s">
        <v>220</v>
      </c>
      <c r="Z29" t="s">
        <v>220</v>
      </c>
      <c r="AB29"/>
      <c r="AD29" s="8" t="s">
        <v>222</v>
      </c>
      <c r="AF29" s="8" t="s">
        <v>230</v>
      </c>
      <c r="AG29"/>
      <c r="AH29"/>
      <c r="AI29"/>
      <c r="AJ29" t="s">
        <v>221</v>
      </c>
      <c r="AK29">
        <v>0</v>
      </c>
      <c r="AL29">
        <v>1</v>
      </c>
      <c r="AM29" t="s">
        <v>221</v>
      </c>
      <c r="AN29" t="s">
        <v>249</v>
      </c>
      <c r="AO29" t="s">
        <v>224</v>
      </c>
      <c r="AP29"/>
      <c r="AQ29" t="s">
        <v>221</v>
      </c>
      <c r="AR29" t="s">
        <v>223</v>
      </c>
      <c r="AS29" t="s">
        <v>221</v>
      </c>
      <c r="AT29"/>
      <c r="AU29" t="s">
        <v>220</v>
      </c>
      <c r="AV29"/>
      <c r="AW29" s="313" t="s">
        <v>220</v>
      </c>
      <c r="AX29" t="s">
        <v>226</v>
      </c>
      <c r="AY29" s="313" t="s">
        <v>220</v>
      </c>
      <c r="AZ29" s="313">
        <v>0.313</v>
      </c>
      <c r="BB29" s="313" t="s">
        <v>220</v>
      </c>
      <c r="BC29">
        <v>0.223</v>
      </c>
      <c r="BD29" t="s">
        <v>220</v>
      </c>
      <c r="BE29">
        <v>0.17899999999999999</v>
      </c>
      <c r="BF29" s="2" t="s">
        <v>220</v>
      </c>
      <c r="BH29" s="2" t="s">
        <v>228</v>
      </c>
      <c r="BI29" s="2" t="s">
        <v>457</v>
      </c>
      <c r="BM29"/>
      <c r="BP29" s="8"/>
      <c r="BQ29" t="s">
        <v>230</v>
      </c>
      <c r="BR29" t="s">
        <v>222</v>
      </c>
      <c r="BU29" t="s">
        <v>293</v>
      </c>
      <c r="BV29" t="s">
        <v>236</v>
      </c>
      <c r="BW29" t="s">
        <v>293</v>
      </c>
      <c r="BX29" t="s">
        <v>458</v>
      </c>
      <c r="BY29" t="s">
        <v>257</v>
      </c>
      <c r="BZ29">
        <v>0.502</v>
      </c>
      <c r="CA29" t="s">
        <v>234</v>
      </c>
      <c r="CF29" t="s">
        <v>220</v>
      </c>
      <c r="CG29">
        <v>0.27800000000000002</v>
      </c>
      <c r="CH29" t="s">
        <v>227</v>
      </c>
      <c r="CI29">
        <v>0.247</v>
      </c>
      <c r="CK29"/>
      <c r="CL29" t="s">
        <v>220</v>
      </c>
      <c r="CM29" t="s">
        <v>231</v>
      </c>
      <c r="CS29" s="8"/>
      <c r="CW29" t="s">
        <v>220</v>
      </c>
      <c r="CX29" t="s">
        <v>220</v>
      </c>
      <c r="CY29" t="s">
        <v>231</v>
      </c>
      <c r="CZ29" t="s">
        <v>220</v>
      </c>
      <c r="DA29" t="s">
        <v>227</v>
      </c>
      <c r="DB29" t="s">
        <v>220</v>
      </c>
      <c r="DC29"/>
      <c r="DD29"/>
      <c r="DE29"/>
      <c r="DF29"/>
      <c r="DG29"/>
      <c r="DH29" s="323"/>
      <c r="DI29" s="323"/>
      <c r="DJ29" s="323"/>
      <c r="DL29" t="s">
        <v>257</v>
      </c>
      <c r="DM29" t="s">
        <v>220</v>
      </c>
      <c r="DN29" t="s">
        <v>257</v>
      </c>
      <c r="DO29" t="s">
        <v>227</v>
      </c>
      <c r="DP29" t="s">
        <v>227</v>
      </c>
      <c r="DS29" s="309">
        <v>166.113</v>
      </c>
      <c r="DU29" s="309">
        <v>153.155</v>
      </c>
      <c r="DW29">
        <v>3800</v>
      </c>
      <c r="DX29" t="s">
        <v>267</v>
      </c>
      <c r="DY29">
        <v>72.8</v>
      </c>
      <c r="DZ29" t="s">
        <v>238</v>
      </c>
      <c r="EA29"/>
      <c r="EB29"/>
      <c r="ED29" s="410"/>
      <c r="EE29" s="1"/>
      <c r="EG29" s="410"/>
      <c r="EI29" s="410"/>
      <c r="EK29" s="1">
        <v>600</v>
      </c>
      <c r="EL29" s="8" t="s">
        <v>259</v>
      </c>
      <c r="EM29"/>
      <c r="EQ29" s="344"/>
      <c r="EU29" s="344"/>
      <c r="EW29" s="409"/>
      <c r="EY29" s="1"/>
      <c r="FA29">
        <v>12.06</v>
      </c>
      <c r="FB29" t="s">
        <v>223</v>
      </c>
      <c r="FC29" s="7">
        <v>46.131757456037953</v>
      </c>
      <c r="FD29" s="357" t="s">
        <v>225</v>
      </c>
      <c r="FE29" s="8">
        <v>28.483935915323627</v>
      </c>
      <c r="FF29" t="s">
        <v>237</v>
      </c>
      <c r="FH29" s="9">
        <v>128.29212537094025</v>
      </c>
      <c r="FI29" s="9" t="s">
        <v>223</v>
      </c>
      <c r="FJ29">
        <v>18.3</v>
      </c>
      <c r="FK29" t="s">
        <v>238</v>
      </c>
      <c r="FL29">
        <v>49.7</v>
      </c>
      <c r="FM29">
        <v>141.54678189209253</v>
      </c>
      <c r="FN29" s="5" t="s">
        <v>237</v>
      </c>
      <c r="FP29" s="6">
        <v>300</v>
      </c>
      <c r="FQ29" t="s">
        <v>260</v>
      </c>
      <c r="FS29" t="s">
        <v>261</v>
      </c>
      <c r="FU29" s="8">
        <v>2</v>
      </c>
      <c r="FV29" s="8">
        <v>10</v>
      </c>
      <c r="FW29" s="8">
        <v>10</v>
      </c>
      <c r="FX29" s="8">
        <v>1</v>
      </c>
      <c r="FY29" s="8">
        <v>3</v>
      </c>
      <c r="FZ29">
        <f t="shared" si="0"/>
        <v>600</v>
      </c>
      <c r="GA29" s="7" t="s">
        <v>241</v>
      </c>
      <c r="GB29" s="7" t="s">
        <v>326</v>
      </c>
      <c r="GC29" s="6">
        <v>1.5</v>
      </c>
      <c r="GD29" s="348" t="s">
        <v>304</v>
      </c>
      <c r="GF29" s="6">
        <v>6.0999999999999995E-3</v>
      </c>
      <c r="GH29" s="7"/>
      <c r="GI29" s="441">
        <v>6.6669999999999998</v>
      </c>
      <c r="GJ29" s="441">
        <v>12.5</v>
      </c>
      <c r="GK29" s="441">
        <v>20</v>
      </c>
      <c r="GL29" s="441">
        <v>50</v>
      </c>
      <c r="GM29" s="452" t="s">
        <v>262</v>
      </c>
      <c r="GN29" s="6">
        <v>0.01</v>
      </c>
      <c r="GO29" s="6">
        <v>1.8749999999999999E-2</v>
      </c>
      <c r="GP29" s="6">
        <v>0.03</v>
      </c>
      <c r="GQ29" s="6">
        <v>7.4999999999999997E-2</v>
      </c>
      <c r="GR29" s="6" t="s">
        <v>230</v>
      </c>
      <c r="GU29" t="s">
        <v>243</v>
      </c>
      <c r="GV29" t="s">
        <v>225</v>
      </c>
      <c r="GW29" t="s">
        <v>359</v>
      </c>
      <c r="GX29" t="s">
        <v>223</v>
      </c>
      <c r="GY29" t="s">
        <v>245</v>
      </c>
      <c r="GZ29" t="s">
        <v>376</v>
      </c>
      <c r="HB29" t="s">
        <v>376</v>
      </c>
      <c r="HE29" t="s">
        <v>247</v>
      </c>
      <c r="HF29" t="s">
        <v>249</v>
      </c>
      <c r="HG29" t="s">
        <v>231</v>
      </c>
      <c r="HH29" t="s">
        <v>223</v>
      </c>
      <c r="HI29" t="s">
        <v>247</v>
      </c>
      <c r="HJ29" t="s">
        <v>249</v>
      </c>
      <c r="HK29" s="12" t="s">
        <v>248</v>
      </c>
      <c r="HL29" t="s">
        <v>231</v>
      </c>
      <c r="HM29" t="s">
        <v>231</v>
      </c>
      <c r="HO29" t="s">
        <v>231</v>
      </c>
      <c r="HP29" t="s">
        <v>249</v>
      </c>
      <c r="HQ29" t="s">
        <v>231</v>
      </c>
      <c r="HR29" t="s">
        <v>249</v>
      </c>
      <c r="HS29" t="s">
        <v>231</v>
      </c>
      <c r="HU29" t="s">
        <v>231</v>
      </c>
      <c r="HV29" t="s">
        <v>249</v>
      </c>
      <c r="HW29" t="s">
        <v>246</v>
      </c>
      <c r="HX29" t="s">
        <v>236</v>
      </c>
      <c r="IA29" t="s">
        <v>231</v>
      </c>
      <c r="IB29" t="s">
        <v>250</v>
      </c>
      <c r="IC29">
        <v>6.6669999999999998</v>
      </c>
      <c r="ID29">
        <v>12.5</v>
      </c>
      <c r="IE29">
        <v>20</v>
      </c>
      <c r="IF29">
        <v>50</v>
      </c>
      <c r="IH29" t="s">
        <v>267</v>
      </c>
    </row>
    <row r="30" spans="1:242" x14ac:dyDescent="0.35">
      <c r="A30" s="310" t="s">
        <v>459</v>
      </c>
      <c r="B30" s="313" t="s">
        <v>460</v>
      </c>
      <c r="C30" s="310" t="s">
        <v>461</v>
      </c>
      <c r="D30" s="316"/>
      <c r="F30" t="s">
        <v>462</v>
      </c>
      <c r="I30" s="310" t="s">
        <v>463</v>
      </c>
      <c r="M30" s="313"/>
      <c r="O30"/>
      <c r="P30" s="381"/>
      <c r="Q30"/>
      <c r="T30" s="8"/>
      <c r="U30"/>
      <c r="V30" s="313"/>
      <c r="W30"/>
      <c r="X30"/>
      <c r="Z30"/>
      <c r="AB30"/>
      <c r="AD30" s="8" t="s">
        <v>230</v>
      </c>
      <c r="AF30" s="8" t="s">
        <v>230</v>
      </c>
      <c r="AG30"/>
      <c r="AH30"/>
      <c r="AI30"/>
      <c r="AJ30" t="s">
        <v>221</v>
      </c>
      <c r="AK30">
        <v>0</v>
      </c>
      <c r="AL30">
        <v>0.75</v>
      </c>
      <c r="AM30" t="s">
        <v>221</v>
      </c>
      <c r="AN30" t="s">
        <v>223</v>
      </c>
      <c r="AO30" t="s">
        <v>221</v>
      </c>
      <c r="AP30" t="s">
        <v>223</v>
      </c>
      <c r="AQ30" t="s">
        <v>221</v>
      </c>
      <c r="AR30" t="s">
        <v>225</v>
      </c>
      <c r="AS30" t="s">
        <v>221</v>
      </c>
      <c r="AT30" t="s">
        <v>225</v>
      </c>
      <c r="AU30" t="s">
        <v>220</v>
      </c>
      <c r="AV30"/>
      <c r="AW30" s="313" t="s">
        <v>220</v>
      </c>
      <c r="AX30" t="s">
        <v>226</v>
      </c>
      <c r="AY30" s="313" t="s">
        <v>220</v>
      </c>
      <c r="AZ30" s="313">
        <v>6.0299999999999999E-2</v>
      </c>
      <c r="BB30" s="313" t="s">
        <v>220</v>
      </c>
      <c r="BC30">
        <v>3.3700000000000001E-2</v>
      </c>
      <c r="BD30" t="s">
        <v>220</v>
      </c>
      <c r="BE30">
        <v>1.78E-2</v>
      </c>
      <c r="BF30" s="2" t="s">
        <v>220</v>
      </c>
      <c r="BG30" s="2" t="s">
        <v>273</v>
      </c>
      <c r="BH30" s="2" t="s">
        <v>274</v>
      </c>
      <c r="BI30" s="2" t="s">
        <v>275</v>
      </c>
      <c r="BM30"/>
      <c r="BP30" s="8"/>
      <c r="BQ30" t="s">
        <v>230</v>
      </c>
      <c r="BR30" t="s">
        <v>230</v>
      </c>
      <c r="BU30" t="s">
        <v>231</v>
      </c>
      <c r="BV30" t="s">
        <v>223</v>
      </c>
      <c r="BW30" t="s">
        <v>232</v>
      </c>
      <c r="BX30" t="s">
        <v>284</v>
      </c>
      <c r="BY30" t="s">
        <v>220</v>
      </c>
      <c r="BZ30">
        <v>0.25</v>
      </c>
      <c r="CA30" t="s">
        <v>234</v>
      </c>
      <c r="CF30" t="s">
        <v>220</v>
      </c>
      <c r="CG30">
        <v>6.7900000000000002E-2</v>
      </c>
      <c r="CH30" t="s">
        <v>220</v>
      </c>
      <c r="CI30">
        <v>9.3100000000000002E-2</v>
      </c>
      <c r="CK30"/>
      <c r="CL30"/>
      <c r="CM30"/>
      <c r="CS30" s="8"/>
      <c r="CW30" t="s">
        <v>220</v>
      </c>
      <c r="CX30" t="s">
        <v>257</v>
      </c>
      <c r="CY30" t="s">
        <v>231</v>
      </c>
      <c r="CZ30" t="s">
        <v>220</v>
      </c>
      <c r="DA30" t="s">
        <v>220</v>
      </c>
      <c r="DB30" t="s">
        <v>227</v>
      </c>
      <c r="DC30"/>
      <c r="DD30"/>
      <c r="DE30"/>
      <c r="DF30"/>
      <c r="DG30"/>
      <c r="DH30" s="323"/>
      <c r="DI30" s="323"/>
      <c r="DJ30" s="323"/>
      <c r="DL30" t="s">
        <v>220</v>
      </c>
      <c r="DM30" t="s">
        <v>220</v>
      </c>
      <c r="DN30" t="s">
        <v>227</v>
      </c>
      <c r="DO30" t="s">
        <v>257</v>
      </c>
      <c r="DP30" t="s">
        <v>257</v>
      </c>
      <c r="DS30" s="309">
        <v>145.649</v>
      </c>
      <c r="DU30" s="309">
        <v>382.80500000000001</v>
      </c>
      <c r="DW30">
        <v>875</v>
      </c>
      <c r="DX30" t="s">
        <v>238</v>
      </c>
      <c r="DY30">
        <v>965</v>
      </c>
      <c r="DZ30" t="s">
        <v>238</v>
      </c>
      <c r="EA30"/>
      <c r="EB30"/>
      <c r="ED30" s="410"/>
      <c r="EE30" s="1"/>
      <c r="EG30" s="410"/>
      <c r="EI30" s="410"/>
      <c r="EK30" s="1"/>
      <c r="EM30"/>
      <c r="EQ30" s="344"/>
      <c r="EU30" s="344"/>
      <c r="EW30" s="409"/>
      <c r="EY30" s="1"/>
      <c r="FA30">
        <v>169.27</v>
      </c>
      <c r="FB30" t="s">
        <v>236</v>
      </c>
      <c r="FC30" s="7">
        <v>614.32756127052198</v>
      </c>
      <c r="FD30" s="357" t="s">
        <v>236</v>
      </c>
      <c r="FE30" s="8">
        <v>6.674212038584769</v>
      </c>
      <c r="FF30" t="s">
        <v>237</v>
      </c>
      <c r="FH30" s="9">
        <v>237.84827169386242</v>
      </c>
      <c r="FI30" s="9" t="s">
        <v>236</v>
      </c>
      <c r="FJ30">
        <v>244</v>
      </c>
      <c r="FK30" t="s">
        <v>238</v>
      </c>
      <c r="FL30">
        <v>270</v>
      </c>
      <c r="FM30">
        <v>21.120295974610197</v>
      </c>
      <c r="FN30" s="5" t="s">
        <v>237</v>
      </c>
      <c r="FP30" s="6">
        <v>1.05601479873051</v>
      </c>
      <c r="FQ30" t="s">
        <v>277</v>
      </c>
      <c r="FS30" t="s">
        <v>240</v>
      </c>
      <c r="FU30" s="8">
        <v>2</v>
      </c>
      <c r="FV30" s="8">
        <v>10</v>
      </c>
      <c r="FW30" s="8">
        <v>10</v>
      </c>
      <c r="FX30" s="8">
        <v>10</v>
      </c>
      <c r="FY30" s="8">
        <v>3</v>
      </c>
      <c r="FZ30">
        <f t="shared" si="0"/>
        <v>6000</v>
      </c>
      <c r="GA30" s="7" t="s">
        <v>326</v>
      </c>
      <c r="GB30" s="7" t="s">
        <v>326</v>
      </c>
      <c r="GC30" s="6">
        <v>1.5</v>
      </c>
      <c r="GD30" s="348" t="s">
        <v>242</v>
      </c>
      <c r="GF30" s="6">
        <v>1.1123686730974615E-2</v>
      </c>
      <c r="GH30" s="7"/>
      <c r="GI30" s="441"/>
      <c r="GJ30" s="441"/>
      <c r="GK30" s="441"/>
      <c r="GL30" s="441"/>
      <c r="GM30" s="454"/>
      <c r="GN30" s="441"/>
      <c r="GO30" s="441"/>
      <c r="GP30" s="441"/>
      <c r="GQ30" s="441"/>
      <c r="GR30" s="441"/>
      <c r="GS30" s="441"/>
      <c r="GT30" s="441"/>
      <c r="GU30" s="441"/>
      <c r="GV30" s="441"/>
      <c r="GW30" s="441"/>
      <c r="GX30" s="441"/>
      <c r="GY30" s="441"/>
      <c r="GZ30" s="441"/>
      <c r="HA30" s="441"/>
      <c r="HB30" s="441"/>
      <c r="HC30" s="441"/>
      <c r="HD30" s="441"/>
      <c r="HE30" s="441"/>
      <c r="HF30" s="441"/>
      <c r="HG30" s="441"/>
      <c r="HH30" s="441"/>
      <c r="HI30" s="441"/>
      <c r="HJ30" s="441"/>
      <c r="HK30" s="441"/>
      <c r="HL30" s="441"/>
      <c r="HM30" s="441"/>
      <c r="HN30" s="441"/>
      <c r="HO30" s="441"/>
      <c r="HP30" s="441"/>
      <c r="HQ30" s="441"/>
      <c r="HR30" s="441"/>
      <c r="HS30" s="441"/>
      <c r="HT30" s="441"/>
      <c r="HU30" s="441"/>
      <c r="HV30" s="441"/>
      <c r="HW30" s="441"/>
      <c r="HX30" s="441"/>
      <c r="HY30" s="441"/>
      <c r="HZ30" s="441"/>
      <c r="IA30" s="441"/>
      <c r="IB30" s="441"/>
      <c r="IC30" s="441"/>
      <c r="ID30" s="441"/>
      <c r="IE30" s="441"/>
      <c r="IF30" s="441"/>
      <c r="IH30" t="s">
        <v>235</v>
      </c>
    </row>
    <row r="31" spans="1:242" x14ac:dyDescent="0.35">
      <c r="A31" s="310" t="s">
        <v>464</v>
      </c>
      <c r="B31" s="313" t="s">
        <v>465</v>
      </c>
      <c r="C31" s="310" t="s">
        <v>466</v>
      </c>
      <c r="D31" s="316"/>
      <c r="F31" t="s">
        <v>467</v>
      </c>
      <c r="I31" s="310" t="s">
        <v>468</v>
      </c>
      <c r="M31" s="313"/>
      <c r="O31"/>
      <c r="P31" s="381"/>
      <c r="Q31"/>
      <c r="T31" s="8"/>
      <c r="U31"/>
      <c r="V31" s="313"/>
      <c r="W31"/>
      <c r="X31"/>
      <c r="Z31"/>
      <c r="AB31"/>
      <c r="AD31" s="8" t="s">
        <v>222</v>
      </c>
      <c r="AF31" s="8" t="s">
        <v>230</v>
      </c>
      <c r="AG31"/>
      <c r="AH31"/>
      <c r="AI31"/>
      <c r="AJ31" t="s">
        <v>221</v>
      </c>
      <c r="AK31">
        <v>0</v>
      </c>
      <c r="AL31">
        <v>0.75</v>
      </c>
      <c r="AM31" t="s">
        <v>221</v>
      </c>
      <c r="AN31" t="s">
        <v>223</v>
      </c>
      <c r="AO31" t="s">
        <v>221</v>
      </c>
      <c r="AP31" t="s">
        <v>223</v>
      </c>
      <c r="AQ31" t="s">
        <v>221</v>
      </c>
      <c r="AR31" t="s">
        <v>225</v>
      </c>
      <c r="AS31" t="s">
        <v>221</v>
      </c>
      <c r="AT31" t="s">
        <v>225</v>
      </c>
      <c r="AU31" t="s">
        <v>220</v>
      </c>
      <c r="AV31"/>
      <c r="AW31" s="313" t="s">
        <v>220</v>
      </c>
      <c r="AX31" t="s">
        <v>226</v>
      </c>
      <c r="AY31" s="313" t="s">
        <v>220</v>
      </c>
      <c r="AZ31" s="313">
        <v>5.8799999999999998E-2</v>
      </c>
      <c r="BB31" s="313" t="s">
        <v>220</v>
      </c>
      <c r="BC31">
        <v>3.3500000000000002E-2</v>
      </c>
      <c r="BD31" t="s">
        <v>220</v>
      </c>
      <c r="BE31">
        <v>1.5800000000000002E-2</v>
      </c>
      <c r="BF31" s="2" t="s">
        <v>220</v>
      </c>
      <c r="BH31" s="2" t="s">
        <v>228</v>
      </c>
      <c r="BI31" s="2" t="s">
        <v>302</v>
      </c>
      <c r="BM31"/>
      <c r="BP31" s="8"/>
      <c r="BQ31" t="s">
        <v>230</v>
      </c>
      <c r="BR31" t="s">
        <v>230</v>
      </c>
      <c r="BU31" t="s">
        <v>231</v>
      </c>
      <c r="BV31" t="s">
        <v>223</v>
      </c>
      <c r="BW31" t="s">
        <v>232</v>
      </c>
      <c r="BX31" t="s">
        <v>276</v>
      </c>
      <c r="BY31" t="s">
        <v>220</v>
      </c>
      <c r="BZ31">
        <v>0.22800000000000001</v>
      </c>
      <c r="CA31" t="s">
        <v>234</v>
      </c>
      <c r="CF31" t="s">
        <v>220</v>
      </c>
      <c r="CG31">
        <v>5.1799999999999999E-2</v>
      </c>
      <c r="CH31" t="s">
        <v>220</v>
      </c>
      <c r="CI31">
        <v>7.2400000000000006E-2</v>
      </c>
      <c r="CK31"/>
      <c r="CL31"/>
      <c r="CM31"/>
      <c r="CS31" s="8"/>
      <c r="CW31" t="s">
        <v>220</v>
      </c>
      <c r="CX31" t="s">
        <v>257</v>
      </c>
      <c r="CY31" t="s">
        <v>231</v>
      </c>
      <c r="CZ31" t="s">
        <v>220</v>
      </c>
      <c r="DA31" t="s">
        <v>220</v>
      </c>
      <c r="DB31" t="s">
        <v>227</v>
      </c>
      <c r="DC31"/>
      <c r="DD31"/>
      <c r="DE31"/>
      <c r="DF31"/>
      <c r="DG31"/>
      <c r="DH31" s="323"/>
      <c r="DI31" s="323"/>
      <c r="DJ31" s="323"/>
      <c r="DL31" t="s">
        <v>220</v>
      </c>
      <c r="DM31" t="s">
        <v>220</v>
      </c>
      <c r="DN31" t="s">
        <v>227</v>
      </c>
      <c r="DO31" t="s">
        <v>257</v>
      </c>
      <c r="DP31" t="s">
        <v>257</v>
      </c>
      <c r="DS31" s="338">
        <v>279.33600000000001</v>
      </c>
      <c r="DT31" s="8" t="s">
        <v>394</v>
      </c>
      <c r="DU31" s="309">
        <v>420.33600000000001</v>
      </c>
      <c r="DW31">
        <v>1010</v>
      </c>
      <c r="DX31" t="s">
        <v>238</v>
      </c>
      <c r="DY31">
        <v>1080</v>
      </c>
      <c r="DZ31" t="s">
        <v>238</v>
      </c>
      <c r="EA31"/>
      <c r="EB31"/>
      <c r="ED31" s="410"/>
      <c r="EE31" s="1"/>
      <c r="EG31" s="410"/>
      <c r="EI31" s="410"/>
      <c r="EK31" s="1">
        <v>1000</v>
      </c>
      <c r="EL31" s="8" t="s">
        <v>259</v>
      </c>
      <c r="EM31"/>
      <c r="EQ31" s="344"/>
      <c r="EU31" s="344"/>
      <c r="EW31" s="409"/>
      <c r="EY31" s="1"/>
      <c r="FA31">
        <v>208.34</v>
      </c>
      <c r="FB31" t="s">
        <v>236</v>
      </c>
      <c r="FC31" s="7">
        <v>1133.4438229710347</v>
      </c>
      <c r="FD31" s="357" t="s">
        <v>236</v>
      </c>
      <c r="FE31" s="8">
        <v>5.2167497030760135</v>
      </c>
      <c r="FF31" t="s">
        <v>237</v>
      </c>
      <c r="FH31" s="9">
        <v>408.97805010288295</v>
      </c>
      <c r="FI31" s="9" t="s">
        <v>236</v>
      </c>
      <c r="FJ31">
        <v>291</v>
      </c>
      <c r="FK31" t="s">
        <v>238</v>
      </c>
      <c r="FL31">
        <v>297</v>
      </c>
      <c r="FM31">
        <v>20.502178012019844</v>
      </c>
      <c r="FN31" s="5" t="s">
        <v>237</v>
      </c>
      <c r="FP31" s="6">
        <v>500</v>
      </c>
      <c r="FQ31" t="s">
        <v>260</v>
      </c>
      <c r="FS31" t="s">
        <v>261</v>
      </c>
      <c r="FU31" s="8">
        <v>2</v>
      </c>
      <c r="FV31" s="8">
        <v>10</v>
      </c>
      <c r="FW31" s="8">
        <v>10</v>
      </c>
      <c r="FX31" s="8">
        <v>1</v>
      </c>
      <c r="FY31" s="8">
        <v>3</v>
      </c>
      <c r="FZ31">
        <f t="shared" si="0"/>
        <v>600</v>
      </c>
      <c r="GA31" s="7" t="s">
        <v>326</v>
      </c>
      <c r="GB31" s="7" t="s">
        <v>326</v>
      </c>
      <c r="GC31" s="6">
        <v>1.5</v>
      </c>
      <c r="GD31" s="348" t="s">
        <v>242</v>
      </c>
      <c r="GF31" s="6">
        <v>8.6945828384600229E-3</v>
      </c>
      <c r="GH31" s="7"/>
      <c r="GI31" s="441"/>
      <c r="GJ31" s="441"/>
      <c r="GK31" s="441"/>
      <c r="GL31" s="441"/>
      <c r="GM31" s="454"/>
      <c r="GN31" s="441"/>
      <c r="GO31" s="441"/>
      <c r="GP31" s="441"/>
      <c r="GQ31" s="441"/>
      <c r="GR31" s="441"/>
      <c r="GS31" s="441"/>
      <c r="GT31" s="441"/>
      <c r="GU31" s="441"/>
      <c r="GV31" s="441"/>
      <c r="GW31" s="441"/>
      <c r="GX31" s="441"/>
      <c r="GY31" s="441"/>
      <c r="GZ31" s="441"/>
      <c r="HA31" s="441"/>
      <c r="HB31" s="441"/>
      <c r="HC31" s="441"/>
      <c r="HD31" s="441"/>
      <c r="HE31" s="441"/>
      <c r="HF31" s="441"/>
      <c r="HG31" s="441"/>
      <c r="HH31" s="441"/>
      <c r="HI31" s="441"/>
      <c r="HJ31" s="441"/>
      <c r="HK31" s="441"/>
      <c r="HL31" s="441"/>
      <c r="HM31" s="441"/>
      <c r="HN31" s="441"/>
      <c r="HO31" s="441"/>
      <c r="HP31" s="441"/>
      <c r="HQ31" s="441"/>
      <c r="HR31" s="441"/>
      <c r="HS31" s="441"/>
      <c r="HT31" s="441"/>
      <c r="HU31" s="441"/>
      <c r="HV31" s="441"/>
      <c r="HW31" s="441"/>
      <c r="HX31" s="441"/>
      <c r="HY31" s="441"/>
      <c r="HZ31" s="441"/>
      <c r="IA31" s="441"/>
      <c r="IB31" s="441"/>
      <c r="IC31" s="441"/>
      <c r="ID31" s="441"/>
      <c r="IE31" s="441"/>
      <c r="IF31" s="441"/>
      <c r="IH31" t="s">
        <v>235</v>
      </c>
    </row>
    <row r="32" spans="1:242" x14ac:dyDescent="0.35">
      <c r="A32" s="310" t="s">
        <v>469</v>
      </c>
      <c r="B32" s="313" t="s">
        <v>470</v>
      </c>
      <c r="C32" s="310" t="s">
        <v>471</v>
      </c>
      <c r="D32" s="316"/>
      <c r="F32" t="s">
        <v>472</v>
      </c>
      <c r="I32" s="310" t="s">
        <v>473</v>
      </c>
      <c r="M32" s="313"/>
      <c r="O32"/>
      <c r="P32" s="381"/>
      <c r="Q32"/>
      <c r="T32" s="8"/>
      <c r="U32"/>
      <c r="V32" s="313"/>
      <c r="W32" t="s">
        <v>301</v>
      </c>
      <c r="X32"/>
      <c r="Z32"/>
      <c r="AB32"/>
      <c r="AD32" s="8" t="s">
        <v>222</v>
      </c>
      <c r="AF32" s="8" t="s">
        <v>230</v>
      </c>
      <c r="AG32"/>
      <c r="AH32"/>
      <c r="AI32"/>
      <c r="AJ32" t="s">
        <v>221</v>
      </c>
      <c r="AK32">
        <v>0</v>
      </c>
      <c r="AL32">
        <v>0.4</v>
      </c>
      <c r="AM32" t="s">
        <v>221</v>
      </c>
      <c r="AN32" t="s">
        <v>236</v>
      </c>
      <c r="AO32" t="s">
        <v>221</v>
      </c>
      <c r="AP32" t="s">
        <v>225</v>
      </c>
      <c r="AQ32" t="s">
        <v>221</v>
      </c>
      <c r="AR32" t="s">
        <v>236</v>
      </c>
      <c r="AS32" t="s">
        <v>221</v>
      </c>
      <c r="AT32" t="s">
        <v>225</v>
      </c>
      <c r="AU32" t="s">
        <v>220</v>
      </c>
      <c r="AV32"/>
      <c r="AW32" s="313" t="s">
        <v>220</v>
      </c>
      <c r="AX32" t="s">
        <v>226</v>
      </c>
      <c r="AY32" s="313" t="s">
        <v>220</v>
      </c>
      <c r="AZ32" s="313">
        <v>6.54E-2</v>
      </c>
      <c r="BB32" s="313" t="s">
        <v>220</v>
      </c>
      <c r="BC32">
        <v>3.8600000000000002E-2</v>
      </c>
      <c r="BD32" t="s">
        <v>220</v>
      </c>
      <c r="BE32">
        <v>3.8399999999999997E-2</v>
      </c>
      <c r="BF32" s="2" t="s">
        <v>220</v>
      </c>
      <c r="BG32" s="2" t="s">
        <v>230</v>
      </c>
      <c r="BH32" s="2" t="s">
        <v>228</v>
      </c>
      <c r="BI32" s="2" t="s">
        <v>302</v>
      </c>
      <c r="BM32"/>
      <c r="BP32" s="8"/>
      <c r="BQ32" t="s">
        <v>230</v>
      </c>
      <c r="BR32" t="s">
        <v>222</v>
      </c>
      <c r="BU32" t="s">
        <v>317</v>
      </c>
      <c r="BV32" t="s">
        <v>236</v>
      </c>
      <c r="BW32" t="s">
        <v>232</v>
      </c>
      <c r="BX32" t="s">
        <v>474</v>
      </c>
      <c r="BY32" t="s">
        <v>227</v>
      </c>
      <c r="BZ32">
        <v>0.246</v>
      </c>
      <c r="CA32" t="s">
        <v>234</v>
      </c>
      <c r="CF32" t="s">
        <v>220</v>
      </c>
      <c r="CG32">
        <v>6.4299999999999996E-2</v>
      </c>
      <c r="CH32" t="s">
        <v>220</v>
      </c>
      <c r="CI32">
        <v>1.7600000000000001E-2</v>
      </c>
      <c r="CK32"/>
      <c r="CL32"/>
      <c r="CM32"/>
      <c r="CS32" s="8"/>
      <c r="CW32" t="s">
        <v>220</v>
      </c>
      <c r="CX32" t="s">
        <v>220</v>
      </c>
      <c r="CY32" t="s">
        <v>231</v>
      </c>
      <c r="CZ32" t="s">
        <v>220</v>
      </c>
      <c r="DA32" t="s">
        <v>227</v>
      </c>
      <c r="DB32" t="s">
        <v>227</v>
      </c>
      <c r="DC32"/>
      <c r="DD32"/>
      <c r="DE32"/>
      <c r="DF32"/>
      <c r="DG32"/>
      <c r="DH32" s="323"/>
      <c r="DI32" s="323"/>
      <c r="DJ32" s="323"/>
      <c r="DL32" t="s">
        <v>220</v>
      </c>
      <c r="DM32" t="s">
        <v>220</v>
      </c>
      <c r="DN32" t="s">
        <v>227</v>
      </c>
      <c r="DO32" t="s">
        <v>227</v>
      </c>
      <c r="DP32" t="s">
        <v>227</v>
      </c>
      <c r="DS32" s="338">
        <v>1760.67</v>
      </c>
      <c r="DT32" s="8" t="s">
        <v>394</v>
      </c>
      <c r="DU32" s="338">
        <v>493.75400000000002</v>
      </c>
      <c r="DV32" s="8" t="s">
        <v>394</v>
      </c>
      <c r="DW32">
        <v>566</v>
      </c>
      <c r="DX32" t="s">
        <v>238</v>
      </c>
      <c r="DY32">
        <v>2590</v>
      </c>
      <c r="DZ32" t="s">
        <v>238</v>
      </c>
      <c r="EA32"/>
      <c r="EB32"/>
      <c r="ED32" s="410">
        <v>58</v>
      </c>
      <c r="EE32" s="1"/>
      <c r="EF32" s="8" t="s">
        <v>324</v>
      </c>
      <c r="EG32" s="410"/>
      <c r="EI32" s="410"/>
      <c r="EK32" s="1">
        <v>58</v>
      </c>
      <c r="EL32" s="8" t="s">
        <v>324</v>
      </c>
      <c r="EM32"/>
      <c r="EQ32" s="344"/>
      <c r="EU32" s="344"/>
      <c r="EW32" s="409"/>
      <c r="EY32" s="1"/>
      <c r="FA32">
        <v>2.34</v>
      </c>
      <c r="FB32" t="s">
        <v>236</v>
      </c>
      <c r="FC32" s="7">
        <v>43.291237450282665</v>
      </c>
      <c r="FD32" s="357" t="s">
        <v>236</v>
      </c>
      <c r="FE32" s="8">
        <v>2.8346536334896674E-4</v>
      </c>
      <c r="FF32" t="s">
        <v>337</v>
      </c>
      <c r="FH32" s="9">
        <v>1.5859883761122815</v>
      </c>
      <c r="FI32" s="9" t="s">
        <v>236</v>
      </c>
      <c r="FJ32">
        <v>15.6</v>
      </c>
      <c r="FK32" t="s">
        <v>238</v>
      </c>
      <c r="FL32">
        <v>14.8</v>
      </c>
      <c r="FM32">
        <v>9.9838948870232635E-4</v>
      </c>
      <c r="FN32" s="5" t="s">
        <v>337</v>
      </c>
      <c r="FP32" s="6">
        <v>58</v>
      </c>
      <c r="FQ32" t="s">
        <v>382</v>
      </c>
      <c r="FS32" t="s">
        <v>261</v>
      </c>
      <c r="FU32" s="8">
        <v>1</v>
      </c>
      <c r="FV32" s="8">
        <v>10</v>
      </c>
      <c r="FW32" s="8">
        <v>10</v>
      </c>
      <c r="FX32" s="8">
        <v>1</v>
      </c>
      <c r="FY32" s="8">
        <v>3</v>
      </c>
      <c r="FZ32">
        <f t="shared" si="0"/>
        <v>300</v>
      </c>
      <c r="GA32" s="7" t="s">
        <v>326</v>
      </c>
      <c r="GB32" s="7" t="s">
        <v>326</v>
      </c>
      <c r="GC32" s="6">
        <v>1.5</v>
      </c>
      <c r="GD32" s="348" t="s">
        <v>242</v>
      </c>
      <c r="GF32" s="6">
        <v>4.9333333333333338E-3</v>
      </c>
      <c r="GH32" s="7"/>
      <c r="GI32" s="441"/>
      <c r="GJ32" s="441"/>
      <c r="GK32" s="441"/>
      <c r="GL32" s="441"/>
      <c r="GM32" s="454"/>
      <c r="GN32" s="441"/>
      <c r="GO32" s="441"/>
      <c r="GP32" s="441"/>
      <c r="GQ32" s="441"/>
      <c r="GR32" s="441"/>
      <c r="GS32" s="441"/>
      <c r="GT32" s="441"/>
      <c r="GU32" s="441"/>
      <c r="GV32" s="441"/>
      <c r="GW32" s="441"/>
      <c r="GX32" s="441"/>
      <c r="GY32" s="441"/>
      <c r="GZ32" s="441"/>
      <c r="HA32" s="441"/>
      <c r="HB32" s="441"/>
      <c r="HC32" s="441"/>
      <c r="HD32" s="441"/>
      <c r="HE32" s="441"/>
      <c r="HF32" s="441"/>
      <c r="HG32" s="441"/>
      <c r="HH32" s="441"/>
      <c r="HI32" s="441"/>
      <c r="HJ32" s="441"/>
      <c r="HK32" s="441"/>
      <c r="HL32" s="441"/>
      <c r="HM32" s="441"/>
      <c r="HN32" s="441"/>
      <c r="HO32" s="441"/>
      <c r="HP32" s="441"/>
      <c r="HQ32" s="441"/>
      <c r="HR32" s="441"/>
      <c r="HS32" s="441"/>
      <c r="HT32" s="441"/>
      <c r="HU32" s="441"/>
      <c r="HV32" s="441"/>
      <c r="HW32" s="441"/>
      <c r="HX32" s="441"/>
      <c r="HY32" s="441"/>
      <c r="HZ32" s="441"/>
      <c r="IA32" s="441"/>
      <c r="IB32" s="441"/>
      <c r="IC32" s="441"/>
      <c r="ID32" s="441"/>
      <c r="IE32" s="441"/>
      <c r="IF32" s="441"/>
      <c r="IH32" t="s">
        <v>235</v>
      </c>
    </row>
    <row r="33" spans="1:242" ht="58" x14ac:dyDescent="0.35">
      <c r="A33" s="310" t="s">
        <v>475</v>
      </c>
      <c r="B33" s="313" t="s">
        <v>476</v>
      </c>
      <c r="C33" s="310" t="s">
        <v>477</v>
      </c>
      <c r="D33" s="316"/>
      <c r="F33" t="s">
        <v>478</v>
      </c>
      <c r="I33" s="310" t="s">
        <v>479</v>
      </c>
      <c r="J33" t="s">
        <v>480</v>
      </c>
      <c r="K33" t="s">
        <v>391</v>
      </c>
      <c r="L33" t="s">
        <v>481</v>
      </c>
      <c r="M33" s="313"/>
      <c r="O33"/>
      <c r="P33" s="381"/>
      <c r="Q33"/>
      <c r="T33" s="8"/>
      <c r="U33"/>
      <c r="V33" s="313"/>
      <c r="W33"/>
      <c r="X33"/>
      <c r="Z33"/>
      <c r="AB33"/>
      <c r="AD33" s="8" t="s">
        <v>230</v>
      </c>
      <c r="AF33" s="8" t="s">
        <v>230</v>
      </c>
      <c r="AG33"/>
      <c r="AH33"/>
      <c r="AI33"/>
      <c r="AJ33" t="s">
        <v>221</v>
      </c>
      <c r="AK33">
        <v>0</v>
      </c>
      <c r="AL33">
        <v>0.6</v>
      </c>
      <c r="AM33" t="s">
        <v>221</v>
      </c>
      <c r="AN33" t="s">
        <v>225</v>
      </c>
      <c r="AO33" t="s">
        <v>221</v>
      </c>
      <c r="AP33" t="s">
        <v>225</v>
      </c>
      <c r="AQ33" t="s">
        <v>221</v>
      </c>
      <c r="AR33" t="s">
        <v>225</v>
      </c>
      <c r="AS33" t="s">
        <v>221</v>
      </c>
      <c r="AT33" t="s">
        <v>225</v>
      </c>
      <c r="AU33" t="s">
        <v>220</v>
      </c>
      <c r="AV33"/>
      <c r="AW33" s="313" t="s">
        <v>220</v>
      </c>
      <c r="AX33" t="s">
        <v>226</v>
      </c>
      <c r="AY33" s="313" t="s">
        <v>220</v>
      </c>
      <c r="AZ33" s="313">
        <v>4.9299999999999997E-2</v>
      </c>
      <c r="BB33" s="313" t="s">
        <v>220</v>
      </c>
      <c r="BC33">
        <v>3.1199999999999999E-2</v>
      </c>
      <c r="BD33" t="s">
        <v>220</v>
      </c>
      <c r="BE33">
        <v>5.3400000000000003E-2</v>
      </c>
      <c r="BF33" s="2" t="s">
        <v>220</v>
      </c>
      <c r="BG33" s="2" t="s">
        <v>273</v>
      </c>
      <c r="BH33" s="2" t="s">
        <v>274</v>
      </c>
      <c r="BI33" s="2" t="s">
        <v>275</v>
      </c>
      <c r="BM33"/>
      <c r="BP33" s="8"/>
      <c r="BQ33" t="s">
        <v>230</v>
      </c>
      <c r="BR33" t="s">
        <v>230</v>
      </c>
      <c r="BU33" t="s">
        <v>231</v>
      </c>
      <c r="BV33" t="s">
        <v>223</v>
      </c>
      <c r="BW33" t="s">
        <v>232</v>
      </c>
      <c r="BX33" t="s">
        <v>276</v>
      </c>
      <c r="BY33" t="s">
        <v>220</v>
      </c>
      <c r="BZ33">
        <v>0.222</v>
      </c>
      <c r="CA33" t="s">
        <v>234</v>
      </c>
      <c r="CF33" t="s">
        <v>220</v>
      </c>
      <c r="CG33">
        <v>7.5399999999999995E-2</v>
      </c>
      <c r="CH33" t="s">
        <v>220</v>
      </c>
      <c r="CI33">
        <v>3.2000000000000001E-2</v>
      </c>
      <c r="CK33"/>
      <c r="CL33"/>
      <c r="CM33"/>
      <c r="CS33" s="8"/>
      <c r="CW33" t="s">
        <v>220</v>
      </c>
      <c r="CX33" t="s">
        <v>220</v>
      </c>
      <c r="CY33" t="s">
        <v>231</v>
      </c>
      <c r="CZ33" t="s">
        <v>220</v>
      </c>
      <c r="DA33" t="s">
        <v>227</v>
      </c>
      <c r="DB33" t="s">
        <v>227</v>
      </c>
      <c r="DC33"/>
      <c r="DD33"/>
      <c r="DE33"/>
      <c r="DF33"/>
      <c r="DG33"/>
      <c r="DH33" s="323"/>
      <c r="DI33" s="323"/>
      <c r="DJ33" s="323"/>
      <c r="DL33" t="s">
        <v>220</v>
      </c>
      <c r="DM33" t="s">
        <v>220</v>
      </c>
      <c r="DN33" t="s">
        <v>257</v>
      </c>
      <c r="DO33" t="s">
        <v>220</v>
      </c>
      <c r="DP33" t="s">
        <v>257</v>
      </c>
      <c r="DS33" s="338">
        <v>470.68400000000003</v>
      </c>
      <c r="DT33" s="8" t="s">
        <v>394</v>
      </c>
      <c r="DU33" s="309">
        <v>367.14299999999997</v>
      </c>
      <c r="DW33">
        <v>207</v>
      </c>
      <c r="DX33" t="s">
        <v>238</v>
      </c>
      <c r="DY33">
        <v>1630</v>
      </c>
      <c r="DZ33" t="s">
        <v>238</v>
      </c>
      <c r="EA33"/>
      <c r="EB33"/>
      <c r="ED33" s="410"/>
      <c r="EE33" s="1"/>
      <c r="EG33" s="410"/>
      <c r="EI33" s="410"/>
      <c r="EK33" s="1"/>
      <c r="EM33"/>
      <c r="EQ33" s="344"/>
      <c r="EU33" s="344"/>
      <c r="EW33" s="409"/>
      <c r="EY33" s="1"/>
      <c r="FA33">
        <v>6.34</v>
      </c>
      <c r="FB33" t="s">
        <v>236</v>
      </c>
      <c r="FC33" s="7">
        <v>960.72700848912098</v>
      </c>
      <c r="FD33" s="357" t="s">
        <v>225</v>
      </c>
      <c r="FE33" s="8">
        <v>1.4282360800191831</v>
      </c>
      <c r="FF33" t="s">
        <v>237</v>
      </c>
      <c r="FH33" s="9">
        <v>184.96944778405123</v>
      </c>
      <c r="FI33" s="9" t="s">
        <v>236</v>
      </c>
      <c r="FJ33">
        <v>307</v>
      </c>
      <c r="FK33" t="s">
        <v>238</v>
      </c>
      <c r="FL33">
        <v>100</v>
      </c>
      <c r="FM33">
        <v>9.7543874044029995</v>
      </c>
      <c r="FN33" s="5" t="s">
        <v>237</v>
      </c>
      <c r="FP33" s="6">
        <v>3.17</v>
      </c>
      <c r="FQ33" t="s">
        <v>275</v>
      </c>
      <c r="FS33" t="s">
        <v>240</v>
      </c>
      <c r="FU33" s="8">
        <v>2</v>
      </c>
      <c r="FV33" s="8">
        <v>10</v>
      </c>
      <c r="FW33" s="8">
        <v>10</v>
      </c>
      <c r="FX33" s="8">
        <v>1</v>
      </c>
      <c r="FY33" s="8">
        <v>3</v>
      </c>
      <c r="FZ33">
        <f t="shared" si="0"/>
        <v>600</v>
      </c>
      <c r="GA33" s="7" t="s">
        <v>326</v>
      </c>
      <c r="GB33" s="7" t="s">
        <v>326</v>
      </c>
      <c r="GC33" s="6">
        <v>1.5</v>
      </c>
      <c r="GD33" s="348" t="s">
        <v>242</v>
      </c>
      <c r="GF33" s="6">
        <v>3.0828241297341869E-2</v>
      </c>
      <c r="GH33" s="7"/>
      <c r="GI33" s="441">
        <v>7.0000000000000007E-2</v>
      </c>
      <c r="GJ33" s="441">
        <v>0.13200000000000001</v>
      </c>
      <c r="GK33" s="441">
        <v>0.21099999999999999</v>
      </c>
      <c r="GL33" s="441">
        <v>0.52800000000000002</v>
      </c>
      <c r="GM33" s="460" t="s">
        <v>285</v>
      </c>
      <c r="GN33" s="6">
        <v>0.01</v>
      </c>
      <c r="GO33" s="6">
        <v>1.8749999999999999E-2</v>
      </c>
      <c r="GP33" s="6">
        <v>0.03</v>
      </c>
      <c r="GQ33" s="6">
        <v>7.4999999999999997E-2</v>
      </c>
      <c r="GR33" s="460" t="s">
        <v>285</v>
      </c>
      <c r="GU33" t="s">
        <v>365</v>
      </c>
      <c r="GV33" t="s">
        <v>236</v>
      </c>
      <c r="GW33" t="s">
        <v>244</v>
      </c>
      <c r="GX33" t="s">
        <v>236</v>
      </c>
      <c r="GY33" t="s">
        <v>245</v>
      </c>
      <c r="HE33" t="s">
        <v>247</v>
      </c>
      <c r="HF33" t="s">
        <v>225</v>
      </c>
      <c r="HG33" t="s">
        <v>317</v>
      </c>
      <c r="HH33" t="s">
        <v>236</v>
      </c>
      <c r="HI33" t="s">
        <v>247</v>
      </c>
      <c r="HJ33" t="s">
        <v>225</v>
      </c>
      <c r="HK33" t="s">
        <v>266</v>
      </c>
      <c r="HO33" t="s">
        <v>231</v>
      </c>
      <c r="HP33" t="s">
        <v>223</v>
      </c>
      <c r="HQ33" t="s">
        <v>231</v>
      </c>
      <c r="HR33" t="s">
        <v>223</v>
      </c>
      <c r="HU33" t="s">
        <v>231</v>
      </c>
      <c r="HV33" t="s">
        <v>223</v>
      </c>
      <c r="HW33" t="s">
        <v>482</v>
      </c>
      <c r="HX33" t="s">
        <v>223</v>
      </c>
      <c r="IA33" t="s">
        <v>231</v>
      </c>
      <c r="IB33" t="s">
        <v>250</v>
      </c>
      <c r="IC33">
        <v>7.0000000000000007E-2</v>
      </c>
      <c r="ID33">
        <v>0.13200000000000001</v>
      </c>
      <c r="IE33">
        <v>0.21099999999999999</v>
      </c>
      <c r="IF33">
        <v>0.52800000000000002</v>
      </c>
      <c r="IG33" s="459" t="s">
        <v>451</v>
      </c>
      <c r="IH33" t="s">
        <v>267</v>
      </c>
    </row>
    <row r="34" spans="1:242" x14ac:dyDescent="0.35">
      <c r="A34" s="310" t="s">
        <v>483</v>
      </c>
      <c r="B34" s="313" t="s">
        <v>484</v>
      </c>
      <c r="C34" s="310" t="s">
        <v>485</v>
      </c>
      <c r="D34" s="316"/>
      <c r="F34" t="s">
        <v>486</v>
      </c>
      <c r="I34" s="310" t="s">
        <v>487</v>
      </c>
      <c r="J34" t="s">
        <v>488</v>
      </c>
      <c r="K34" t="s">
        <v>391</v>
      </c>
      <c r="M34" s="313"/>
      <c r="O34"/>
      <c r="P34" s="381"/>
      <c r="Q34"/>
      <c r="T34" s="8"/>
      <c r="U34"/>
      <c r="V34" s="313"/>
      <c r="W34"/>
      <c r="X34"/>
      <c r="Z34"/>
      <c r="AB34"/>
      <c r="AD34" s="8" t="s">
        <v>230</v>
      </c>
      <c r="AF34" s="8" t="s">
        <v>230</v>
      </c>
      <c r="AG34"/>
      <c r="AH34"/>
      <c r="AI34"/>
      <c r="AJ34" t="s">
        <v>221</v>
      </c>
      <c r="AK34">
        <v>0</v>
      </c>
      <c r="AL34">
        <v>0.57499999999999996</v>
      </c>
      <c r="AM34" t="s">
        <v>221</v>
      </c>
      <c r="AN34" t="s">
        <v>236</v>
      </c>
      <c r="AO34" t="s">
        <v>221</v>
      </c>
      <c r="AP34" t="s">
        <v>225</v>
      </c>
      <c r="AQ34" t="s">
        <v>221</v>
      </c>
      <c r="AR34" t="s">
        <v>225</v>
      </c>
      <c r="AS34" t="s">
        <v>221</v>
      </c>
      <c r="AT34" t="s">
        <v>223</v>
      </c>
      <c r="AU34" t="s">
        <v>220</v>
      </c>
      <c r="AV34"/>
      <c r="AW34" s="313" t="s">
        <v>220</v>
      </c>
      <c r="AX34" t="s">
        <v>226</v>
      </c>
      <c r="AY34" s="313" t="s">
        <v>220</v>
      </c>
      <c r="AZ34" s="313">
        <v>5.62E-2</v>
      </c>
      <c r="BB34" s="313" t="s">
        <v>220</v>
      </c>
      <c r="BC34">
        <v>3.39E-2</v>
      </c>
      <c r="BD34" t="s">
        <v>220</v>
      </c>
      <c r="BE34">
        <v>0.04</v>
      </c>
      <c r="BF34" s="2" t="s">
        <v>220</v>
      </c>
      <c r="BG34" s="2" t="s">
        <v>273</v>
      </c>
      <c r="BH34" s="2" t="s">
        <v>274</v>
      </c>
      <c r="BI34" s="2" t="s">
        <v>275</v>
      </c>
      <c r="BM34"/>
      <c r="BP34" s="8"/>
      <c r="BQ34" t="s">
        <v>230</v>
      </c>
      <c r="BR34" t="s">
        <v>230</v>
      </c>
      <c r="BU34" t="s">
        <v>317</v>
      </c>
      <c r="BV34" t="s">
        <v>236</v>
      </c>
      <c r="BW34" t="s">
        <v>321</v>
      </c>
      <c r="BX34" t="s">
        <v>474</v>
      </c>
      <c r="BY34" t="s">
        <v>220</v>
      </c>
      <c r="BZ34">
        <v>0.34799999999999998</v>
      </c>
      <c r="CA34" t="s">
        <v>234</v>
      </c>
      <c r="CF34" t="s">
        <v>220</v>
      </c>
      <c r="CG34">
        <v>6.1699999999999998E-2</v>
      </c>
      <c r="CH34" t="s">
        <v>220</v>
      </c>
      <c r="CI34">
        <v>1.7899999999999999E-2</v>
      </c>
      <c r="CK34"/>
      <c r="CL34"/>
      <c r="CM34"/>
      <c r="CS34" s="8"/>
      <c r="CW34" t="s">
        <v>220</v>
      </c>
      <c r="CX34" t="s">
        <v>220</v>
      </c>
      <c r="CY34" t="s">
        <v>231</v>
      </c>
      <c r="CZ34" t="s">
        <v>220</v>
      </c>
      <c r="DA34" t="s">
        <v>227</v>
      </c>
      <c r="DB34" t="s">
        <v>227</v>
      </c>
      <c r="DC34"/>
      <c r="DD34"/>
      <c r="DE34"/>
      <c r="DF34"/>
      <c r="DG34"/>
      <c r="DH34" s="323"/>
      <c r="DI34" s="323"/>
      <c r="DJ34" s="323"/>
      <c r="DL34" t="s">
        <v>220</v>
      </c>
      <c r="DM34" t="s">
        <v>220</v>
      </c>
      <c r="DN34" t="s">
        <v>227</v>
      </c>
      <c r="DO34" t="s">
        <v>257</v>
      </c>
      <c r="DP34" t="s">
        <v>257</v>
      </c>
      <c r="DS34" s="338">
        <v>3046.116</v>
      </c>
      <c r="DT34" s="8" t="s">
        <v>394</v>
      </c>
      <c r="DU34" s="338">
        <v>783.42200000000003</v>
      </c>
      <c r="DV34" s="8" t="s">
        <v>394</v>
      </c>
      <c r="DW34">
        <v>574</v>
      </c>
      <c r="DX34" t="s">
        <v>238</v>
      </c>
      <c r="DY34">
        <v>2900</v>
      </c>
      <c r="DZ34" t="s">
        <v>238</v>
      </c>
      <c r="EA34"/>
      <c r="EB34"/>
      <c r="ED34" s="410"/>
      <c r="EE34" s="1"/>
      <c r="EG34" s="410"/>
      <c r="EI34" s="410"/>
      <c r="EK34" s="1"/>
      <c r="EM34"/>
      <c r="EQ34" s="344"/>
      <c r="EU34" s="344"/>
      <c r="EW34" s="409"/>
      <c r="EY34" s="1"/>
      <c r="FA34">
        <v>2.12</v>
      </c>
      <c r="FB34" t="s">
        <v>236</v>
      </c>
      <c r="FC34" s="7">
        <v>84.918047503631414</v>
      </c>
      <c r="FD34" s="357" t="s">
        <v>236</v>
      </c>
      <c r="FE34" s="8">
        <v>1.2047585025349517E-2</v>
      </c>
      <c r="FF34" t="s">
        <v>237</v>
      </c>
      <c r="FH34" s="9">
        <v>0.63445379577571437</v>
      </c>
      <c r="FI34" s="9" t="s">
        <v>236</v>
      </c>
      <c r="FJ34">
        <v>65.599999999999994</v>
      </c>
      <c r="FK34" t="s">
        <v>238</v>
      </c>
      <c r="FL34">
        <v>0.745</v>
      </c>
      <c r="FM34">
        <v>4.0169830574623595E-2</v>
      </c>
      <c r="FN34" s="5" t="s">
        <v>237</v>
      </c>
      <c r="FP34" s="6">
        <v>2.0084915287311798E-3</v>
      </c>
      <c r="FQ34" t="s">
        <v>277</v>
      </c>
      <c r="FS34" t="s">
        <v>240</v>
      </c>
      <c r="FU34" s="8">
        <v>2</v>
      </c>
      <c r="FV34" s="8">
        <v>10</v>
      </c>
      <c r="FW34" s="8">
        <v>10</v>
      </c>
      <c r="FX34" s="8">
        <v>10</v>
      </c>
      <c r="FY34" s="8">
        <v>1</v>
      </c>
      <c r="FZ34">
        <f t="shared" si="0"/>
        <v>2000</v>
      </c>
      <c r="GA34" s="7" t="s">
        <v>326</v>
      </c>
      <c r="GB34" s="7" t="s">
        <v>326</v>
      </c>
      <c r="GC34" s="6">
        <v>1.5</v>
      </c>
      <c r="GD34" s="348" t="s">
        <v>242</v>
      </c>
      <c r="GF34" s="6">
        <v>2.0079308375582531E-5</v>
      </c>
      <c r="GH34" s="7"/>
      <c r="GI34" s="441"/>
      <c r="GJ34" s="441"/>
      <c r="GK34" s="441"/>
      <c r="GL34" s="441"/>
      <c r="GM34" s="454"/>
      <c r="GN34" s="441"/>
      <c r="GO34" s="441"/>
      <c r="GP34" s="441"/>
      <c r="GQ34" s="441"/>
      <c r="GR34" s="441"/>
      <c r="GS34" s="441"/>
      <c r="GT34" s="441"/>
      <c r="GU34" s="441"/>
      <c r="GV34" s="441"/>
      <c r="GW34" s="441"/>
      <c r="GX34" s="441"/>
      <c r="GY34" s="441"/>
      <c r="GZ34" s="441"/>
      <c r="HA34" s="441"/>
      <c r="HB34" s="441"/>
      <c r="HC34" s="441"/>
      <c r="HD34" s="441"/>
      <c r="HE34" s="441"/>
      <c r="HF34" s="441"/>
      <c r="HG34" s="441"/>
      <c r="HH34" s="441"/>
      <c r="HI34" s="441"/>
      <c r="HJ34" s="441"/>
      <c r="HK34" s="441"/>
      <c r="HL34" s="441"/>
      <c r="HM34" s="441"/>
      <c r="HN34" s="441"/>
      <c r="HO34" s="441"/>
      <c r="HP34" s="441"/>
      <c r="HQ34" s="441"/>
      <c r="HR34" s="441"/>
      <c r="HS34" s="441"/>
      <c r="HT34" s="441"/>
      <c r="HU34" s="441"/>
      <c r="HV34" s="441"/>
      <c r="HW34" s="441"/>
      <c r="HX34" s="441"/>
      <c r="HY34" s="441"/>
      <c r="HZ34" s="441"/>
      <c r="IA34" s="441"/>
      <c r="IB34" s="441"/>
      <c r="IC34" s="441"/>
      <c r="ID34" s="441"/>
      <c r="IE34" s="441"/>
      <c r="IF34" s="441"/>
      <c r="IH34" t="s">
        <v>235</v>
      </c>
    </row>
    <row r="35" spans="1:242" x14ac:dyDescent="0.35">
      <c r="A35" s="310" t="s">
        <v>489</v>
      </c>
      <c r="B35" s="313" t="s">
        <v>490</v>
      </c>
      <c r="C35" s="310" t="s">
        <v>491</v>
      </c>
      <c r="D35" s="316"/>
      <c r="F35" t="s">
        <v>492</v>
      </c>
      <c r="I35" s="310" t="s">
        <v>493</v>
      </c>
      <c r="M35" s="313"/>
      <c r="O35"/>
      <c r="P35" s="381"/>
      <c r="Q35"/>
      <c r="T35" s="8"/>
      <c r="U35" t="s">
        <v>221</v>
      </c>
      <c r="V35" s="313"/>
      <c r="W35" t="s">
        <v>220</v>
      </c>
      <c r="X35" t="s">
        <v>220</v>
      </c>
      <c r="Z35"/>
      <c r="AB35"/>
      <c r="AD35" s="8" t="s">
        <v>222</v>
      </c>
      <c r="AF35" s="8" t="s">
        <v>230</v>
      </c>
      <c r="AG35"/>
      <c r="AH35"/>
      <c r="AI35"/>
      <c r="AJ35" t="s">
        <v>221</v>
      </c>
      <c r="AK35">
        <v>0</v>
      </c>
      <c r="AL35">
        <v>1</v>
      </c>
      <c r="AM35" t="s">
        <v>221</v>
      </c>
      <c r="AN35" t="s">
        <v>225</v>
      </c>
      <c r="AO35" t="s">
        <v>221</v>
      </c>
      <c r="AP35" t="s">
        <v>225</v>
      </c>
      <c r="AQ35" t="s">
        <v>221</v>
      </c>
      <c r="AR35" t="s">
        <v>225</v>
      </c>
      <c r="AS35" t="s">
        <v>221</v>
      </c>
      <c r="AT35"/>
      <c r="AU35" t="s">
        <v>220</v>
      </c>
      <c r="AV35"/>
      <c r="AW35" s="313" t="s">
        <v>220</v>
      </c>
      <c r="AX35" t="s">
        <v>226</v>
      </c>
      <c r="AY35" s="313" t="s">
        <v>220</v>
      </c>
      <c r="AZ35" s="313">
        <v>7.5300000000000002E-3</v>
      </c>
      <c r="BB35" s="313" t="s">
        <v>220</v>
      </c>
      <c r="BC35">
        <v>4.28E-3</v>
      </c>
      <c r="BD35" t="s">
        <v>220</v>
      </c>
      <c r="BE35">
        <v>5.77E-3</v>
      </c>
      <c r="BF35" s="2" t="s">
        <v>220</v>
      </c>
      <c r="BH35" s="2" t="s">
        <v>228</v>
      </c>
      <c r="BI35" s="2" t="s">
        <v>457</v>
      </c>
      <c r="BM35"/>
      <c r="BP35" s="8"/>
      <c r="BQ35" t="s">
        <v>230</v>
      </c>
      <c r="BR35" t="s">
        <v>222</v>
      </c>
      <c r="BU35" t="s">
        <v>231</v>
      </c>
      <c r="BV35" t="s">
        <v>223</v>
      </c>
      <c r="BW35" t="s">
        <v>232</v>
      </c>
      <c r="BX35" t="s">
        <v>276</v>
      </c>
      <c r="BY35" t="s">
        <v>220</v>
      </c>
      <c r="BZ35">
        <v>0.127</v>
      </c>
      <c r="CA35" t="s">
        <v>234</v>
      </c>
      <c r="CF35" t="s">
        <v>220</v>
      </c>
      <c r="CG35">
        <v>2.5400000000000002E-3</v>
      </c>
      <c r="CH35" t="s">
        <v>220</v>
      </c>
      <c r="CI35">
        <v>1.97E-3</v>
      </c>
      <c r="CK35"/>
      <c r="CL35"/>
      <c r="CM35"/>
      <c r="CS35" s="8"/>
      <c r="CW35" t="s">
        <v>220</v>
      </c>
      <c r="CX35" t="s">
        <v>220</v>
      </c>
      <c r="CY35" t="s">
        <v>231</v>
      </c>
      <c r="CZ35" t="s">
        <v>227</v>
      </c>
      <c r="DA35" t="s">
        <v>227</v>
      </c>
      <c r="DB35" t="s">
        <v>227</v>
      </c>
      <c r="DC35"/>
      <c r="DD35"/>
      <c r="DE35"/>
      <c r="DF35"/>
      <c r="DG35"/>
      <c r="DH35" s="323"/>
      <c r="DI35" s="323"/>
      <c r="DJ35" s="323"/>
      <c r="DL35" t="s">
        <v>220</v>
      </c>
      <c r="DM35" t="s">
        <v>220</v>
      </c>
      <c r="DN35" t="s">
        <v>227</v>
      </c>
      <c r="DO35" t="s">
        <v>220</v>
      </c>
      <c r="DP35" t="s">
        <v>220</v>
      </c>
      <c r="DS35" s="338">
        <v>555.37</v>
      </c>
      <c r="DT35" s="8" t="s">
        <v>394</v>
      </c>
      <c r="DU35" s="338">
        <v>525.54999999999995</v>
      </c>
      <c r="DV35" s="8" t="s">
        <v>394</v>
      </c>
      <c r="DW35"/>
      <c r="DX35" t="s">
        <v>235</v>
      </c>
      <c r="DY35">
        <v>2830</v>
      </c>
      <c r="DZ35" t="s">
        <v>238</v>
      </c>
      <c r="EA35"/>
      <c r="EB35"/>
      <c r="ED35" s="410"/>
      <c r="EE35" s="1"/>
      <c r="EG35" s="410"/>
      <c r="EI35" s="410"/>
      <c r="EK35" s="1">
        <v>64</v>
      </c>
      <c r="EL35" s="8" t="s">
        <v>324</v>
      </c>
      <c r="EM35"/>
      <c r="EQ35" s="344"/>
      <c r="EU35" s="344"/>
      <c r="EW35" s="409"/>
      <c r="EY35" s="1"/>
      <c r="FA35">
        <v>91.08</v>
      </c>
      <c r="FB35" t="s">
        <v>225</v>
      </c>
      <c r="FC35" s="7">
        <v>701.94001396958004</v>
      </c>
      <c r="FD35" s="357" t="s">
        <v>225</v>
      </c>
      <c r="FE35" s="8">
        <v>15.552492479174662</v>
      </c>
      <c r="FF35" t="s">
        <v>237</v>
      </c>
      <c r="FH35" s="9">
        <v>278.61211686297696</v>
      </c>
      <c r="FI35" s="9" t="s">
        <v>225</v>
      </c>
      <c r="FJ35">
        <v>1620</v>
      </c>
      <c r="FK35" t="s">
        <v>238</v>
      </c>
      <c r="FL35">
        <v>150</v>
      </c>
      <c r="FM35">
        <v>208.16130409176409</v>
      </c>
      <c r="FN35" s="5" t="s">
        <v>237</v>
      </c>
      <c r="FP35" s="6">
        <v>64</v>
      </c>
      <c r="FQ35" t="s">
        <v>260</v>
      </c>
      <c r="FS35" t="s">
        <v>261</v>
      </c>
      <c r="FU35" s="8">
        <v>1</v>
      </c>
      <c r="FV35" s="8">
        <v>10</v>
      </c>
      <c r="FW35" s="8">
        <v>10</v>
      </c>
      <c r="FX35" s="8">
        <v>1</v>
      </c>
      <c r="FY35" s="8">
        <v>3</v>
      </c>
      <c r="FZ35">
        <f t="shared" si="0"/>
        <v>300</v>
      </c>
      <c r="GA35" s="7" t="s">
        <v>494</v>
      </c>
      <c r="GB35" s="7" t="s">
        <v>494</v>
      </c>
      <c r="GC35" s="6">
        <v>1.5</v>
      </c>
      <c r="GD35" s="348" t="s">
        <v>383</v>
      </c>
      <c r="GF35" s="6">
        <v>4.6435352810496162E-2</v>
      </c>
      <c r="GH35" s="7"/>
      <c r="GI35" s="441"/>
      <c r="GJ35" s="441"/>
      <c r="GK35" s="441"/>
      <c r="GL35" s="441"/>
      <c r="GM35" s="454"/>
      <c r="GN35" s="441"/>
      <c r="GO35" s="441"/>
      <c r="GP35" s="441"/>
      <c r="GQ35" s="441"/>
      <c r="GR35" s="441"/>
      <c r="GS35" s="441"/>
      <c r="GT35" s="441"/>
      <c r="GU35" s="441"/>
      <c r="GV35" s="441"/>
      <c r="GW35" s="441"/>
      <c r="GX35" s="441"/>
      <c r="GY35" s="441"/>
      <c r="GZ35" s="441"/>
      <c r="HA35" s="441"/>
      <c r="HB35" s="441"/>
      <c r="HC35" s="441"/>
      <c r="HD35" s="441"/>
      <c r="HE35" s="441"/>
      <c r="HF35" s="441"/>
      <c r="HG35" s="441"/>
      <c r="HH35" s="441"/>
      <c r="HI35" s="441"/>
      <c r="HJ35" s="441"/>
      <c r="HK35" s="441"/>
      <c r="HL35" s="441"/>
      <c r="HM35" s="441"/>
      <c r="HN35" s="441"/>
      <c r="HO35" s="441"/>
      <c r="HP35" s="441"/>
      <c r="HQ35" s="441"/>
      <c r="HR35" s="441"/>
      <c r="HS35" s="441"/>
      <c r="HT35" s="441"/>
      <c r="HU35" s="441"/>
      <c r="HV35" s="441"/>
      <c r="HW35" s="441"/>
      <c r="HX35" s="441"/>
      <c r="HY35" s="441"/>
      <c r="HZ35" s="441"/>
      <c r="IA35" s="441"/>
      <c r="IB35" s="441"/>
      <c r="IC35" s="441"/>
      <c r="ID35" s="441"/>
      <c r="IE35" s="441"/>
      <c r="IF35" s="441"/>
      <c r="IH35" t="s">
        <v>235</v>
      </c>
    </row>
    <row r="36" spans="1:242" ht="58" x14ac:dyDescent="0.35">
      <c r="A36" s="310" t="s">
        <v>495</v>
      </c>
      <c r="B36" s="313" t="s">
        <v>496</v>
      </c>
      <c r="C36" s="310" t="s">
        <v>497</v>
      </c>
      <c r="D36" s="316"/>
      <c r="F36" t="s">
        <v>498</v>
      </c>
      <c r="I36" s="310" t="s">
        <v>499</v>
      </c>
      <c r="M36" s="313"/>
      <c r="O36"/>
      <c r="P36" s="381"/>
      <c r="Q36"/>
      <c r="T36" s="8"/>
      <c r="U36"/>
      <c r="V36" s="313"/>
      <c r="W36"/>
      <c r="X36"/>
      <c r="Z36"/>
      <c r="AB36"/>
      <c r="AD36" s="8" t="s">
        <v>230</v>
      </c>
      <c r="AF36" s="8" t="s">
        <v>230</v>
      </c>
      <c r="AG36"/>
      <c r="AH36"/>
      <c r="AI36"/>
      <c r="AJ36" t="s">
        <v>221</v>
      </c>
      <c r="AK36">
        <v>0</v>
      </c>
      <c r="AL36">
        <v>0.75</v>
      </c>
      <c r="AM36" t="s">
        <v>221</v>
      </c>
      <c r="AN36" t="s">
        <v>223</v>
      </c>
      <c r="AO36" t="s">
        <v>221</v>
      </c>
      <c r="AP36" t="s">
        <v>223</v>
      </c>
      <c r="AQ36" t="s">
        <v>221</v>
      </c>
      <c r="AR36" t="s">
        <v>225</v>
      </c>
      <c r="AS36" t="s">
        <v>221</v>
      </c>
      <c r="AT36" t="s">
        <v>225</v>
      </c>
      <c r="AU36" t="s">
        <v>220</v>
      </c>
      <c r="AV36"/>
      <c r="AW36" s="313" t="s">
        <v>220</v>
      </c>
      <c r="AX36" t="s">
        <v>226</v>
      </c>
      <c r="AY36" s="313" t="s">
        <v>220</v>
      </c>
      <c r="AZ36" s="313">
        <v>5.0599999999999999E-2</v>
      </c>
      <c r="BB36" s="313" t="s">
        <v>220</v>
      </c>
      <c r="BC36">
        <v>3.1300000000000001E-2</v>
      </c>
      <c r="BD36" t="s">
        <v>220</v>
      </c>
      <c r="BE36">
        <v>5.9900000000000002E-2</v>
      </c>
      <c r="BF36" s="2" t="s">
        <v>220</v>
      </c>
      <c r="BG36" s="2" t="s">
        <v>273</v>
      </c>
      <c r="BH36" s="2" t="s">
        <v>274</v>
      </c>
      <c r="BI36" s="2" t="s">
        <v>275</v>
      </c>
      <c r="BM36"/>
      <c r="BP36" s="8"/>
      <c r="BQ36" t="s">
        <v>230</v>
      </c>
      <c r="BR36" t="s">
        <v>230</v>
      </c>
      <c r="BU36" t="s">
        <v>231</v>
      </c>
      <c r="BV36" t="s">
        <v>223</v>
      </c>
      <c r="BW36" t="s">
        <v>232</v>
      </c>
      <c r="BX36" t="s">
        <v>500</v>
      </c>
      <c r="BY36" t="s">
        <v>220</v>
      </c>
      <c r="BZ36">
        <v>0.24199999999999999</v>
      </c>
      <c r="CA36" t="s">
        <v>234</v>
      </c>
      <c r="CF36" t="s">
        <v>220</v>
      </c>
      <c r="CG36">
        <v>9.8100000000000007E-2</v>
      </c>
      <c r="CH36" t="s">
        <v>220</v>
      </c>
      <c r="CI36">
        <v>4.1700000000000001E-2</v>
      </c>
      <c r="CK36"/>
      <c r="CL36"/>
      <c r="CM36"/>
      <c r="CS36" s="8"/>
      <c r="CW36" t="s">
        <v>220</v>
      </c>
      <c r="CX36" t="s">
        <v>220</v>
      </c>
      <c r="CY36" t="s">
        <v>231</v>
      </c>
      <c r="CZ36" t="s">
        <v>220</v>
      </c>
      <c r="DA36" t="s">
        <v>227</v>
      </c>
      <c r="DB36" t="s">
        <v>227</v>
      </c>
      <c r="DC36"/>
      <c r="DD36"/>
      <c r="DE36"/>
      <c r="DF36"/>
      <c r="DG36"/>
      <c r="DH36" s="323"/>
      <c r="DI36" s="323"/>
      <c r="DJ36" s="323"/>
      <c r="DL36" t="s">
        <v>220</v>
      </c>
      <c r="DM36" t="s">
        <v>220</v>
      </c>
      <c r="DN36" t="s">
        <v>257</v>
      </c>
      <c r="DO36" t="s">
        <v>220</v>
      </c>
      <c r="DP36" t="s">
        <v>257</v>
      </c>
      <c r="DS36" s="309">
        <v>257.12099999999998</v>
      </c>
      <c r="DU36" s="309">
        <v>330.55700000000002</v>
      </c>
      <c r="DW36">
        <v>171</v>
      </c>
      <c r="DX36" t="s">
        <v>238</v>
      </c>
      <c r="DY36">
        <v>1350</v>
      </c>
      <c r="DZ36" t="s">
        <v>238</v>
      </c>
      <c r="EA36"/>
      <c r="EB36"/>
      <c r="ED36" s="410"/>
      <c r="EE36" s="1"/>
      <c r="EG36" s="410"/>
      <c r="EI36" s="410"/>
      <c r="EK36" s="1"/>
      <c r="EM36"/>
      <c r="EQ36" s="344"/>
      <c r="EU36" s="344"/>
      <c r="EW36" s="409"/>
      <c r="EY36" s="1"/>
      <c r="FA36">
        <v>5.15</v>
      </c>
      <c r="FB36" t="s">
        <v>236</v>
      </c>
      <c r="FC36" s="7">
        <v>520.71489403399198</v>
      </c>
      <c r="FD36" s="357" t="s">
        <v>225</v>
      </c>
      <c r="FE36" s="8">
        <v>1.8272585386997731</v>
      </c>
      <c r="FF36" t="s">
        <v>237</v>
      </c>
      <c r="FH36" s="9">
        <v>107.59695972076868</v>
      </c>
      <c r="FI36" s="9" t="s">
        <v>236</v>
      </c>
      <c r="FJ36">
        <v>253</v>
      </c>
      <c r="FK36" t="s">
        <v>238</v>
      </c>
      <c r="FL36">
        <v>93.3</v>
      </c>
      <c r="FM36">
        <v>10.046157902783955</v>
      </c>
      <c r="FN36" s="5" t="s">
        <v>237</v>
      </c>
      <c r="FP36" s="6">
        <v>0.50230789513919771</v>
      </c>
      <c r="FQ36" t="s">
        <v>277</v>
      </c>
      <c r="FS36" t="s">
        <v>240</v>
      </c>
      <c r="FU36" s="8">
        <v>2</v>
      </c>
      <c r="FV36" s="8">
        <v>10</v>
      </c>
      <c r="FW36" s="8">
        <v>10</v>
      </c>
      <c r="FX36" s="8">
        <v>10</v>
      </c>
      <c r="FY36" s="8">
        <v>3</v>
      </c>
      <c r="FZ36">
        <f t="shared" si="0"/>
        <v>6000</v>
      </c>
      <c r="GA36" s="7" t="s">
        <v>326</v>
      </c>
      <c r="GB36" s="7" t="s">
        <v>326</v>
      </c>
      <c r="GC36" s="6">
        <v>1.5</v>
      </c>
      <c r="GD36" s="348" t="s">
        <v>242</v>
      </c>
      <c r="GF36" s="6">
        <v>3.0454308978329551E-3</v>
      </c>
      <c r="GH36" s="7"/>
      <c r="GI36" s="441" t="s">
        <v>395</v>
      </c>
      <c r="GJ36" s="441" t="s">
        <v>395</v>
      </c>
      <c r="GK36" s="441" t="s">
        <v>395</v>
      </c>
      <c r="GL36" s="441" t="s">
        <v>395</v>
      </c>
      <c r="GM36" s="460" t="s">
        <v>295</v>
      </c>
      <c r="GN36" s="6">
        <v>0.01</v>
      </c>
      <c r="GO36" s="6">
        <v>1.8749999999999999E-2</v>
      </c>
      <c r="GP36" s="6">
        <v>0.03</v>
      </c>
      <c r="GQ36" s="6">
        <v>7.4999999999999997E-2</v>
      </c>
      <c r="GR36" s="460" t="s">
        <v>295</v>
      </c>
      <c r="GU36" t="s">
        <v>243</v>
      </c>
      <c r="GV36" t="s">
        <v>236</v>
      </c>
      <c r="GW36" t="s">
        <v>244</v>
      </c>
      <c r="GX36" t="s">
        <v>236</v>
      </c>
      <c r="GY36" t="s">
        <v>245</v>
      </c>
      <c r="HE36" t="s">
        <v>247</v>
      </c>
      <c r="HF36" t="s">
        <v>225</v>
      </c>
      <c r="HG36" t="s">
        <v>317</v>
      </c>
      <c r="HH36" t="s">
        <v>236</v>
      </c>
      <c r="HI36" t="s">
        <v>247</v>
      </c>
      <c r="HJ36" t="s">
        <v>225</v>
      </c>
      <c r="HK36" t="s">
        <v>266</v>
      </c>
      <c r="HO36" t="s">
        <v>231</v>
      </c>
      <c r="HP36" t="s">
        <v>223</v>
      </c>
      <c r="HQ36" t="s">
        <v>231</v>
      </c>
      <c r="HR36" t="s">
        <v>223</v>
      </c>
      <c r="HU36" t="s">
        <v>231</v>
      </c>
      <c r="HV36" t="s">
        <v>223</v>
      </c>
      <c r="HW36" t="s">
        <v>482</v>
      </c>
      <c r="HX36" t="s">
        <v>223</v>
      </c>
      <c r="IA36" t="s">
        <v>231</v>
      </c>
      <c r="IB36" t="s">
        <v>250</v>
      </c>
      <c r="IC36" t="s">
        <v>395</v>
      </c>
      <c r="ID36" t="s">
        <v>395</v>
      </c>
      <c r="IE36" t="s">
        <v>395</v>
      </c>
      <c r="IF36" t="s">
        <v>395</v>
      </c>
      <c r="IG36" s="459" t="s">
        <v>451</v>
      </c>
      <c r="IH36" t="s">
        <v>235</v>
      </c>
    </row>
    <row r="37" spans="1:242" x14ac:dyDescent="0.35">
      <c r="A37" s="310" t="s">
        <v>501</v>
      </c>
      <c r="B37" s="313" t="s">
        <v>502</v>
      </c>
      <c r="C37" s="310" t="s">
        <v>503</v>
      </c>
      <c r="D37" s="316"/>
      <c r="F37" t="s">
        <v>504</v>
      </c>
      <c r="I37" s="310" t="s">
        <v>505</v>
      </c>
      <c r="M37" s="313"/>
      <c r="O37"/>
      <c r="P37" s="381"/>
      <c r="Q37"/>
      <c r="T37" s="8"/>
      <c r="U37"/>
      <c r="V37" s="313"/>
      <c r="W37" t="s">
        <v>220</v>
      </c>
      <c r="X37" t="s">
        <v>220</v>
      </c>
      <c r="Z37" t="s">
        <v>220</v>
      </c>
      <c r="AB37"/>
      <c r="AD37" s="8" t="s">
        <v>222</v>
      </c>
      <c r="AF37" s="8" t="s">
        <v>230</v>
      </c>
      <c r="AG37"/>
      <c r="AH37"/>
      <c r="AI37"/>
      <c r="AJ37" t="s">
        <v>221</v>
      </c>
      <c r="AK37">
        <v>0</v>
      </c>
      <c r="AL37">
        <v>0.82499999999999996</v>
      </c>
      <c r="AM37" t="s">
        <v>221</v>
      </c>
      <c r="AN37" t="s">
        <v>223</v>
      </c>
      <c r="AO37" t="s">
        <v>221</v>
      </c>
      <c r="AP37" t="s">
        <v>223</v>
      </c>
      <c r="AQ37" t="s">
        <v>221</v>
      </c>
      <c r="AR37" t="s">
        <v>225</v>
      </c>
      <c r="AS37" t="s">
        <v>221</v>
      </c>
      <c r="AT37" t="s">
        <v>223</v>
      </c>
      <c r="AU37" t="s">
        <v>220</v>
      </c>
      <c r="AV37"/>
      <c r="AW37" s="313" t="s">
        <v>220</v>
      </c>
      <c r="AX37" t="s">
        <v>226</v>
      </c>
      <c r="AY37" s="313" t="s">
        <v>220</v>
      </c>
      <c r="AZ37" s="313">
        <v>2.69E-2</v>
      </c>
      <c r="BB37" s="313" t="s">
        <v>220</v>
      </c>
      <c r="BC37">
        <v>1.4200000000000001E-2</v>
      </c>
      <c r="BD37" t="s">
        <v>220</v>
      </c>
      <c r="BE37">
        <v>5.1400000000000001E-2</v>
      </c>
      <c r="BF37" s="2" t="s">
        <v>220</v>
      </c>
      <c r="BH37" s="2" t="s">
        <v>228</v>
      </c>
      <c r="BI37" s="2" t="s">
        <v>392</v>
      </c>
      <c r="BM37"/>
      <c r="BP37" s="8"/>
      <c r="BQ37" t="s">
        <v>230</v>
      </c>
      <c r="BR37" t="s">
        <v>230</v>
      </c>
      <c r="BU37" t="s">
        <v>317</v>
      </c>
      <c r="BV37" t="s">
        <v>236</v>
      </c>
      <c r="BW37" t="s">
        <v>232</v>
      </c>
      <c r="BX37" t="s">
        <v>276</v>
      </c>
      <c r="BY37" t="s">
        <v>220</v>
      </c>
      <c r="BZ37">
        <v>0.23799999999999999</v>
      </c>
      <c r="CA37" t="s">
        <v>234</v>
      </c>
      <c r="CF37" t="s">
        <v>220</v>
      </c>
      <c r="CG37">
        <v>0.124</v>
      </c>
      <c r="CH37" t="s">
        <v>220</v>
      </c>
      <c r="CI37">
        <v>0.12</v>
      </c>
      <c r="CK37"/>
      <c r="CL37"/>
      <c r="CM37"/>
      <c r="CS37" s="8"/>
      <c r="CW37" t="s">
        <v>257</v>
      </c>
      <c r="CX37" t="s">
        <v>220</v>
      </c>
      <c r="CY37" t="s">
        <v>231</v>
      </c>
      <c r="CZ37" t="s">
        <v>227</v>
      </c>
      <c r="DA37" t="s">
        <v>227</v>
      </c>
      <c r="DB37" t="s">
        <v>227</v>
      </c>
      <c r="DC37"/>
      <c r="DD37"/>
      <c r="DE37"/>
      <c r="DF37"/>
      <c r="DG37"/>
      <c r="DH37" s="323"/>
      <c r="DI37" s="323"/>
      <c r="DJ37" s="323"/>
      <c r="DL37" t="s">
        <v>220</v>
      </c>
      <c r="DM37" t="s">
        <v>220</v>
      </c>
      <c r="DN37" t="s">
        <v>227</v>
      </c>
      <c r="DO37" t="s">
        <v>220</v>
      </c>
      <c r="DP37" t="s">
        <v>220</v>
      </c>
      <c r="DS37" s="309">
        <v>157.404</v>
      </c>
      <c r="DU37" s="309">
        <v>403.42399999999998</v>
      </c>
      <c r="DW37"/>
      <c r="DX37" t="s">
        <v>235</v>
      </c>
      <c r="DY37">
        <v>2000</v>
      </c>
      <c r="DZ37" t="s">
        <v>238</v>
      </c>
      <c r="EA37"/>
      <c r="EB37"/>
      <c r="ED37" s="410"/>
      <c r="EE37" s="1"/>
      <c r="EG37" s="410"/>
      <c r="EI37" s="410"/>
      <c r="EK37" s="1"/>
      <c r="EM37"/>
      <c r="EQ37" s="344"/>
      <c r="EU37" s="344"/>
      <c r="EW37" s="409"/>
      <c r="EY37" s="1"/>
      <c r="FA37">
        <v>37.68</v>
      </c>
      <c r="FB37" t="s">
        <v>225</v>
      </c>
      <c r="FC37" s="7">
        <v>79.689297807424651</v>
      </c>
      <c r="FD37" s="357" t="s">
        <v>225</v>
      </c>
      <c r="FE37" s="8">
        <v>44.289420719863614</v>
      </c>
      <c r="FF37" t="s">
        <v>237</v>
      </c>
      <c r="FH37" s="9">
        <v>88.552331450285536</v>
      </c>
      <c r="FI37" s="9" t="s">
        <v>225</v>
      </c>
      <c r="FK37" t="s">
        <v>235</v>
      </c>
      <c r="FL37">
        <v>161</v>
      </c>
      <c r="FM37">
        <v>236.15655239177195</v>
      </c>
      <c r="FN37" s="5" t="s">
        <v>237</v>
      </c>
      <c r="FP37" s="6">
        <v>11.807827619588597</v>
      </c>
      <c r="FQ37" t="s">
        <v>277</v>
      </c>
      <c r="FS37" t="s">
        <v>240</v>
      </c>
      <c r="FU37" s="8">
        <v>2</v>
      </c>
      <c r="FV37" s="8">
        <v>10</v>
      </c>
      <c r="FW37" s="8">
        <v>10</v>
      </c>
      <c r="FX37" s="8">
        <v>10</v>
      </c>
      <c r="FY37" s="8">
        <v>3</v>
      </c>
      <c r="FZ37">
        <f t="shared" si="0"/>
        <v>6000</v>
      </c>
      <c r="GA37" s="7" t="s">
        <v>326</v>
      </c>
      <c r="GB37" s="7" t="s">
        <v>326</v>
      </c>
      <c r="GC37" s="6">
        <v>1.5</v>
      </c>
      <c r="GD37" s="348" t="s">
        <v>383</v>
      </c>
      <c r="GF37" s="6">
        <v>1.4758721908380922E-2</v>
      </c>
      <c r="GH37" s="7"/>
      <c r="GI37" s="441">
        <v>0.26200000000000001</v>
      </c>
      <c r="GJ37" s="441">
        <v>0.49199999999999999</v>
      </c>
      <c r="GK37" s="441">
        <v>0.78700000000000003</v>
      </c>
      <c r="GL37" s="441">
        <v>1.968</v>
      </c>
      <c r="GM37" s="452" t="s">
        <v>262</v>
      </c>
      <c r="GN37" s="6">
        <v>0.01</v>
      </c>
      <c r="GO37" s="6">
        <v>1.8749999999999999E-2</v>
      </c>
      <c r="GP37" s="6">
        <v>0.03</v>
      </c>
      <c r="GQ37" s="6">
        <v>7.4999999999999997E-2</v>
      </c>
      <c r="GR37" s="6" t="s">
        <v>230</v>
      </c>
      <c r="GU37" t="s">
        <v>365</v>
      </c>
      <c r="GV37" t="s">
        <v>225</v>
      </c>
      <c r="GW37" t="s">
        <v>359</v>
      </c>
      <c r="GX37" t="s">
        <v>225</v>
      </c>
      <c r="GY37" t="s">
        <v>245</v>
      </c>
      <c r="HE37" t="s">
        <v>247</v>
      </c>
      <c r="HF37" t="s">
        <v>223</v>
      </c>
      <c r="HG37" t="s">
        <v>231</v>
      </c>
      <c r="HH37" t="s">
        <v>225</v>
      </c>
      <c r="HI37" t="s">
        <v>247</v>
      </c>
      <c r="HJ37" t="s">
        <v>223</v>
      </c>
      <c r="HK37" t="s">
        <v>418</v>
      </c>
      <c r="HO37" t="s">
        <v>231</v>
      </c>
      <c r="HP37" t="s">
        <v>223</v>
      </c>
      <c r="HQ37" t="s">
        <v>231</v>
      </c>
      <c r="HR37" t="s">
        <v>223</v>
      </c>
      <c r="HU37" t="s">
        <v>231</v>
      </c>
      <c r="HV37" t="s">
        <v>223</v>
      </c>
      <c r="HW37" t="s">
        <v>506</v>
      </c>
      <c r="HX37" t="s">
        <v>223</v>
      </c>
      <c r="IA37" t="s">
        <v>231</v>
      </c>
      <c r="IB37" t="s">
        <v>250</v>
      </c>
      <c r="IC37">
        <v>0.26200000000000001</v>
      </c>
      <c r="ID37">
        <v>0.49199999999999999</v>
      </c>
      <c r="IE37">
        <v>0.78700000000000003</v>
      </c>
      <c r="IF37">
        <v>1.968</v>
      </c>
      <c r="IH37" t="s">
        <v>267</v>
      </c>
    </row>
    <row r="38" spans="1:242" x14ac:dyDescent="0.35">
      <c r="A38" s="310" t="s">
        <v>507</v>
      </c>
      <c r="B38" s="313" t="s">
        <v>508</v>
      </c>
      <c r="C38" s="310" t="s">
        <v>509</v>
      </c>
      <c r="D38" s="316"/>
      <c r="F38" t="s">
        <v>510</v>
      </c>
      <c r="I38" s="310" t="s">
        <v>511</v>
      </c>
      <c r="M38" s="313"/>
      <c r="O38"/>
      <c r="P38" s="381"/>
      <c r="Q38"/>
      <c r="T38" s="8"/>
      <c r="U38"/>
      <c r="V38" s="313"/>
      <c r="W38"/>
      <c r="X38"/>
      <c r="Z38"/>
      <c r="AB38"/>
      <c r="AD38" s="8" t="s">
        <v>230</v>
      </c>
      <c r="AF38" s="8" t="s">
        <v>230</v>
      </c>
      <c r="AG38"/>
      <c r="AH38"/>
      <c r="AI38"/>
      <c r="AJ38" t="s">
        <v>221</v>
      </c>
      <c r="AK38">
        <v>0</v>
      </c>
      <c r="AL38">
        <v>0.75</v>
      </c>
      <c r="AM38" t="s">
        <v>221</v>
      </c>
      <c r="AN38" t="s">
        <v>223</v>
      </c>
      <c r="AO38" t="s">
        <v>221</v>
      </c>
      <c r="AP38" t="s">
        <v>223</v>
      </c>
      <c r="AQ38" t="s">
        <v>221</v>
      </c>
      <c r="AR38" t="s">
        <v>225</v>
      </c>
      <c r="AS38" t="s">
        <v>221</v>
      </c>
      <c r="AT38" t="s">
        <v>225</v>
      </c>
      <c r="AU38" t="s">
        <v>220</v>
      </c>
      <c r="AV38"/>
      <c r="AW38" s="313" t="s">
        <v>220</v>
      </c>
      <c r="AX38" t="s">
        <v>226</v>
      </c>
      <c r="AY38" s="313" t="s">
        <v>220</v>
      </c>
      <c r="AZ38" s="313">
        <v>5.9499999999999997E-2</v>
      </c>
      <c r="BB38" s="313" t="s">
        <v>220</v>
      </c>
      <c r="BC38">
        <v>3.3599999999999998E-2</v>
      </c>
      <c r="BD38" t="s">
        <v>220</v>
      </c>
      <c r="BE38">
        <v>1.67E-2</v>
      </c>
      <c r="BF38" s="2" t="s">
        <v>220</v>
      </c>
      <c r="BG38" s="2" t="s">
        <v>273</v>
      </c>
      <c r="BH38" s="2" t="s">
        <v>274</v>
      </c>
      <c r="BI38" s="2" t="s">
        <v>275</v>
      </c>
      <c r="BM38"/>
      <c r="BP38" s="8"/>
      <c r="BQ38" t="s">
        <v>230</v>
      </c>
      <c r="BR38" t="s">
        <v>230</v>
      </c>
      <c r="BU38" t="s">
        <v>231</v>
      </c>
      <c r="BV38" t="s">
        <v>223</v>
      </c>
      <c r="BW38" t="s">
        <v>232</v>
      </c>
      <c r="BX38" t="s">
        <v>276</v>
      </c>
      <c r="BY38" t="s">
        <v>220</v>
      </c>
      <c r="BZ38">
        <v>0.23899999999999999</v>
      </c>
      <c r="CA38" t="s">
        <v>234</v>
      </c>
      <c r="CF38" t="s">
        <v>220</v>
      </c>
      <c r="CG38">
        <v>5.9299999999999999E-2</v>
      </c>
      <c r="CH38" t="s">
        <v>220</v>
      </c>
      <c r="CI38">
        <v>8.2199999999999995E-2</v>
      </c>
      <c r="CK38"/>
      <c r="CL38"/>
      <c r="CM38"/>
      <c r="CS38" s="8"/>
      <c r="CW38" t="s">
        <v>220</v>
      </c>
      <c r="CX38" t="s">
        <v>257</v>
      </c>
      <c r="CY38" t="s">
        <v>231</v>
      </c>
      <c r="CZ38" t="s">
        <v>220</v>
      </c>
      <c r="DA38" t="s">
        <v>220</v>
      </c>
      <c r="DB38" t="s">
        <v>227</v>
      </c>
      <c r="DC38"/>
      <c r="DD38"/>
      <c r="DE38"/>
      <c r="DF38"/>
      <c r="DG38"/>
      <c r="DH38" s="323"/>
      <c r="DI38" s="323"/>
      <c r="DJ38" s="323"/>
      <c r="DL38" t="s">
        <v>220</v>
      </c>
      <c r="DM38" t="s">
        <v>220</v>
      </c>
      <c r="DN38" t="s">
        <v>227</v>
      </c>
      <c r="DO38" t="s">
        <v>257</v>
      </c>
      <c r="DP38" t="s">
        <v>257</v>
      </c>
      <c r="DS38" s="338">
        <v>202.40899999999999</v>
      </c>
      <c r="DT38" s="8" t="s">
        <v>394</v>
      </c>
      <c r="DU38" s="309">
        <v>402.07799999999997</v>
      </c>
      <c r="DW38">
        <v>1070</v>
      </c>
      <c r="DX38" t="s">
        <v>238</v>
      </c>
      <c r="DY38">
        <v>957</v>
      </c>
      <c r="DZ38" t="s">
        <v>238</v>
      </c>
      <c r="EA38"/>
      <c r="EB38"/>
      <c r="ED38" s="410"/>
      <c r="EE38" s="1"/>
      <c r="EG38" s="410"/>
      <c r="EI38" s="410"/>
      <c r="EK38" s="1"/>
      <c r="EM38"/>
      <c r="EQ38" s="344"/>
      <c r="EU38" s="344"/>
      <c r="EW38" s="409"/>
      <c r="EY38" s="1"/>
      <c r="FA38">
        <v>187.79</v>
      </c>
      <c r="FB38" t="s">
        <v>236</v>
      </c>
      <c r="FC38" s="7">
        <v>834.44938708284383</v>
      </c>
      <c r="FD38" s="357" t="s">
        <v>236</v>
      </c>
      <c r="FE38" s="8">
        <v>5.9006519699566633</v>
      </c>
      <c r="FF38" t="s">
        <v>237</v>
      </c>
      <c r="FH38" s="9">
        <v>311.88895840939409</v>
      </c>
      <c r="FI38" s="9" t="s">
        <v>236</v>
      </c>
      <c r="FJ38">
        <v>287</v>
      </c>
      <c r="FK38" t="s">
        <v>238</v>
      </c>
      <c r="FL38">
        <v>285</v>
      </c>
      <c r="FM38">
        <v>20.806546433822859</v>
      </c>
      <c r="FN38" s="5" t="s">
        <v>237</v>
      </c>
      <c r="FP38" s="6">
        <v>1.0403273216911431</v>
      </c>
      <c r="FQ38" t="s">
        <v>277</v>
      </c>
      <c r="FS38" t="s">
        <v>240</v>
      </c>
      <c r="FU38" s="8">
        <v>2</v>
      </c>
      <c r="FV38" s="8">
        <v>10</v>
      </c>
      <c r="FW38" s="8">
        <v>10</v>
      </c>
      <c r="FX38" s="8">
        <v>10</v>
      </c>
      <c r="FY38" s="8">
        <v>3</v>
      </c>
      <c r="FZ38">
        <f t="shared" si="0"/>
        <v>6000</v>
      </c>
      <c r="GA38" s="7" t="s">
        <v>326</v>
      </c>
      <c r="GB38" s="7" t="s">
        <v>326</v>
      </c>
      <c r="GC38" s="6">
        <v>1.5</v>
      </c>
      <c r="GD38" s="348" t="s">
        <v>242</v>
      </c>
      <c r="GF38" s="6">
        <v>9.8344199499277724E-3</v>
      </c>
      <c r="GH38" s="7"/>
      <c r="GI38" s="441"/>
      <c r="GJ38" s="441"/>
      <c r="GK38" s="441"/>
      <c r="GL38" s="441"/>
      <c r="GM38" s="452"/>
      <c r="GU38" t="s">
        <v>243</v>
      </c>
      <c r="GV38" t="s">
        <v>225</v>
      </c>
      <c r="GW38" t="s">
        <v>244</v>
      </c>
      <c r="GX38" t="s">
        <v>236</v>
      </c>
      <c r="GY38" t="s">
        <v>245</v>
      </c>
      <c r="HE38" t="s">
        <v>384</v>
      </c>
      <c r="HF38" t="s">
        <v>223</v>
      </c>
      <c r="HG38" t="s">
        <v>317</v>
      </c>
      <c r="HH38" t="s">
        <v>236</v>
      </c>
      <c r="HI38" t="s">
        <v>247</v>
      </c>
      <c r="HJ38" t="s">
        <v>223</v>
      </c>
      <c r="HK38" t="s">
        <v>266</v>
      </c>
      <c r="HO38" t="s">
        <v>231</v>
      </c>
      <c r="HP38" t="s">
        <v>223</v>
      </c>
      <c r="HQ38" t="s">
        <v>231</v>
      </c>
      <c r="HR38" t="s">
        <v>223</v>
      </c>
      <c r="HU38" t="s">
        <v>231</v>
      </c>
      <c r="HV38" t="s">
        <v>223</v>
      </c>
      <c r="HW38" t="s">
        <v>506</v>
      </c>
      <c r="HX38" t="s">
        <v>236</v>
      </c>
      <c r="IA38" t="s">
        <v>231</v>
      </c>
      <c r="IB38" t="s">
        <v>250</v>
      </c>
      <c r="IH38" t="s">
        <v>235</v>
      </c>
    </row>
    <row r="39" spans="1:242" ht="72.5" x14ac:dyDescent="0.35">
      <c r="A39" s="310" t="s">
        <v>512</v>
      </c>
      <c r="B39" s="313" t="s">
        <v>513</v>
      </c>
      <c r="C39" s="310" t="s">
        <v>514</v>
      </c>
      <c r="D39" s="316"/>
      <c r="F39" t="s">
        <v>510</v>
      </c>
      <c r="I39" s="310" t="s">
        <v>515</v>
      </c>
      <c r="M39" s="313"/>
      <c r="O39"/>
      <c r="P39" s="382"/>
      <c r="Q39"/>
      <c r="U39"/>
      <c r="V39" s="313"/>
      <c r="W39"/>
      <c r="X39"/>
      <c r="Z39"/>
      <c r="AB39"/>
      <c r="AD39" s="8" t="s">
        <v>230</v>
      </c>
      <c r="AF39" s="8" t="s">
        <v>230</v>
      </c>
      <c r="AG39"/>
      <c r="AH39"/>
      <c r="AI39"/>
      <c r="AJ39" t="s">
        <v>221</v>
      </c>
      <c r="AK39">
        <v>0</v>
      </c>
      <c r="AL39">
        <v>0.75</v>
      </c>
      <c r="AM39" t="s">
        <v>221</v>
      </c>
      <c r="AN39" t="s">
        <v>223</v>
      </c>
      <c r="AO39" t="s">
        <v>221</v>
      </c>
      <c r="AP39" t="s">
        <v>223</v>
      </c>
      <c r="AQ39" t="s">
        <v>221</v>
      </c>
      <c r="AR39" t="s">
        <v>225</v>
      </c>
      <c r="AS39" t="s">
        <v>221</v>
      </c>
      <c r="AT39" t="s">
        <v>225</v>
      </c>
      <c r="AU39" t="s">
        <v>220</v>
      </c>
      <c r="AV39"/>
      <c r="AW39" s="313" t="s">
        <v>220</v>
      </c>
      <c r="AX39" s="313" t="s">
        <v>226</v>
      </c>
      <c r="AY39" s="313" t="s">
        <v>220</v>
      </c>
      <c r="AZ39" s="313">
        <v>5.9499999999999997E-2</v>
      </c>
      <c r="BB39" s="313" t="s">
        <v>220</v>
      </c>
      <c r="BC39"/>
      <c r="BD39" t="s">
        <v>220</v>
      </c>
      <c r="BE39"/>
      <c r="BF39" s="2" t="s">
        <v>220</v>
      </c>
      <c r="BG39" s="2" t="s">
        <v>273</v>
      </c>
      <c r="BH39" s="2" t="s">
        <v>274</v>
      </c>
      <c r="BI39" s="2" t="s">
        <v>275</v>
      </c>
      <c r="BM39"/>
      <c r="BP39" s="8"/>
      <c r="BQ39" t="s">
        <v>230</v>
      </c>
      <c r="BR39" t="s">
        <v>230</v>
      </c>
      <c r="BU39" t="s">
        <v>231</v>
      </c>
      <c r="BV39" t="s">
        <v>223</v>
      </c>
      <c r="BW39" t="s">
        <v>232</v>
      </c>
      <c r="BX39" t="s">
        <v>276</v>
      </c>
      <c r="BY39"/>
      <c r="CA39" t="s">
        <v>234</v>
      </c>
      <c r="CK39"/>
      <c r="CL39"/>
      <c r="CM39"/>
      <c r="CS39" s="8"/>
      <c r="CY39" t="s">
        <v>231</v>
      </c>
      <c r="DC39"/>
      <c r="DD39"/>
      <c r="DE39"/>
      <c r="DF39"/>
      <c r="DG39"/>
      <c r="DH39" s="323"/>
      <c r="DI39" s="323"/>
      <c r="DJ39" s="323"/>
      <c r="DL39"/>
      <c r="DM39"/>
      <c r="DN39"/>
      <c r="DO39"/>
      <c r="DP39"/>
      <c r="DS39" s="338">
        <v>202.40899999999999</v>
      </c>
      <c r="DT39" s="8" t="s">
        <v>394</v>
      </c>
      <c r="DU39" s="309">
        <v>402.07799999999997</v>
      </c>
      <c r="DW39">
        <v>1070</v>
      </c>
      <c r="DX39" t="s">
        <v>238</v>
      </c>
      <c r="DY39">
        <v>957</v>
      </c>
      <c r="DZ39" t="s">
        <v>238</v>
      </c>
      <c r="EA39"/>
      <c r="EB39"/>
      <c r="ED39" s="410"/>
      <c r="EE39" s="1"/>
      <c r="EG39" s="410"/>
      <c r="EI39" s="410"/>
      <c r="EK39" s="1"/>
      <c r="EM39"/>
      <c r="EQ39" s="344"/>
      <c r="EU39" s="344"/>
      <c r="EW39" s="409"/>
      <c r="EY39" s="1"/>
      <c r="FA39">
        <v>187.79</v>
      </c>
      <c r="FB39" t="s">
        <v>236</v>
      </c>
      <c r="FC39" s="7">
        <v>834.44938708284383</v>
      </c>
      <c r="FD39" s="357" t="s">
        <v>236</v>
      </c>
      <c r="FE39" s="8">
        <v>5.9006519699566633</v>
      </c>
      <c r="FF39" t="s">
        <v>237</v>
      </c>
      <c r="FH39" s="9">
        <v>311.88895840939409</v>
      </c>
      <c r="FI39" s="9" t="s">
        <v>236</v>
      </c>
      <c r="FJ39">
        <v>287</v>
      </c>
      <c r="FK39" t="s">
        <v>238</v>
      </c>
      <c r="FL39">
        <v>285</v>
      </c>
      <c r="FM39">
        <v>20.806546433822859</v>
      </c>
      <c r="FN39" s="5" t="s">
        <v>237</v>
      </c>
      <c r="FP39" s="6">
        <v>1.0403273216911431</v>
      </c>
      <c r="FQ39" t="s">
        <v>277</v>
      </c>
      <c r="FS39" t="s">
        <v>240</v>
      </c>
      <c r="FU39" s="8">
        <v>2</v>
      </c>
      <c r="FV39" s="8">
        <v>10</v>
      </c>
      <c r="FW39" s="8">
        <v>10</v>
      </c>
      <c r="FX39" s="8">
        <v>10</v>
      </c>
      <c r="FY39" s="8">
        <v>3</v>
      </c>
      <c r="FZ39">
        <f t="shared" si="0"/>
        <v>6000</v>
      </c>
      <c r="GA39" s="7" t="s">
        <v>326</v>
      </c>
      <c r="GB39" s="7" t="s">
        <v>326</v>
      </c>
      <c r="GC39" s="6">
        <v>1.5</v>
      </c>
      <c r="GD39" s="348" t="s">
        <v>242</v>
      </c>
      <c r="GF39" s="6">
        <v>9.8344199499277724E-3</v>
      </c>
      <c r="GH39" s="7"/>
      <c r="GI39" s="441" t="s">
        <v>395</v>
      </c>
      <c r="GJ39" s="441" t="s">
        <v>395</v>
      </c>
      <c r="GK39" s="441" t="s">
        <v>395</v>
      </c>
      <c r="GL39" s="441" t="s">
        <v>395</v>
      </c>
      <c r="GM39" s="460" t="s">
        <v>516</v>
      </c>
      <c r="GN39" s="448"/>
      <c r="GO39" s="448"/>
      <c r="GP39" s="448"/>
      <c r="GQ39" s="448"/>
      <c r="GR39" s="460" t="s">
        <v>516</v>
      </c>
      <c r="GU39" t="s">
        <v>243</v>
      </c>
      <c r="GV39" t="s">
        <v>225</v>
      </c>
      <c r="GW39" t="s">
        <v>244</v>
      </c>
      <c r="GX39" t="s">
        <v>236</v>
      </c>
      <c r="HE39" t="s">
        <v>384</v>
      </c>
      <c r="HF39" t="s">
        <v>223</v>
      </c>
      <c r="HG39" t="s">
        <v>317</v>
      </c>
      <c r="HH39" t="s">
        <v>236</v>
      </c>
      <c r="HI39" t="s">
        <v>247</v>
      </c>
      <c r="HJ39" t="s">
        <v>223</v>
      </c>
      <c r="HK39" t="s">
        <v>266</v>
      </c>
      <c r="HO39" t="s">
        <v>231</v>
      </c>
      <c r="HP39" t="s">
        <v>223</v>
      </c>
      <c r="HQ39" t="s">
        <v>231</v>
      </c>
      <c r="HR39" t="s">
        <v>223</v>
      </c>
      <c r="HU39" t="s">
        <v>231</v>
      </c>
      <c r="HV39" t="s">
        <v>223</v>
      </c>
      <c r="HW39" t="s">
        <v>506</v>
      </c>
      <c r="HX39" t="s">
        <v>236</v>
      </c>
      <c r="IA39" t="s">
        <v>231</v>
      </c>
      <c r="IB39" t="s">
        <v>250</v>
      </c>
      <c r="IC39" t="s">
        <v>395</v>
      </c>
      <c r="ID39" t="s">
        <v>395</v>
      </c>
      <c r="IE39" t="s">
        <v>395</v>
      </c>
      <c r="IF39" t="s">
        <v>395</v>
      </c>
      <c r="IG39" s="459" t="s">
        <v>517</v>
      </c>
      <c r="IH39" t="s">
        <v>235</v>
      </c>
    </row>
    <row r="40" spans="1:242" x14ac:dyDescent="0.35">
      <c r="A40" s="310" t="s">
        <v>518</v>
      </c>
      <c r="B40" s="313" t="s">
        <v>519</v>
      </c>
      <c r="C40" s="310" t="s">
        <v>520</v>
      </c>
      <c r="D40" s="316"/>
      <c r="F40" t="s">
        <v>521</v>
      </c>
      <c r="I40" s="310" t="s">
        <v>522</v>
      </c>
      <c r="M40" s="313"/>
      <c r="O40"/>
      <c r="P40" s="381"/>
      <c r="Q40"/>
      <c r="T40" s="8"/>
      <c r="U40" t="s">
        <v>221</v>
      </c>
      <c r="V40" s="313"/>
      <c r="W40" t="s">
        <v>220</v>
      </c>
      <c r="X40" t="s">
        <v>220</v>
      </c>
      <c r="Z40"/>
      <c r="AB40" t="s">
        <v>220</v>
      </c>
      <c r="AD40" s="8" t="s">
        <v>230</v>
      </c>
      <c r="AF40" s="8" t="s">
        <v>230</v>
      </c>
      <c r="AG40"/>
      <c r="AH40"/>
      <c r="AI40"/>
      <c r="AJ40" t="s">
        <v>221</v>
      </c>
      <c r="AK40">
        <v>0</v>
      </c>
      <c r="AL40">
        <v>1</v>
      </c>
      <c r="AM40" t="s">
        <v>221</v>
      </c>
      <c r="AN40" t="s">
        <v>223</v>
      </c>
      <c r="AO40" t="s">
        <v>221</v>
      </c>
      <c r="AP40" t="s">
        <v>223</v>
      </c>
      <c r="AQ40" t="s">
        <v>221</v>
      </c>
      <c r="AR40" t="s">
        <v>225</v>
      </c>
      <c r="AS40" t="s">
        <v>221</v>
      </c>
      <c r="AT40"/>
      <c r="AU40" t="s">
        <v>220</v>
      </c>
      <c r="AV40"/>
      <c r="AW40" s="313" t="s">
        <v>220</v>
      </c>
      <c r="AX40" t="s">
        <v>226</v>
      </c>
      <c r="AY40" s="313" t="s">
        <v>220</v>
      </c>
      <c r="AZ40" s="313">
        <v>5.7099999999999998E-2</v>
      </c>
      <c r="BB40" s="313" t="s">
        <v>220</v>
      </c>
      <c r="BC40">
        <v>2.6700000000000002E-2</v>
      </c>
      <c r="BD40" t="s">
        <v>220</v>
      </c>
      <c r="BE40">
        <v>2.3699999999999999E-2</v>
      </c>
      <c r="BF40" s="2" t="s">
        <v>220</v>
      </c>
      <c r="BH40" s="2" t="s">
        <v>228</v>
      </c>
      <c r="BI40" s="2" t="s">
        <v>424</v>
      </c>
      <c r="BM40"/>
      <c r="BP40" s="8"/>
      <c r="BQ40" t="s">
        <v>230</v>
      </c>
      <c r="BR40" t="s">
        <v>230</v>
      </c>
      <c r="BU40" t="s">
        <v>231</v>
      </c>
      <c r="BV40" t="s">
        <v>223</v>
      </c>
      <c r="BW40" t="s">
        <v>232</v>
      </c>
      <c r="BX40" t="s">
        <v>284</v>
      </c>
      <c r="BY40" t="s">
        <v>220</v>
      </c>
      <c r="BZ40">
        <v>0.246</v>
      </c>
      <c r="CA40" t="s">
        <v>234</v>
      </c>
      <c r="CF40" t="s">
        <v>220</v>
      </c>
      <c r="CG40">
        <v>8.2699999999999996E-2</v>
      </c>
      <c r="CH40" t="s">
        <v>220</v>
      </c>
      <c r="CI40">
        <v>0.27800000000000002</v>
      </c>
      <c r="CK40"/>
      <c r="CL40"/>
      <c r="CM40"/>
      <c r="CS40" s="8"/>
      <c r="CW40" t="s">
        <v>220</v>
      </c>
      <c r="CX40" t="s">
        <v>257</v>
      </c>
      <c r="CY40" t="s">
        <v>231</v>
      </c>
      <c r="CZ40" t="s">
        <v>220</v>
      </c>
      <c r="DA40" t="s">
        <v>220</v>
      </c>
      <c r="DB40" t="s">
        <v>227</v>
      </c>
      <c r="DC40"/>
      <c r="DD40"/>
      <c r="DE40"/>
      <c r="DF40"/>
      <c r="DG40"/>
      <c r="DH40" s="323"/>
      <c r="DI40" s="323"/>
      <c r="DJ40" s="323"/>
      <c r="DL40" t="s">
        <v>220</v>
      </c>
      <c r="DM40" t="s">
        <v>220</v>
      </c>
      <c r="DN40" t="s">
        <v>257</v>
      </c>
      <c r="DO40" t="s">
        <v>257</v>
      </c>
      <c r="DP40" t="s">
        <v>257</v>
      </c>
      <c r="DS40" s="338">
        <v>203.23400000000001</v>
      </c>
      <c r="DT40" s="8" t="s">
        <v>394</v>
      </c>
      <c r="DU40" s="309">
        <v>378.65699999999998</v>
      </c>
      <c r="DW40">
        <v>835</v>
      </c>
      <c r="DX40" t="s">
        <v>238</v>
      </c>
      <c r="DY40">
        <v>1640</v>
      </c>
      <c r="DZ40" t="s">
        <v>238</v>
      </c>
      <c r="EA40"/>
      <c r="EB40"/>
      <c r="ED40" s="410"/>
      <c r="EE40" s="1"/>
      <c r="EG40" s="410"/>
      <c r="EI40" s="410"/>
      <c r="EK40" s="1"/>
      <c r="EM40"/>
      <c r="EQ40" s="344"/>
      <c r="EU40" s="344"/>
      <c r="EW40" s="409"/>
      <c r="EY40" s="1"/>
      <c r="FA40">
        <v>169.27</v>
      </c>
      <c r="FB40" t="s">
        <v>236</v>
      </c>
      <c r="FC40" s="7">
        <v>584.25172053603012</v>
      </c>
      <c r="FD40" s="357" t="s">
        <v>236</v>
      </c>
      <c r="FE40" s="8">
        <v>9.7274722377696534</v>
      </c>
      <c r="FF40" t="s">
        <v>237</v>
      </c>
      <c r="FH40" s="9">
        <v>288.00498174428589</v>
      </c>
      <c r="FI40" s="9" t="s">
        <v>236</v>
      </c>
      <c r="FJ40">
        <v>324</v>
      </c>
      <c r="FK40" t="s">
        <v>238</v>
      </c>
      <c r="FL40">
        <v>293</v>
      </c>
      <c r="FM40">
        <v>43.421017878602811</v>
      </c>
      <c r="FN40" s="5" t="s">
        <v>237</v>
      </c>
      <c r="FP40" s="6">
        <v>2.1710508939301407</v>
      </c>
      <c r="FQ40" t="s">
        <v>277</v>
      </c>
      <c r="FS40" t="s">
        <v>240</v>
      </c>
      <c r="FU40" s="8">
        <v>2</v>
      </c>
      <c r="FV40" s="8">
        <v>10</v>
      </c>
      <c r="FW40" s="8">
        <v>10</v>
      </c>
      <c r="FX40" s="8">
        <v>10</v>
      </c>
      <c r="FY40" s="8">
        <v>3</v>
      </c>
      <c r="FZ40">
        <f t="shared" si="0"/>
        <v>6000</v>
      </c>
      <c r="GA40" s="7" t="s">
        <v>326</v>
      </c>
      <c r="GB40" s="7" t="s">
        <v>326</v>
      </c>
      <c r="GC40" s="6">
        <v>1.5</v>
      </c>
      <c r="GD40" s="348" t="s">
        <v>242</v>
      </c>
      <c r="GF40" s="6">
        <v>1.6212453729616091E-2</v>
      </c>
      <c r="GH40" s="7"/>
      <c r="GI40" s="441"/>
      <c r="GJ40" s="441"/>
      <c r="GK40" s="441"/>
      <c r="GL40" s="441"/>
      <c r="GM40" s="454"/>
      <c r="GN40" s="441"/>
      <c r="GO40" s="441"/>
      <c r="GP40" s="441"/>
      <c r="GQ40" s="441"/>
      <c r="GR40" s="441"/>
      <c r="GS40" s="441"/>
      <c r="GT40" s="441"/>
      <c r="GU40" s="441"/>
      <c r="GV40" s="441"/>
      <c r="GW40" s="441"/>
      <c r="GX40" s="441"/>
      <c r="GY40" s="441"/>
      <c r="GZ40" s="441"/>
      <c r="HA40" s="441"/>
      <c r="HB40" s="441"/>
      <c r="HC40" s="441"/>
      <c r="HD40" s="441"/>
      <c r="HE40" s="441"/>
      <c r="HF40" s="441"/>
      <c r="HG40" s="441"/>
      <c r="HH40" s="441"/>
      <c r="HI40" s="441"/>
      <c r="HJ40" s="441"/>
      <c r="HK40" s="441"/>
      <c r="HL40" s="441"/>
      <c r="HM40" s="441"/>
      <c r="HN40" s="441"/>
      <c r="HO40" s="441"/>
      <c r="HP40" s="441"/>
      <c r="HQ40" s="441"/>
      <c r="HR40" s="441"/>
      <c r="HS40" s="441"/>
      <c r="HT40" s="441"/>
      <c r="HU40" s="441"/>
      <c r="HV40" s="441"/>
      <c r="HW40" s="441"/>
      <c r="HX40" s="441"/>
      <c r="HY40" s="441"/>
      <c r="HZ40" s="441"/>
      <c r="IA40" s="441"/>
      <c r="IB40" s="441"/>
      <c r="IC40" s="441"/>
      <c r="ID40" s="441"/>
      <c r="IE40" s="441"/>
      <c r="IF40" s="441"/>
      <c r="IG40" s="390" t="s">
        <v>523</v>
      </c>
      <c r="IH40" t="s">
        <v>235</v>
      </c>
    </row>
    <row r="41" spans="1:242" x14ac:dyDescent="0.35">
      <c r="A41" s="310" t="s">
        <v>524</v>
      </c>
      <c r="B41" s="313" t="s">
        <v>525</v>
      </c>
      <c r="C41" s="310" t="s">
        <v>526</v>
      </c>
      <c r="D41" s="316"/>
      <c r="F41" t="s">
        <v>527</v>
      </c>
      <c r="I41" s="310" t="s">
        <v>528</v>
      </c>
      <c r="M41" s="313"/>
      <c r="O41"/>
      <c r="P41" s="381"/>
      <c r="Q41"/>
      <c r="T41" s="8"/>
      <c r="U41"/>
      <c r="V41" s="313"/>
      <c r="W41"/>
      <c r="X41"/>
      <c r="Z41"/>
      <c r="AB41"/>
      <c r="AD41" s="8" t="s">
        <v>230</v>
      </c>
      <c r="AF41" s="8" t="s">
        <v>230</v>
      </c>
      <c r="AG41"/>
      <c r="AH41"/>
      <c r="AI41"/>
      <c r="AJ41" t="s">
        <v>221</v>
      </c>
      <c r="AK41">
        <v>0</v>
      </c>
      <c r="AL41">
        <v>0.82499999999999996</v>
      </c>
      <c r="AM41" t="s">
        <v>221</v>
      </c>
      <c r="AN41" t="s">
        <v>223</v>
      </c>
      <c r="AO41" t="s">
        <v>221</v>
      </c>
      <c r="AP41" t="s">
        <v>223</v>
      </c>
      <c r="AQ41" t="s">
        <v>221</v>
      </c>
      <c r="AR41" t="s">
        <v>225</v>
      </c>
      <c r="AS41" t="s">
        <v>221</v>
      </c>
      <c r="AT41" t="s">
        <v>223</v>
      </c>
      <c r="AU41" t="s">
        <v>220</v>
      </c>
      <c r="AV41"/>
      <c r="AW41" s="313" t="s">
        <v>220</v>
      </c>
      <c r="AX41" t="s">
        <v>226</v>
      </c>
      <c r="AY41" s="313" t="s">
        <v>220</v>
      </c>
      <c r="AZ41" s="313">
        <v>5.6399999999999999E-2</v>
      </c>
      <c r="BB41" s="313" t="s">
        <v>220</v>
      </c>
      <c r="BC41">
        <v>2.6599999999999999E-2</v>
      </c>
      <c r="BD41" t="s">
        <v>220</v>
      </c>
      <c r="BE41">
        <v>2.23E-2</v>
      </c>
      <c r="BF41" s="2" t="s">
        <v>220</v>
      </c>
      <c r="BG41" s="2" t="s">
        <v>273</v>
      </c>
      <c r="BH41" s="2" t="s">
        <v>274</v>
      </c>
      <c r="BI41" s="2" t="s">
        <v>275</v>
      </c>
      <c r="BM41"/>
      <c r="BP41" s="8"/>
      <c r="BQ41" t="s">
        <v>230</v>
      </c>
      <c r="BR41" t="s">
        <v>230</v>
      </c>
      <c r="BU41" t="s">
        <v>231</v>
      </c>
      <c r="BV41" t="s">
        <v>223</v>
      </c>
      <c r="BW41" t="s">
        <v>232</v>
      </c>
      <c r="BX41" t="s">
        <v>284</v>
      </c>
      <c r="BY41" t="s">
        <v>220</v>
      </c>
      <c r="BZ41">
        <v>0.23499999999999999</v>
      </c>
      <c r="CA41" t="s">
        <v>234</v>
      </c>
      <c r="CF41" t="s">
        <v>220</v>
      </c>
      <c r="CG41">
        <v>7.2400000000000006E-2</v>
      </c>
      <c r="CH41" t="s">
        <v>220</v>
      </c>
      <c r="CI41">
        <v>0.252</v>
      </c>
      <c r="CK41"/>
      <c r="CL41"/>
      <c r="CM41"/>
      <c r="CS41" s="8"/>
      <c r="CW41" t="s">
        <v>220</v>
      </c>
      <c r="CX41" t="s">
        <v>257</v>
      </c>
      <c r="CY41" t="s">
        <v>231</v>
      </c>
      <c r="CZ41" t="s">
        <v>220</v>
      </c>
      <c r="DA41" t="s">
        <v>220</v>
      </c>
      <c r="DB41" t="s">
        <v>227</v>
      </c>
      <c r="DC41"/>
      <c r="DD41"/>
      <c r="DE41"/>
      <c r="DF41"/>
      <c r="DG41"/>
      <c r="DH41" s="323"/>
      <c r="DI41" s="323"/>
      <c r="DJ41" s="323"/>
      <c r="DL41" t="s">
        <v>220</v>
      </c>
      <c r="DM41" t="s">
        <v>220</v>
      </c>
      <c r="DN41" t="s">
        <v>257</v>
      </c>
      <c r="DO41" t="s">
        <v>257</v>
      </c>
      <c r="DP41" t="s">
        <v>257</v>
      </c>
      <c r="DS41" s="338">
        <v>281.37400000000002</v>
      </c>
      <c r="DT41" s="8" t="s">
        <v>394</v>
      </c>
      <c r="DU41" s="309">
        <v>397.17500000000001</v>
      </c>
      <c r="DW41">
        <v>952</v>
      </c>
      <c r="DX41" t="s">
        <v>238</v>
      </c>
      <c r="DY41">
        <v>5060</v>
      </c>
      <c r="DZ41" t="s">
        <v>238</v>
      </c>
      <c r="EA41"/>
      <c r="EB41"/>
      <c r="ED41" s="410"/>
      <c r="EE41" s="1"/>
      <c r="EG41" s="410"/>
      <c r="EI41" s="410"/>
      <c r="EK41" s="1"/>
      <c r="EM41"/>
      <c r="EQ41" s="344"/>
      <c r="EU41" s="344"/>
      <c r="EW41" s="409"/>
      <c r="EY41" s="1"/>
      <c r="FA41">
        <v>187.79</v>
      </c>
      <c r="FB41" t="s">
        <v>236</v>
      </c>
      <c r="FC41" s="7">
        <v>793.59696819576982</v>
      </c>
      <c r="FD41" s="357" t="s">
        <v>236</v>
      </c>
      <c r="FE41" s="8">
        <v>8.600030668888559</v>
      </c>
      <c r="FF41" t="s">
        <v>237</v>
      </c>
      <c r="FH41" s="9">
        <v>377.65914014526646</v>
      </c>
      <c r="FI41" s="9" t="s">
        <v>236</v>
      </c>
      <c r="FJ41">
        <v>378</v>
      </c>
      <c r="FK41" t="s">
        <v>238</v>
      </c>
      <c r="FL41">
        <v>307</v>
      </c>
      <c r="FM41">
        <v>42.785833816373888</v>
      </c>
      <c r="FN41" s="5" t="s">
        <v>237</v>
      </c>
      <c r="FP41" s="6">
        <v>2.1392916908186943</v>
      </c>
      <c r="FQ41" t="s">
        <v>277</v>
      </c>
      <c r="FS41" t="s">
        <v>240</v>
      </c>
      <c r="FU41" s="8">
        <v>2</v>
      </c>
      <c r="FV41" s="8">
        <v>10</v>
      </c>
      <c r="FW41" s="8">
        <v>10</v>
      </c>
      <c r="FX41" s="8">
        <v>10</v>
      </c>
      <c r="FY41" s="8">
        <v>3</v>
      </c>
      <c r="FZ41">
        <f t="shared" si="0"/>
        <v>6000</v>
      </c>
      <c r="GA41" s="7" t="s">
        <v>326</v>
      </c>
      <c r="GB41" s="7" t="s">
        <v>326</v>
      </c>
      <c r="GC41" s="6">
        <v>1.5</v>
      </c>
      <c r="GD41" s="348" t="s">
        <v>242</v>
      </c>
      <c r="GF41" s="6">
        <v>1.43333844481476E-2</v>
      </c>
      <c r="GH41" s="7"/>
      <c r="GI41" s="441" t="s">
        <v>395</v>
      </c>
      <c r="GJ41" s="441" t="s">
        <v>395</v>
      </c>
      <c r="GK41" s="441" t="s">
        <v>395</v>
      </c>
      <c r="GL41" s="441" t="s">
        <v>395</v>
      </c>
      <c r="GM41" s="452" t="s">
        <v>529</v>
      </c>
      <c r="GN41" s="6">
        <v>0.01</v>
      </c>
      <c r="GO41" s="6">
        <v>1.8749999999999999E-2</v>
      </c>
      <c r="GP41" s="6">
        <v>0.03</v>
      </c>
      <c r="GQ41" s="6">
        <v>7.4999999999999997E-2</v>
      </c>
      <c r="GR41" s="6" t="s">
        <v>230</v>
      </c>
      <c r="GU41" t="s">
        <v>365</v>
      </c>
      <c r="GV41" t="s">
        <v>236</v>
      </c>
      <c r="GW41" t="s">
        <v>244</v>
      </c>
      <c r="GX41" t="s">
        <v>236</v>
      </c>
      <c r="GY41" t="s">
        <v>245</v>
      </c>
      <c r="HE41" t="s">
        <v>384</v>
      </c>
      <c r="HF41" t="s">
        <v>223</v>
      </c>
      <c r="HG41" t="s">
        <v>317</v>
      </c>
      <c r="HH41" t="s">
        <v>236</v>
      </c>
      <c r="HI41" t="s">
        <v>247</v>
      </c>
      <c r="HJ41" t="s">
        <v>225</v>
      </c>
      <c r="HK41" t="s">
        <v>266</v>
      </c>
      <c r="HO41" t="s">
        <v>231</v>
      </c>
      <c r="HP41" t="s">
        <v>223</v>
      </c>
      <c r="HQ41" t="s">
        <v>231</v>
      </c>
      <c r="HR41" t="s">
        <v>223</v>
      </c>
      <c r="HU41" t="s">
        <v>231</v>
      </c>
      <c r="HV41" t="s">
        <v>223</v>
      </c>
      <c r="HW41" t="s">
        <v>506</v>
      </c>
      <c r="HX41" t="s">
        <v>236</v>
      </c>
      <c r="IA41" t="s">
        <v>231</v>
      </c>
      <c r="IB41" t="s">
        <v>250</v>
      </c>
      <c r="IC41" t="s">
        <v>395</v>
      </c>
      <c r="ID41" t="s">
        <v>395</v>
      </c>
      <c r="IE41" t="s">
        <v>395</v>
      </c>
      <c r="IF41" t="s">
        <v>395</v>
      </c>
      <c r="IH41" t="s">
        <v>235</v>
      </c>
    </row>
    <row r="42" spans="1:242" x14ac:dyDescent="0.35">
      <c r="A42" s="310" t="s">
        <v>530</v>
      </c>
      <c r="B42" s="313" t="s">
        <v>531</v>
      </c>
      <c r="C42" s="310" t="s">
        <v>532</v>
      </c>
      <c r="D42" s="316"/>
      <c r="F42" t="s">
        <v>533</v>
      </c>
      <c r="I42" s="310" t="s">
        <v>534</v>
      </c>
      <c r="J42" t="s">
        <v>480</v>
      </c>
      <c r="K42" t="s">
        <v>391</v>
      </c>
      <c r="M42" s="313"/>
      <c r="O42"/>
      <c r="P42" s="381"/>
      <c r="Q42"/>
      <c r="T42" s="8"/>
      <c r="U42"/>
      <c r="V42" s="313"/>
      <c r="W42" t="s">
        <v>301</v>
      </c>
      <c r="X42"/>
      <c r="Z42"/>
      <c r="AB42"/>
      <c r="AD42" s="8" t="s">
        <v>222</v>
      </c>
      <c r="AF42" s="8" t="s">
        <v>230</v>
      </c>
      <c r="AG42"/>
      <c r="AH42"/>
      <c r="AI42"/>
      <c r="AJ42" t="s">
        <v>221</v>
      </c>
      <c r="AK42">
        <v>0</v>
      </c>
      <c r="AL42">
        <v>0.9</v>
      </c>
      <c r="AM42" t="s">
        <v>221</v>
      </c>
      <c r="AN42" t="s">
        <v>223</v>
      </c>
      <c r="AO42" t="s">
        <v>221</v>
      </c>
      <c r="AP42" t="s">
        <v>223</v>
      </c>
      <c r="AQ42" t="s">
        <v>221</v>
      </c>
      <c r="AR42" t="s">
        <v>223</v>
      </c>
      <c r="AS42" t="s">
        <v>221</v>
      </c>
      <c r="AT42" t="s">
        <v>223</v>
      </c>
      <c r="AU42" t="s">
        <v>220</v>
      </c>
      <c r="AV42"/>
      <c r="AW42" s="313" t="s">
        <v>220</v>
      </c>
      <c r="AX42" t="s">
        <v>226</v>
      </c>
      <c r="AY42" s="313" t="s">
        <v>220</v>
      </c>
      <c r="AZ42" s="313">
        <v>4.5199999999999997E-2</v>
      </c>
      <c r="BB42" s="313" t="s">
        <v>220</v>
      </c>
      <c r="BC42">
        <v>3.2199999999999999E-2</v>
      </c>
      <c r="BD42" t="s">
        <v>220</v>
      </c>
      <c r="BE42">
        <v>8.1000000000000003E-2</v>
      </c>
      <c r="BF42" s="2" t="s">
        <v>220</v>
      </c>
      <c r="BH42" s="2" t="s">
        <v>228</v>
      </c>
      <c r="BI42" s="2" t="s">
        <v>302</v>
      </c>
      <c r="BM42"/>
      <c r="BP42" s="8"/>
      <c r="BQ42" t="s">
        <v>230</v>
      </c>
      <c r="BR42" t="s">
        <v>222</v>
      </c>
      <c r="BU42" t="s">
        <v>317</v>
      </c>
      <c r="BV42" t="s">
        <v>223</v>
      </c>
      <c r="BW42" t="s">
        <v>232</v>
      </c>
      <c r="BX42" t="s">
        <v>284</v>
      </c>
      <c r="BY42" t="s">
        <v>220</v>
      </c>
      <c r="BZ42">
        <v>0.30399999999999999</v>
      </c>
      <c r="CA42" t="s">
        <v>234</v>
      </c>
      <c r="CF42" t="s">
        <v>220</v>
      </c>
      <c r="CG42">
        <v>0.23599999999999999</v>
      </c>
      <c r="CH42" t="s">
        <v>220</v>
      </c>
      <c r="CI42">
        <v>7.9600000000000004E-2</v>
      </c>
      <c r="CK42"/>
      <c r="CL42"/>
      <c r="CM42"/>
      <c r="CS42" s="8"/>
      <c r="CW42" t="s">
        <v>220</v>
      </c>
      <c r="CX42" t="s">
        <v>220</v>
      </c>
      <c r="CY42" t="s">
        <v>231</v>
      </c>
      <c r="CZ42" t="s">
        <v>220</v>
      </c>
      <c r="DA42" t="s">
        <v>220</v>
      </c>
      <c r="DB42" t="s">
        <v>220</v>
      </c>
      <c r="DC42"/>
      <c r="DD42"/>
      <c r="DE42"/>
      <c r="DF42"/>
      <c r="DG42"/>
      <c r="DH42" s="323"/>
      <c r="DI42" s="323"/>
      <c r="DJ42" s="323"/>
      <c r="DL42" t="s">
        <v>220</v>
      </c>
      <c r="DM42" t="s">
        <v>220</v>
      </c>
      <c r="DN42" t="s">
        <v>220</v>
      </c>
      <c r="DO42" t="s">
        <v>220</v>
      </c>
      <c r="DP42" t="s">
        <v>220</v>
      </c>
      <c r="DS42" s="309">
        <v>227.30099999999999</v>
      </c>
      <c r="DU42" s="309">
        <v>506.34300000000002</v>
      </c>
      <c r="DW42">
        <v>219</v>
      </c>
      <c r="DX42" t="s">
        <v>238</v>
      </c>
      <c r="DY42">
        <v>608</v>
      </c>
      <c r="DZ42" t="s">
        <v>238</v>
      </c>
      <c r="EA42">
        <v>6.67</v>
      </c>
      <c r="EB42"/>
      <c r="ED42" s="410"/>
      <c r="EE42" s="1"/>
      <c r="EG42" s="410"/>
      <c r="EI42" s="410"/>
      <c r="EK42" s="1">
        <v>150</v>
      </c>
      <c r="EL42" s="8" t="s">
        <v>259</v>
      </c>
      <c r="EM42"/>
      <c r="EQ42" s="344"/>
      <c r="EU42" s="344"/>
      <c r="EW42" s="409"/>
      <c r="EY42" s="1"/>
      <c r="FA42">
        <v>20.51</v>
      </c>
      <c r="FB42"/>
      <c r="FC42" s="7">
        <v>53.394927357417686</v>
      </c>
      <c r="FD42" s="357" t="s">
        <v>225</v>
      </c>
      <c r="FE42" s="8">
        <v>11.053504693828438</v>
      </c>
      <c r="FF42" t="s">
        <v>237</v>
      </c>
      <c r="FH42" s="9">
        <v>22.682974262244752</v>
      </c>
      <c r="FI42" s="9" t="s">
        <v>236</v>
      </c>
      <c r="FJ42">
        <v>32.6</v>
      </c>
      <c r="FK42" t="s">
        <v>238</v>
      </c>
      <c r="FL42">
        <v>66.2</v>
      </c>
      <c r="FM42">
        <v>32.673826606314343</v>
      </c>
      <c r="FN42" s="5" t="s">
        <v>237</v>
      </c>
      <c r="FP42" s="6">
        <v>3.335</v>
      </c>
      <c r="FQ42" t="s">
        <v>535</v>
      </c>
      <c r="FS42" t="s">
        <v>261</v>
      </c>
      <c r="FU42" s="8">
        <v>2</v>
      </c>
      <c r="FV42" s="8">
        <v>10</v>
      </c>
      <c r="FW42" s="8">
        <v>10</v>
      </c>
      <c r="FX42" s="8">
        <v>1</v>
      </c>
      <c r="FY42" s="8">
        <v>3</v>
      </c>
      <c r="FZ42">
        <f t="shared" si="0"/>
        <v>600</v>
      </c>
      <c r="GA42" s="7" t="s">
        <v>241</v>
      </c>
      <c r="GB42" s="7" t="s">
        <v>241</v>
      </c>
      <c r="GC42" s="6">
        <v>30</v>
      </c>
      <c r="GD42" s="348" t="s">
        <v>242</v>
      </c>
      <c r="GF42" s="6">
        <v>1.0866666666666667E-2</v>
      </c>
      <c r="GH42" s="7"/>
      <c r="GI42" s="441">
        <v>0.4</v>
      </c>
      <c r="GJ42" s="441">
        <v>0.7</v>
      </c>
      <c r="GK42" s="441">
        <v>1.1000000000000001</v>
      </c>
      <c r="GL42" s="441">
        <v>2.8</v>
      </c>
      <c r="GM42" s="452"/>
      <c r="GN42" s="6">
        <v>0.2</v>
      </c>
      <c r="GO42" s="6">
        <v>0.375</v>
      </c>
      <c r="GP42" s="6">
        <v>0.6</v>
      </c>
      <c r="GQ42" s="6">
        <v>1.5</v>
      </c>
      <c r="GR42" s="6" t="s">
        <v>230</v>
      </c>
      <c r="GU42" t="s">
        <v>365</v>
      </c>
      <c r="GV42" t="s">
        <v>225</v>
      </c>
      <c r="GW42" t="s">
        <v>244</v>
      </c>
      <c r="GX42" t="s">
        <v>236</v>
      </c>
      <c r="GY42" t="s">
        <v>245</v>
      </c>
      <c r="GZ42" t="s">
        <v>376</v>
      </c>
      <c r="HA42" t="s">
        <v>317</v>
      </c>
      <c r="HE42" t="s">
        <v>247</v>
      </c>
      <c r="HF42" t="s">
        <v>249</v>
      </c>
      <c r="HG42" t="s">
        <v>317</v>
      </c>
      <c r="HH42" t="s">
        <v>249</v>
      </c>
      <c r="HI42" t="s">
        <v>247</v>
      </c>
      <c r="HJ42" t="s">
        <v>223</v>
      </c>
      <c r="HK42" t="s">
        <v>536</v>
      </c>
      <c r="HO42" t="s">
        <v>231</v>
      </c>
      <c r="HP42" t="s">
        <v>223</v>
      </c>
      <c r="HQ42" t="s">
        <v>231</v>
      </c>
      <c r="HR42" t="s">
        <v>223</v>
      </c>
      <c r="HU42" t="s">
        <v>231</v>
      </c>
      <c r="HV42" t="s">
        <v>223</v>
      </c>
      <c r="HW42" t="s">
        <v>246</v>
      </c>
      <c r="HX42" t="s">
        <v>236</v>
      </c>
      <c r="IA42" t="s">
        <v>231</v>
      </c>
      <c r="IB42" t="s">
        <v>250</v>
      </c>
      <c r="IC42">
        <v>0.4</v>
      </c>
      <c r="ID42">
        <v>0.7</v>
      </c>
      <c r="IE42">
        <v>1.1000000000000001</v>
      </c>
      <c r="IF42">
        <v>2.8</v>
      </c>
      <c r="IH42" t="s">
        <v>267</v>
      </c>
    </row>
    <row r="43" spans="1:242" x14ac:dyDescent="0.35">
      <c r="A43" s="310" t="s">
        <v>537</v>
      </c>
      <c r="B43" t="s">
        <v>538</v>
      </c>
      <c r="C43" s="310" t="s">
        <v>539</v>
      </c>
      <c r="D43" s="316"/>
      <c r="F43" t="s">
        <v>540</v>
      </c>
      <c r="I43" s="310" t="s">
        <v>541</v>
      </c>
      <c r="M43" s="313"/>
      <c r="O43"/>
      <c r="P43" s="381"/>
      <c r="Q43"/>
      <c r="T43" s="8"/>
      <c r="U43"/>
      <c r="V43" s="313"/>
      <c r="W43"/>
      <c r="X43"/>
      <c r="Z43"/>
      <c r="AB43"/>
      <c r="AD43" s="8" t="s">
        <v>230</v>
      </c>
      <c r="AF43" s="8" t="s">
        <v>230</v>
      </c>
      <c r="AG43"/>
      <c r="AH43"/>
      <c r="AI43"/>
      <c r="AJ43" t="s">
        <v>221</v>
      </c>
      <c r="AK43">
        <v>0</v>
      </c>
      <c r="AL43">
        <v>0.82499999999999996</v>
      </c>
      <c r="AM43" t="s">
        <v>221</v>
      </c>
      <c r="AN43" t="s">
        <v>223</v>
      </c>
      <c r="AO43" t="s">
        <v>221</v>
      </c>
      <c r="AP43" t="s">
        <v>223</v>
      </c>
      <c r="AQ43" t="s">
        <v>221</v>
      </c>
      <c r="AR43" t="s">
        <v>225</v>
      </c>
      <c r="AS43" t="s">
        <v>221</v>
      </c>
      <c r="AT43" t="s">
        <v>223</v>
      </c>
      <c r="AU43" t="s">
        <v>220</v>
      </c>
      <c r="AV43"/>
      <c r="AW43" s="313" t="s">
        <v>220</v>
      </c>
      <c r="AX43" t="s">
        <v>226</v>
      </c>
      <c r="AY43" s="313" t="s">
        <v>220</v>
      </c>
      <c r="AZ43" s="313">
        <v>5.5E-2</v>
      </c>
      <c r="BB43" s="313" t="s">
        <v>220</v>
      </c>
      <c r="BC43">
        <v>2.64E-2</v>
      </c>
      <c r="BD43" t="s">
        <v>220</v>
      </c>
      <c r="BE43">
        <v>1.9800000000000002E-2</v>
      </c>
      <c r="BF43" s="2" t="s">
        <v>220</v>
      </c>
      <c r="BG43" s="2" t="s">
        <v>273</v>
      </c>
      <c r="BH43" s="2" t="s">
        <v>274</v>
      </c>
      <c r="BI43" s="2" t="s">
        <v>275</v>
      </c>
      <c r="BM43"/>
      <c r="BP43" s="8"/>
      <c r="BQ43" t="s">
        <v>230</v>
      </c>
      <c r="BR43" t="s">
        <v>230</v>
      </c>
      <c r="BU43" t="s">
        <v>231</v>
      </c>
      <c r="BV43" t="s">
        <v>223</v>
      </c>
      <c r="BW43" t="s">
        <v>232</v>
      </c>
      <c r="BX43" t="s">
        <v>276</v>
      </c>
      <c r="BY43" t="s">
        <v>220</v>
      </c>
      <c r="BZ43">
        <v>0.215</v>
      </c>
      <c r="CA43" t="s">
        <v>234</v>
      </c>
      <c r="CF43" t="s">
        <v>220</v>
      </c>
      <c r="CG43">
        <v>5.5300000000000002E-2</v>
      </c>
      <c r="CH43" t="s">
        <v>220</v>
      </c>
      <c r="CI43">
        <v>0.20399999999999999</v>
      </c>
      <c r="CK43"/>
      <c r="CL43"/>
      <c r="CM43"/>
      <c r="CS43" s="8"/>
      <c r="CW43" t="s">
        <v>220</v>
      </c>
      <c r="CX43" t="s">
        <v>257</v>
      </c>
      <c r="CY43" t="s">
        <v>231</v>
      </c>
      <c r="CZ43" t="s">
        <v>220</v>
      </c>
      <c r="DA43" t="s">
        <v>220</v>
      </c>
      <c r="DB43" t="s">
        <v>227</v>
      </c>
      <c r="DC43"/>
      <c r="DD43"/>
      <c r="DE43"/>
      <c r="DF43"/>
      <c r="DG43"/>
      <c r="DH43" s="323"/>
      <c r="DI43" s="323"/>
      <c r="DJ43" s="323"/>
      <c r="DL43" t="s">
        <v>220</v>
      </c>
      <c r="DM43" t="s">
        <v>220</v>
      </c>
      <c r="DN43" t="s">
        <v>257</v>
      </c>
      <c r="DO43" t="s">
        <v>257</v>
      </c>
      <c r="DP43" t="s">
        <v>257</v>
      </c>
      <c r="DS43" s="338">
        <v>521.87199999999996</v>
      </c>
      <c r="DT43" s="8" t="s">
        <v>394</v>
      </c>
      <c r="DU43" s="309">
        <v>431.69400000000002</v>
      </c>
      <c r="DW43">
        <v>1050</v>
      </c>
      <c r="DX43" t="s">
        <v>238</v>
      </c>
      <c r="DY43">
        <v>1750</v>
      </c>
      <c r="DZ43" t="s">
        <v>238</v>
      </c>
      <c r="EA43"/>
      <c r="EB43"/>
      <c r="ED43" s="410"/>
      <c r="EE43" s="1"/>
      <c r="EG43" s="410"/>
      <c r="EI43" s="410"/>
      <c r="EK43" s="1"/>
      <c r="EM43"/>
      <c r="EQ43" s="344"/>
      <c r="EU43" s="344"/>
      <c r="EW43" s="409"/>
      <c r="EY43" s="1"/>
      <c r="FA43">
        <v>231.14</v>
      </c>
      <c r="FB43" t="s">
        <v>236</v>
      </c>
      <c r="FC43" s="7">
        <v>1464.5358259502591</v>
      </c>
      <c r="FD43" s="357" t="s">
        <v>236</v>
      </c>
      <c r="FE43" s="8">
        <v>6.7235710723431907</v>
      </c>
      <c r="FF43" t="s">
        <v>237</v>
      </c>
      <c r="FH43" s="9">
        <v>649.23212314321302</v>
      </c>
      <c r="FI43" s="9" t="s">
        <v>236</v>
      </c>
      <c r="FJ43">
        <v>468</v>
      </c>
      <c r="FK43" t="s">
        <v>238</v>
      </c>
      <c r="FL43">
        <v>327</v>
      </c>
      <c r="FM43">
        <v>41.533640548907393</v>
      </c>
      <c r="FN43" s="5" t="s">
        <v>237</v>
      </c>
      <c r="FP43" s="6">
        <v>32.700000000000003</v>
      </c>
      <c r="FQ43" t="s">
        <v>239</v>
      </c>
      <c r="FS43" t="s">
        <v>240</v>
      </c>
      <c r="FU43" s="8">
        <v>1</v>
      </c>
      <c r="FV43" s="8">
        <v>10</v>
      </c>
      <c r="FW43" s="8">
        <v>10</v>
      </c>
      <c r="FX43" s="8">
        <v>10</v>
      </c>
      <c r="FY43" s="8">
        <v>3</v>
      </c>
      <c r="FZ43">
        <f t="shared" si="0"/>
        <v>3000</v>
      </c>
      <c r="GA43" s="7" t="s">
        <v>326</v>
      </c>
      <c r="GB43" s="7" t="s">
        <v>326</v>
      </c>
      <c r="GC43" s="6">
        <v>1.5</v>
      </c>
      <c r="GD43" s="348" t="s">
        <v>242</v>
      </c>
      <c r="GF43" s="6">
        <v>0.109</v>
      </c>
      <c r="GH43" s="7"/>
      <c r="GI43" s="441">
        <v>0.72699999999999998</v>
      </c>
      <c r="GJ43" s="441">
        <v>1.363</v>
      </c>
      <c r="GK43" s="441">
        <v>2.1800000000000002</v>
      </c>
      <c r="GL43" s="441">
        <v>5.45</v>
      </c>
      <c r="GM43" s="452" t="s">
        <v>262</v>
      </c>
      <c r="GN43" s="6">
        <v>0.01</v>
      </c>
      <c r="GO43" s="6">
        <v>1.8749999999999999E-2</v>
      </c>
      <c r="GP43" s="6">
        <v>0.03</v>
      </c>
      <c r="GQ43" s="6">
        <v>7.4999999999999997E-2</v>
      </c>
      <c r="GR43" s="6" t="s">
        <v>230</v>
      </c>
      <c r="GU43" t="s">
        <v>365</v>
      </c>
      <c r="GV43" t="s">
        <v>236</v>
      </c>
      <c r="GW43" t="s">
        <v>244</v>
      </c>
      <c r="GX43" t="s">
        <v>236</v>
      </c>
      <c r="GY43" t="s">
        <v>245</v>
      </c>
      <c r="HE43" t="s">
        <v>384</v>
      </c>
      <c r="HF43" t="s">
        <v>223</v>
      </c>
      <c r="HG43" t="s">
        <v>317</v>
      </c>
      <c r="HH43" t="s">
        <v>236</v>
      </c>
      <c r="HI43" t="s">
        <v>247</v>
      </c>
      <c r="HJ43" t="s">
        <v>225</v>
      </c>
      <c r="HK43" t="s">
        <v>266</v>
      </c>
      <c r="HO43" t="s">
        <v>231</v>
      </c>
      <c r="HP43" t="s">
        <v>223</v>
      </c>
      <c r="HQ43" t="s">
        <v>231</v>
      </c>
      <c r="HR43" t="s">
        <v>223</v>
      </c>
      <c r="HU43" t="s">
        <v>231</v>
      </c>
      <c r="HV43" t="s">
        <v>223</v>
      </c>
      <c r="HW43" t="s">
        <v>506</v>
      </c>
      <c r="HX43" t="s">
        <v>236</v>
      </c>
      <c r="IA43" t="s">
        <v>231</v>
      </c>
      <c r="IB43" t="s">
        <v>250</v>
      </c>
      <c r="IC43">
        <v>0.72699999999999998</v>
      </c>
      <c r="ID43">
        <v>1.363</v>
      </c>
      <c r="IE43">
        <v>2.1800000000000002</v>
      </c>
      <c r="IF43">
        <v>5.45</v>
      </c>
      <c r="IH43" t="s">
        <v>267</v>
      </c>
    </row>
    <row r="44" spans="1:242" x14ac:dyDescent="0.35">
      <c r="A44" s="310" t="s">
        <v>542</v>
      </c>
      <c r="B44" s="313" t="s">
        <v>543</v>
      </c>
      <c r="C44" s="310" t="s">
        <v>544</v>
      </c>
      <c r="D44" s="316"/>
      <c r="F44" t="s">
        <v>545</v>
      </c>
      <c r="I44" s="310" t="s">
        <v>546</v>
      </c>
      <c r="M44" s="313"/>
      <c r="O44"/>
      <c r="P44" s="381"/>
      <c r="Q44"/>
      <c r="T44" s="8"/>
      <c r="U44"/>
      <c r="V44" s="313"/>
      <c r="W44"/>
      <c r="X44"/>
      <c r="Z44"/>
      <c r="AB44"/>
      <c r="AD44" s="8" t="s">
        <v>230</v>
      </c>
      <c r="AF44" s="8" t="s">
        <v>230</v>
      </c>
      <c r="AG44"/>
      <c r="AH44"/>
      <c r="AI44"/>
      <c r="AJ44" t="s">
        <v>221</v>
      </c>
      <c r="AK44">
        <v>0</v>
      </c>
      <c r="AL44">
        <v>0.82499999999999996</v>
      </c>
      <c r="AM44" t="s">
        <v>221</v>
      </c>
      <c r="AN44" t="s">
        <v>223</v>
      </c>
      <c r="AO44" t="s">
        <v>221</v>
      </c>
      <c r="AP44" t="s">
        <v>223</v>
      </c>
      <c r="AQ44" t="s">
        <v>221</v>
      </c>
      <c r="AR44" t="s">
        <v>225</v>
      </c>
      <c r="AS44" t="s">
        <v>221</v>
      </c>
      <c r="AT44" t="s">
        <v>223</v>
      </c>
      <c r="AU44" t="s">
        <v>220</v>
      </c>
      <c r="AV44"/>
      <c r="AW44" s="313" t="s">
        <v>220</v>
      </c>
      <c r="AX44" t="s">
        <v>226</v>
      </c>
      <c r="AY44" s="313" t="s">
        <v>220</v>
      </c>
      <c r="AZ44" s="313">
        <v>5.7799999999999997E-2</v>
      </c>
      <c r="BB44" s="313" t="s">
        <v>220</v>
      </c>
      <c r="BC44">
        <v>2.6700000000000002E-2</v>
      </c>
      <c r="BD44" t="s">
        <v>220</v>
      </c>
      <c r="BE44">
        <v>2.5100000000000001E-2</v>
      </c>
      <c r="BF44" s="2" t="s">
        <v>220</v>
      </c>
      <c r="BG44" s="2" t="s">
        <v>273</v>
      </c>
      <c r="BH44" s="2" t="s">
        <v>274</v>
      </c>
      <c r="BI44" s="2" t="s">
        <v>275</v>
      </c>
      <c r="BM44"/>
      <c r="BP44" s="8"/>
      <c r="BQ44" t="s">
        <v>230</v>
      </c>
      <c r="BR44" t="s">
        <v>230</v>
      </c>
      <c r="BU44" t="s">
        <v>231</v>
      </c>
      <c r="BV44" t="s">
        <v>223</v>
      </c>
      <c r="BW44" t="s">
        <v>232</v>
      </c>
      <c r="BX44" t="s">
        <v>284</v>
      </c>
      <c r="BY44" t="s">
        <v>220</v>
      </c>
      <c r="BZ44">
        <v>0.25700000000000001</v>
      </c>
      <c r="CA44" t="s">
        <v>234</v>
      </c>
      <c r="CF44" t="s">
        <v>220</v>
      </c>
      <c r="CG44">
        <v>9.4299999999999995E-2</v>
      </c>
      <c r="CH44" t="s">
        <v>220</v>
      </c>
      <c r="CI44">
        <v>0.307</v>
      </c>
      <c r="CK44"/>
      <c r="CL44"/>
      <c r="CM44"/>
      <c r="CS44" s="8"/>
      <c r="CW44" t="s">
        <v>220</v>
      </c>
      <c r="CX44" t="s">
        <v>257</v>
      </c>
      <c r="CY44" t="s">
        <v>231</v>
      </c>
      <c r="CZ44" t="s">
        <v>220</v>
      </c>
      <c r="DA44" t="s">
        <v>220</v>
      </c>
      <c r="DB44" t="s">
        <v>227</v>
      </c>
      <c r="DC44"/>
      <c r="DD44"/>
      <c r="DE44"/>
      <c r="DF44"/>
      <c r="DG44"/>
      <c r="DH44" s="323"/>
      <c r="DI44" s="323"/>
      <c r="DJ44" s="323"/>
      <c r="DL44" t="s">
        <v>220</v>
      </c>
      <c r="DM44" t="s">
        <v>220</v>
      </c>
      <c r="DN44" t="s">
        <v>257</v>
      </c>
      <c r="DO44" t="s">
        <v>257</v>
      </c>
      <c r="DP44" t="s">
        <v>257</v>
      </c>
      <c r="DS44" s="309">
        <v>145.541</v>
      </c>
      <c r="DU44" s="309">
        <v>359.33199999999999</v>
      </c>
      <c r="DW44">
        <v>829</v>
      </c>
      <c r="DX44" t="s">
        <v>238</v>
      </c>
      <c r="DY44">
        <v>1300</v>
      </c>
      <c r="DZ44" t="s">
        <v>238</v>
      </c>
      <c r="EA44"/>
      <c r="EB44"/>
      <c r="ED44" s="410"/>
      <c r="EE44" s="1"/>
      <c r="EG44" s="410"/>
      <c r="EI44" s="410"/>
      <c r="EK44" s="1"/>
      <c r="EM44"/>
      <c r="EQ44" s="344"/>
      <c r="EU44" s="344"/>
      <c r="EW44" s="409"/>
      <c r="EY44" s="1"/>
      <c r="FA44">
        <v>152.57</v>
      </c>
      <c r="FB44" t="s">
        <v>236</v>
      </c>
      <c r="FC44" s="7">
        <v>430.13026338213649</v>
      </c>
      <c r="FD44" s="357" t="s">
        <v>236</v>
      </c>
      <c r="FE44" s="8">
        <v>11.002718452957357</v>
      </c>
      <c r="FF44" t="s">
        <v>237</v>
      </c>
      <c r="FH44" s="9">
        <v>219.68479539297252</v>
      </c>
      <c r="FI44" s="9" t="s">
        <v>236</v>
      </c>
      <c r="FJ44">
        <v>324</v>
      </c>
      <c r="FK44" t="s">
        <v>238</v>
      </c>
      <c r="FL44">
        <v>275</v>
      </c>
      <c r="FM44">
        <v>44.075779324153672</v>
      </c>
      <c r="FN44" s="5" t="s">
        <v>237</v>
      </c>
      <c r="FP44" s="6">
        <v>2.2037889662076835</v>
      </c>
      <c r="FQ44" t="s">
        <v>277</v>
      </c>
      <c r="FS44" t="s">
        <v>240</v>
      </c>
      <c r="FU44" s="8">
        <v>2</v>
      </c>
      <c r="FV44" s="8">
        <v>10</v>
      </c>
      <c r="FW44" s="8">
        <v>10</v>
      </c>
      <c r="FX44" s="8">
        <v>10</v>
      </c>
      <c r="FY44" s="8">
        <v>3</v>
      </c>
      <c r="FZ44">
        <f t="shared" si="0"/>
        <v>6000</v>
      </c>
      <c r="GA44" s="7" t="s">
        <v>326</v>
      </c>
      <c r="GB44" s="7" t="s">
        <v>326</v>
      </c>
      <c r="GC44" s="6">
        <v>1.5</v>
      </c>
      <c r="GD44" s="348" t="s">
        <v>242</v>
      </c>
      <c r="GF44" s="6">
        <v>1.8337864088262261E-2</v>
      </c>
      <c r="GH44" s="7"/>
      <c r="GI44" s="441" t="s">
        <v>395</v>
      </c>
      <c r="GJ44" s="441" t="s">
        <v>395</v>
      </c>
      <c r="GK44" s="441" t="s">
        <v>395</v>
      </c>
      <c r="GL44" s="441" t="s">
        <v>395</v>
      </c>
      <c r="GM44" s="452" t="s">
        <v>529</v>
      </c>
      <c r="GN44" s="6">
        <v>0.01</v>
      </c>
      <c r="GO44" s="6">
        <v>1.8749999999999999E-2</v>
      </c>
      <c r="GP44" s="6">
        <v>0.03</v>
      </c>
      <c r="GQ44" s="6">
        <v>7.4999999999999997E-2</v>
      </c>
      <c r="GR44" s="6" t="s">
        <v>230</v>
      </c>
      <c r="GU44" t="s">
        <v>243</v>
      </c>
      <c r="GV44" t="s">
        <v>223</v>
      </c>
      <c r="GW44" t="s">
        <v>244</v>
      </c>
      <c r="GX44" t="s">
        <v>236</v>
      </c>
      <c r="GY44" t="s">
        <v>245</v>
      </c>
      <c r="HE44" t="s">
        <v>384</v>
      </c>
      <c r="HF44" t="s">
        <v>223</v>
      </c>
      <c r="HG44" t="s">
        <v>317</v>
      </c>
      <c r="HH44" t="s">
        <v>236</v>
      </c>
      <c r="HI44" t="s">
        <v>247</v>
      </c>
      <c r="HJ44" t="s">
        <v>225</v>
      </c>
      <c r="HK44" t="s">
        <v>266</v>
      </c>
      <c r="HO44" t="s">
        <v>231</v>
      </c>
      <c r="HP44" t="s">
        <v>223</v>
      </c>
      <c r="HQ44" t="s">
        <v>231</v>
      </c>
      <c r="HR44" t="s">
        <v>223</v>
      </c>
      <c r="HU44" t="s">
        <v>231</v>
      </c>
      <c r="HV44" t="s">
        <v>223</v>
      </c>
      <c r="HW44" t="s">
        <v>506</v>
      </c>
      <c r="HX44" t="s">
        <v>236</v>
      </c>
      <c r="IA44" t="s">
        <v>231</v>
      </c>
      <c r="IB44" t="s">
        <v>250</v>
      </c>
      <c r="IC44" t="s">
        <v>395</v>
      </c>
      <c r="ID44" t="s">
        <v>395</v>
      </c>
      <c r="IE44" t="s">
        <v>395</v>
      </c>
      <c r="IF44" t="s">
        <v>395</v>
      </c>
      <c r="IH44" t="s">
        <v>235</v>
      </c>
    </row>
    <row r="45" spans="1:242" x14ac:dyDescent="0.35">
      <c r="A45" s="311" t="s">
        <v>547</v>
      </c>
      <c r="B45" s="313" t="s">
        <v>548</v>
      </c>
      <c r="C45" s="310" t="s">
        <v>549</v>
      </c>
      <c r="D45" s="316"/>
      <c r="F45" t="s">
        <v>550</v>
      </c>
      <c r="I45" s="310" t="s">
        <v>551</v>
      </c>
      <c r="M45" s="313"/>
      <c r="O45"/>
      <c r="P45" s="381"/>
      <c r="Q45"/>
      <c r="T45" s="8"/>
      <c r="U45"/>
      <c r="V45" s="313"/>
      <c r="W45"/>
      <c r="X45"/>
      <c r="Z45"/>
      <c r="AB45"/>
      <c r="AD45" s="8" t="s">
        <v>230</v>
      </c>
      <c r="AF45" s="8" t="s">
        <v>230</v>
      </c>
      <c r="AG45"/>
      <c r="AH45"/>
      <c r="AI45"/>
      <c r="AJ45" t="s">
        <v>221</v>
      </c>
      <c r="AK45">
        <v>0</v>
      </c>
      <c r="AL45">
        <v>0.82499999999999996</v>
      </c>
      <c r="AM45" t="s">
        <v>221</v>
      </c>
      <c r="AN45" t="s">
        <v>223</v>
      </c>
      <c r="AO45" t="s">
        <v>221</v>
      </c>
      <c r="AP45" t="s">
        <v>223</v>
      </c>
      <c r="AQ45" t="s">
        <v>221</v>
      </c>
      <c r="AR45" t="s">
        <v>225</v>
      </c>
      <c r="AS45" t="s">
        <v>221</v>
      </c>
      <c r="AT45" t="s">
        <v>223</v>
      </c>
      <c r="AU45" t="s">
        <v>220</v>
      </c>
      <c r="AV45"/>
      <c r="AW45" s="313" t="s">
        <v>220</v>
      </c>
      <c r="AX45" t="s">
        <v>226</v>
      </c>
      <c r="AY45" s="313" t="s">
        <v>220</v>
      </c>
      <c r="AZ45" s="313">
        <v>6.0499999999999998E-2</v>
      </c>
      <c r="BB45" s="313" t="s">
        <v>220</v>
      </c>
      <c r="BC45">
        <v>3.3500000000000002E-2</v>
      </c>
      <c r="BD45" t="s">
        <v>220</v>
      </c>
      <c r="BE45">
        <v>1.7999999999999999E-2</v>
      </c>
      <c r="BF45" s="2" t="s">
        <v>220</v>
      </c>
      <c r="BG45" s="2" t="s">
        <v>273</v>
      </c>
      <c r="BH45" s="2" t="s">
        <v>274</v>
      </c>
      <c r="BI45" s="2" t="s">
        <v>275</v>
      </c>
      <c r="BM45"/>
      <c r="BP45" s="8"/>
      <c r="BQ45" t="s">
        <v>230</v>
      </c>
      <c r="BR45" t="s">
        <v>230</v>
      </c>
      <c r="BU45" t="s">
        <v>231</v>
      </c>
      <c r="BV45" t="s">
        <v>223</v>
      </c>
      <c r="BW45" t="s">
        <v>232</v>
      </c>
      <c r="BX45" t="s">
        <v>276</v>
      </c>
      <c r="BY45" t="s">
        <v>220</v>
      </c>
      <c r="BZ45">
        <v>0.253</v>
      </c>
      <c r="CA45" t="s">
        <v>234</v>
      </c>
      <c r="CF45" t="s">
        <v>220</v>
      </c>
      <c r="CG45">
        <v>7.0400000000000004E-2</v>
      </c>
      <c r="CH45" t="s">
        <v>220</v>
      </c>
      <c r="CI45">
        <v>9.6100000000000005E-2</v>
      </c>
      <c r="CK45"/>
      <c r="CL45"/>
      <c r="CM45"/>
      <c r="CS45" s="8"/>
      <c r="CW45" t="s">
        <v>220</v>
      </c>
      <c r="CX45" t="s">
        <v>257</v>
      </c>
      <c r="CY45" t="s">
        <v>231</v>
      </c>
      <c r="CZ45" t="s">
        <v>220</v>
      </c>
      <c r="DA45" t="s">
        <v>220</v>
      </c>
      <c r="DB45" t="s">
        <v>227</v>
      </c>
      <c r="DC45"/>
      <c r="DD45"/>
      <c r="DE45"/>
      <c r="DF45"/>
      <c r="DG45"/>
      <c r="DH45" s="323"/>
      <c r="DI45" s="323"/>
      <c r="DJ45" s="323"/>
      <c r="DL45" t="s">
        <v>220</v>
      </c>
      <c r="DM45" t="s">
        <v>220</v>
      </c>
      <c r="DN45" t="s">
        <v>227</v>
      </c>
      <c r="DO45" t="s">
        <v>257</v>
      </c>
      <c r="DP45" t="s">
        <v>257</v>
      </c>
      <c r="DS45" s="309">
        <v>105.02200000000001</v>
      </c>
      <c r="DU45" s="309">
        <v>392.05700000000002</v>
      </c>
      <c r="DW45">
        <v>1850</v>
      </c>
      <c r="DX45" t="s">
        <v>238</v>
      </c>
      <c r="DY45">
        <v>5070</v>
      </c>
      <c r="DZ45" t="s">
        <v>238</v>
      </c>
      <c r="EA45"/>
      <c r="EB45"/>
      <c r="ED45" s="410"/>
      <c r="EE45" s="1"/>
      <c r="EG45" s="410"/>
      <c r="EI45" s="410"/>
      <c r="EK45" s="1"/>
      <c r="EM45"/>
      <c r="EQ45" s="344"/>
      <c r="EU45" s="344"/>
      <c r="EW45" s="409"/>
      <c r="EY45" s="1"/>
      <c r="FA45">
        <v>169.27</v>
      </c>
      <c r="FB45" t="s">
        <v>236</v>
      </c>
      <c r="FC45" s="7">
        <v>645.95163226962632</v>
      </c>
      <c r="FD45" s="357" t="s">
        <v>236</v>
      </c>
      <c r="FE45" s="8">
        <v>4.579309531517441</v>
      </c>
      <c r="FF45" t="s">
        <v>237</v>
      </c>
      <c r="FH45" s="9">
        <v>196.47169866047372</v>
      </c>
      <c r="FI45" s="9" t="s">
        <v>236</v>
      </c>
      <c r="FJ45">
        <v>559</v>
      </c>
      <c r="FK45" t="s">
        <v>238</v>
      </c>
      <c r="FL45">
        <v>323</v>
      </c>
      <c r="FM45">
        <v>10.273064148386771</v>
      </c>
      <c r="FN45" s="5" t="s">
        <v>237</v>
      </c>
      <c r="FP45" s="6">
        <v>0.51365320741933851</v>
      </c>
      <c r="FQ45" t="s">
        <v>277</v>
      </c>
      <c r="FS45" t="s">
        <v>240</v>
      </c>
      <c r="FU45" s="8">
        <v>2</v>
      </c>
      <c r="FV45" s="8">
        <v>10</v>
      </c>
      <c r="FW45" s="8">
        <v>10</v>
      </c>
      <c r="FX45" s="8">
        <v>10</v>
      </c>
      <c r="FY45" s="8">
        <v>3</v>
      </c>
      <c r="FZ45">
        <f t="shared" si="0"/>
        <v>6000</v>
      </c>
      <c r="GA45" s="7" t="s">
        <v>326</v>
      </c>
      <c r="GB45" s="7" t="s">
        <v>326</v>
      </c>
      <c r="GC45" s="6">
        <v>1.5</v>
      </c>
      <c r="GD45" s="348" t="s">
        <v>242</v>
      </c>
      <c r="GF45" s="6">
        <v>7.6321825525290689E-3</v>
      </c>
      <c r="GH45" s="7"/>
      <c r="GI45" s="441" t="s">
        <v>395</v>
      </c>
      <c r="GJ45" s="441" t="s">
        <v>395</v>
      </c>
      <c r="GK45" s="441" t="s">
        <v>395</v>
      </c>
      <c r="GL45" s="441" t="s">
        <v>395</v>
      </c>
      <c r="GM45" s="452" t="s">
        <v>552</v>
      </c>
      <c r="GN45" s="6">
        <v>0.01</v>
      </c>
      <c r="GO45" s="6">
        <v>1.8749999999999999E-2</v>
      </c>
      <c r="GP45" s="6">
        <v>0.03</v>
      </c>
      <c r="GQ45" s="6">
        <v>7.4999999999999997E-2</v>
      </c>
      <c r="GR45" s="6" t="s">
        <v>230</v>
      </c>
      <c r="GU45" t="s">
        <v>243</v>
      </c>
      <c r="GV45" t="s">
        <v>225</v>
      </c>
      <c r="GW45" t="s">
        <v>244</v>
      </c>
      <c r="GX45" t="s">
        <v>236</v>
      </c>
      <c r="GY45" t="s">
        <v>245</v>
      </c>
      <c r="HE45" t="s">
        <v>384</v>
      </c>
      <c r="HF45" t="s">
        <v>223</v>
      </c>
      <c r="HG45" t="s">
        <v>317</v>
      </c>
      <c r="HH45" t="s">
        <v>236</v>
      </c>
      <c r="HI45" t="s">
        <v>247</v>
      </c>
      <c r="HJ45" t="s">
        <v>225</v>
      </c>
      <c r="HK45" t="s">
        <v>266</v>
      </c>
      <c r="HO45" t="s">
        <v>231</v>
      </c>
      <c r="HP45" t="s">
        <v>223</v>
      </c>
      <c r="HQ45" t="s">
        <v>231</v>
      </c>
      <c r="HR45" t="s">
        <v>223</v>
      </c>
      <c r="HU45" t="s">
        <v>231</v>
      </c>
      <c r="HV45" t="s">
        <v>223</v>
      </c>
      <c r="HW45" t="s">
        <v>506</v>
      </c>
      <c r="HX45" t="s">
        <v>236</v>
      </c>
      <c r="IA45" t="s">
        <v>231</v>
      </c>
      <c r="IB45" t="s">
        <v>250</v>
      </c>
      <c r="IC45" t="s">
        <v>395</v>
      </c>
      <c r="ID45" t="s">
        <v>395</v>
      </c>
      <c r="IE45" t="s">
        <v>395</v>
      </c>
      <c r="IF45" t="s">
        <v>395</v>
      </c>
      <c r="IH45" t="s">
        <v>235</v>
      </c>
    </row>
    <row r="46" spans="1:242" x14ac:dyDescent="0.35">
      <c r="A46" s="310" t="s">
        <v>553</v>
      </c>
      <c r="B46" s="313" t="s">
        <v>554</v>
      </c>
      <c r="C46" s="310" t="s">
        <v>555</v>
      </c>
      <c r="D46" s="316"/>
      <c r="F46" t="s">
        <v>556</v>
      </c>
      <c r="I46" s="310" t="s">
        <v>557</v>
      </c>
      <c r="M46" s="313"/>
      <c r="O46"/>
      <c r="P46" s="381"/>
      <c r="Q46"/>
      <c r="T46" s="8"/>
      <c r="U46"/>
      <c r="V46" s="313"/>
      <c r="W46" t="s">
        <v>301</v>
      </c>
      <c r="X46"/>
      <c r="Z46"/>
      <c r="AB46"/>
      <c r="AD46" s="8" t="s">
        <v>230</v>
      </c>
      <c r="AF46" s="8" t="s">
        <v>230</v>
      </c>
      <c r="AG46"/>
      <c r="AH46"/>
      <c r="AI46"/>
      <c r="AJ46" t="s">
        <v>221</v>
      </c>
      <c r="AK46">
        <v>0</v>
      </c>
      <c r="AL46">
        <v>0.82499999999999996</v>
      </c>
      <c r="AM46" t="s">
        <v>221</v>
      </c>
      <c r="AN46" t="s">
        <v>223</v>
      </c>
      <c r="AO46" t="s">
        <v>221</v>
      </c>
      <c r="AP46" t="s">
        <v>223</v>
      </c>
      <c r="AQ46" t="s">
        <v>221</v>
      </c>
      <c r="AR46" t="s">
        <v>225</v>
      </c>
      <c r="AS46" t="s">
        <v>221</v>
      </c>
      <c r="AT46" t="s">
        <v>223</v>
      </c>
      <c r="AU46" t="s">
        <v>220</v>
      </c>
      <c r="AV46"/>
      <c r="AW46" s="313" t="s">
        <v>220</v>
      </c>
      <c r="AX46" t="s">
        <v>226</v>
      </c>
      <c r="AY46" s="313" t="s">
        <v>220</v>
      </c>
      <c r="AZ46" s="313">
        <v>5.57E-2</v>
      </c>
      <c r="BB46" s="313" t="s">
        <v>220</v>
      </c>
      <c r="BC46">
        <v>2.6499999999999999E-2</v>
      </c>
      <c r="BD46" t="s">
        <v>220</v>
      </c>
      <c r="BE46">
        <v>2.1000000000000001E-2</v>
      </c>
      <c r="BF46" s="2" t="s">
        <v>220</v>
      </c>
      <c r="BG46" s="2" t="s">
        <v>273</v>
      </c>
      <c r="BH46" s="2" t="s">
        <v>274</v>
      </c>
      <c r="BI46" s="2" t="s">
        <v>275</v>
      </c>
      <c r="BM46"/>
      <c r="BP46" s="8"/>
      <c r="BQ46" t="s">
        <v>230</v>
      </c>
      <c r="BR46" t="s">
        <v>230</v>
      </c>
      <c r="BU46" t="s">
        <v>231</v>
      </c>
      <c r="BV46" t="s">
        <v>223</v>
      </c>
      <c r="BW46" t="s">
        <v>232</v>
      </c>
      <c r="BX46" t="s">
        <v>284</v>
      </c>
      <c r="BY46" t="s">
        <v>220</v>
      </c>
      <c r="BZ46">
        <v>0.22500000000000001</v>
      </c>
      <c r="CA46" t="s">
        <v>234</v>
      </c>
      <c r="CF46" t="s">
        <v>220</v>
      </c>
      <c r="CG46">
        <v>6.3299999999999995E-2</v>
      </c>
      <c r="CH46" t="s">
        <v>220</v>
      </c>
      <c r="CI46">
        <v>0.22700000000000001</v>
      </c>
      <c r="CK46"/>
      <c r="CL46"/>
      <c r="CM46"/>
      <c r="CS46" s="8"/>
      <c r="CW46" t="s">
        <v>220</v>
      </c>
      <c r="CX46" t="s">
        <v>257</v>
      </c>
      <c r="CY46" t="s">
        <v>231</v>
      </c>
      <c r="CZ46" t="s">
        <v>220</v>
      </c>
      <c r="DA46" t="s">
        <v>220</v>
      </c>
      <c r="DB46" t="s">
        <v>227</v>
      </c>
      <c r="DC46"/>
      <c r="DD46"/>
      <c r="DE46"/>
      <c r="DF46"/>
      <c r="DG46"/>
      <c r="DH46" s="323"/>
      <c r="DI46" s="323"/>
      <c r="DJ46" s="323"/>
      <c r="DL46" t="s">
        <v>220</v>
      </c>
      <c r="DM46" t="s">
        <v>220</v>
      </c>
      <c r="DN46" t="s">
        <v>257</v>
      </c>
      <c r="DO46" t="s">
        <v>257</v>
      </c>
      <c r="DP46" t="s">
        <v>257</v>
      </c>
      <c r="DS46" s="338">
        <v>385.48899999999998</v>
      </c>
      <c r="DT46" s="8" t="s">
        <v>394</v>
      </c>
      <c r="DU46" s="309">
        <v>414.83800000000002</v>
      </c>
      <c r="DW46">
        <v>1090</v>
      </c>
      <c r="DX46" t="s">
        <v>238</v>
      </c>
      <c r="DY46">
        <v>1610</v>
      </c>
      <c r="DZ46" t="s">
        <v>238</v>
      </c>
      <c r="EA46"/>
      <c r="EB46"/>
      <c r="ED46" s="410"/>
      <c r="EE46" s="1"/>
      <c r="EG46" s="410"/>
      <c r="EI46" s="410"/>
      <c r="EK46" s="1"/>
      <c r="EM46"/>
      <c r="EQ46" s="344"/>
      <c r="EU46" s="344"/>
      <c r="EW46" s="409"/>
      <c r="EY46" s="1"/>
      <c r="FA46">
        <v>208.34</v>
      </c>
      <c r="FB46" t="s">
        <v>236</v>
      </c>
      <c r="FC46" s="7">
        <v>1077.9534330711124</v>
      </c>
      <c r="FD46" s="357" t="s">
        <v>236</v>
      </c>
      <c r="FE46" s="8">
        <v>7.6032627694018204</v>
      </c>
      <c r="FF46" t="s">
        <v>237</v>
      </c>
      <c r="FH46" s="9">
        <v>495.22208008852141</v>
      </c>
      <c r="FI46" s="9" t="s">
        <v>236</v>
      </c>
      <c r="FJ46">
        <v>473</v>
      </c>
      <c r="FK46" t="s">
        <v>238</v>
      </c>
      <c r="FL46">
        <v>319</v>
      </c>
      <c r="FM46">
        <v>42.15023497210445</v>
      </c>
      <c r="FN46" s="5" t="s">
        <v>237</v>
      </c>
      <c r="FP46" s="6">
        <v>2.1075117486052224</v>
      </c>
      <c r="FQ46" t="s">
        <v>277</v>
      </c>
      <c r="FS46" t="s">
        <v>240</v>
      </c>
      <c r="FU46" s="8">
        <v>2</v>
      </c>
      <c r="FV46" s="8">
        <v>10</v>
      </c>
      <c r="FW46" s="8">
        <v>10</v>
      </c>
      <c r="FX46" s="8">
        <v>10</v>
      </c>
      <c r="FY46" s="8">
        <v>3</v>
      </c>
      <c r="FZ46">
        <f t="shared" si="0"/>
        <v>6000</v>
      </c>
      <c r="GA46" s="7" t="s">
        <v>326</v>
      </c>
      <c r="GB46" s="7" t="s">
        <v>326</v>
      </c>
      <c r="GC46" s="6">
        <v>1.5</v>
      </c>
      <c r="GD46" s="348" t="s">
        <v>242</v>
      </c>
      <c r="GF46" s="6">
        <v>1.2672104615669701E-2</v>
      </c>
      <c r="GH46" s="7"/>
      <c r="GI46" s="441"/>
      <c r="GJ46" s="441"/>
      <c r="GK46" s="441"/>
      <c r="GL46" s="441"/>
      <c r="GM46" s="454"/>
      <c r="GN46" s="441"/>
      <c r="GO46" s="441"/>
      <c r="GP46" s="441"/>
      <c r="GQ46" s="441"/>
      <c r="GR46" s="441"/>
      <c r="GS46" s="441"/>
      <c r="GT46" s="441"/>
      <c r="GU46" s="441"/>
      <c r="GV46" s="441"/>
      <c r="GW46" s="441"/>
      <c r="GX46" s="441"/>
      <c r="GY46" s="441"/>
      <c r="GZ46" s="441"/>
      <c r="HA46" s="441"/>
      <c r="HB46" s="441"/>
      <c r="HC46" s="441"/>
      <c r="HD46" s="441"/>
      <c r="HE46" s="441"/>
      <c r="HF46" s="441"/>
      <c r="HG46" s="441"/>
      <c r="HH46" s="441"/>
      <c r="HI46" s="441"/>
      <c r="HJ46" s="441"/>
      <c r="HK46" s="441"/>
      <c r="HL46" s="441"/>
      <c r="HM46" s="441"/>
      <c r="HN46" s="441"/>
      <c r="HO46" s="441"/>
      <c r="HP46" s="441"/>
      <c r="HQ46" s="441"/>
      <c r="HR46" s="441"/>
      <c r="HS46" s="441"/>
      <c r="HT46" s="441"/>
      <c r="HU46" s="441"/>
      <c r="HV46" s="441"/>
      <c r="HW46" s="441"/>
      <c r="HX46" s="441"/>
      <c r="HY46" s="441"/>
      <c r="HZ46" s="441"/>
      <c r="IA46" s="441"/>
      <c r="IB46" s="441"/>
      <c r="IC46" s="441"/>
      <c r="ID46" s="441"/>
      <c r="IE46" s="441"/>
      <c r="IF46" s="441"/>
      <c r="IH46" t="s">
        <v>235</v>
      </c>
    </row>
    <row r="47" spans="1:242" x14ac:dyDescent="0.35">
      <c r="A47" s="310" t="s">
        <v>558</v>
      </c>
      <c r="B47" s="313" t="s">
        <v>559</v>
      </c>
      <c r="C47" s="310" t="s">
        <v>560</v>
      </c>
      <c r="D47" s="316"/>
      <c r="F47" t="s">
        <v>561</v>
      </c>
      <c r="I47" s="310" t="s">
        <v>562</v>
      </c>
      <c r="M47" s="313"/>
      <c r="O47"/>
      <c r="P47" s="381"/>
      <c r="Q47"/>
      <c r="T47" s="8"/>
      <c r="U47"/>
      <c r="V47" s="313"/>
      <c r="W47" t="s">
        <v>301</v>
      </c>
      <c r="X47" t="s">
        <v>220</v>
      </c>
      <c r="Z47"/>
      <c r="AB47" t="s">
        <v>220</v>
      </c>
      <c r="AD47" s="8" t="s">
        <v>230</v>
      </c>
      <c r="AF47" s="8" t="s">
        <v>230</v>
      </c>
      <c r="AG47"/>
      <c r="AH47"/>
      <c r="AI47"/>
      <c r="AJ47" t="s">
        <v>414</v>
      </c>
      <c r="AK47">
        <v>0.2</v>
      </c>
      <c r="AL47">
        <v>0.2</v>
      </c>
      <c r="AM47" t="s">
        <v>414</v>
      </c>
      <c r="AN47" t="s">
        <v>236</v>
      </c>
      <c r="AO47" t="s">
        <v>224</v>
      </c>
      <c r="AP47" t="s">
        <v>225</v>
      </c>
      <c r="AQ47" t="s">
        <v>221</v>
      </c>
      <c r="AR47" t="s">
        <v>236</v>
      </c>
      <c r="AS47" t="s">
        <v>414</v>
      </c>
      <c r="AT47" t="s">
        <v>225</v>
      </c>
      <c r="AU47" t="s">
        <v>220</v>
      </c>
      <c r="AV47"/>
      <c r="AW47" s="313" t="s">
        <v>335</v>
      </c>
      <c r="AX47" t="s">
        <v>226</v>
      </c>
      <c r="AY47" s="313" t="s">
        <v>220</v>
      </c>
      <c r="AZ47" s="313">
        <v>0.28599999999999998</v>
      </c>
      <c r="BB47" s="313" t="s">
        <v>220</v>
      </c>
      <c r="BC47">
        <v>0.156</v>
      </c>
      <c r="BD47" t="s">
        <v>220</v>
      </c>
      <c r="BE47">
        <v>8.77E-2</v>
      </c>
      <c r="BF47" s="2" t="s">
        <v>220</v>
      </c>
      <c r="BG47" s="2" t="s">
        <v>230</v>
      </c>
      <c r="BH47" s="2" t="s">
        <v>228</v>
      </c>
      <c r="BI47" s="2" t="s">
        <v>169</v>
      </c>
      <c r="BM47"/>
      <c r="BP47" s="8"/>
      <c r="BQ47" t="s">
        <v>230</v>
      </c>
      <c r="BR47" t="s">
        <v>230</v>
      </c>
      <c r="BU47" t="s">
        <v>293</v>
      </c>
      <c r="BV47" t="s">
        <v>236</v>
      </c>
      <c r="BW47" t="s">
        <v>232</v>
      </c>
      <c r="BX47" t="s">
        <v>276</v>
      </c>
      <c r="BY47" t="s">
        <v>257</v>
      </c>
      <c r="BZ47">
        <v>0.60099999999999998</v>
      </c>
      <c r="CA47" t="s">
        <v>372</v>
      </c>
      <c r="CF47" t="s">
        <v>257</v>
      </c>
      <c r="CG47">
        <v>0.53300000000000003</v>
      </c>
      <c r="CH47" t="s">
        <v>257</v>
      </c>
      <c r="CI47">
        <v>0.63300000000000001</v>
      </c>
      <c r="CK47"/>
      <c r="CL47"/>
      <c r="CM47"/>
      <c r="CS47" s="8"/>
      <c r="CW47" t="s">
        <v>220</v>
      </c>
      <c r="CX47" t="s">
        <v>257</v>
      </c>
      <c r="CY47" t="s">
        <v>231</v>
      </c>
      <c r="CZ47" t="s">
        <v>227</v>
      </c>
      <c r="DA47" t="s">
        <v>227</v>
      </c>
      <c r="DB47" t="s">
        <v>227</v>
      </c>
      <c r="DC47"/>
      <c r="DD47"/>
      <c r="DE47"/>
      <c r="DF47"/>
      <c r="DG47"/>
      <c r="DH47" s="323"/>
      <c r="DI47" s="323"/>
      <c r="DJ47" s="323"/>
      <c r="DL47" t="s">
        <v>257</v>
      </c>
      <c r="DM47" t="s">
        <v>257</v>
      </c>
      <c r="DN47" t="s">
        <v>227</v>
      </c>
      <c r="DO47" t="s">
        <v>227</v>
      </c>
      <c r="DP47" t="s">
        <v>227</v>
      </c>
      <c r="DS47" s="309">
        <v>29.393999999999998</v>
      </c>
      <c r="DU47" s="309">
        <v>467.024</v>
      </c>
      <c r="DW47"/>
      <c r="DX47" t="s">
        <v>235</v>
      </c>
      <c r="DY47"/>
      <c r="DZ47" t="s">
        <v>235</v>
      </c>
      <c r="EA47"/>
      <c r="EB47"/>
      <c r="ED47" s="410"/>
      <c r="EE47" s="1"/>
      <c r="EG47" s="410"/>
      <c r="EI47" s="410"/>
      <c r="EK47" s="1"/>
      <c r="EM47"/>
      <c r="EQ47" s="344"/>
      <c r="EU47" s="344"/>
      <c r="EW47" s="409"/>
      <c r="EY47" s="1"/>
      <c r="FA47">
        <v>96.84</v>
      </c>
      <c r="FB47" t="s">
        <v>225</v>
      </c>
      <c r="FC47" s="7">
        <v>87.156543813677828</v>
      </c>
      <c r="FD47" s="357" t="s">
        <v>225</v>
      </c>
      <c r="FE47" s="8">
        <v>362.3264175531329</v>
      </c>
      <c r="FF47" t="s">
        <v>237</v>
      </c>
      <c r="FH47" s="9">
        <v>191.38152020474274</v>
      </c>
      <c r="FI47" s="9" t="s">
        <v>225</v>
      </c>
      <c r="FK47" t="s">
        <v>235</v>
      </c>
      <c r="FL47">
        <v>85.9</v>
      </c>
      <c r="FM47">
        <v>616.31111474198451</v>
      </c>
      <c r="FN47" s="419" t="s">
        <v>237</v>
      </c>
      <c r="FV47" s="8"/>
      <c r="FW47" s="8"/>
      <c r="FX47" s="8"/>
      <c r="GH47" s="7"/>
      <c r="GR47" s="6" t="s">
        <v>230</v>
      </c>
      <c r="GU47" t="s">
        <v>243</v>
      </c>
      <c r="GV47" t="s">
        <v>236</v>
      </c>
      <c r="GW47" t="s">
        <v>359</v>
      </c>
      <c r="GX47" t="s">
        <v>223</v>
      </c>
      <c r="GY47" t="s">
        <v>417</v>
      </c>
      <c r="HE47" t="s">
        <v>384</v>
      </c>
      <c r="HF47" t="s">
        <v>223</v>
      </c>
      <c r="HG47" t="s">
        <v>231</v>
      </c>
      <c r="HH47" t="s">
        <v>223</v>
      </c>
      <c r="HI47" t="s">
        <v>247</v>
      </c>
      <c r="HJ47" t="s">
        <v>223</v>
      </c>
      <c r="HK47" t="s">
        <v>248</v>
      </c>
      <c r="HL47" t="s">
        <v>231</v>
      </c>
      <c r="HM47" t="s">
        <v>231</v>
      </c>
      <c r="HO47" t="s">
        <v>231</v>
      </c>
      <c r="HP47" t="s">
        <v>249</v>
      </c>
      <c r="HQ47" t="s">
        <v>231</v>
      </c>
      <c r="HR47" t="s">
        <v>249</v>
      </c>
      <c r="HU47" t="s">
        <v>231</v>
      </c>
      <c r="HV47" t="s">
        <v>223</v>
      </c>
      <c r="HW47" t="s">
        <v>563</v>
      </c>
      <c r="HX47" t="s">
        <v>236</v>
      </c>
      <c r="IA47" t="s">
        <v>231</v>
      </c>
      <c r="IB47" t="s">
        <v>250</v>
      </c>
      <c r="IH47" t="s">
        <v>235</v>
      </c>
    </row>
    <row r="48" spans="1:242" x14ac:dyDescent="0.35">
      <c r="A48" s="310" t="s">
        <v>537</v>
      </c>
      <c r="B48" s="313" t="s">
        <v>564</v>
      </c>
      <c r="C48" s="310" t="s">
        <v>565</v>
      </c>
      <c r="D48" s="316"/>
      <c r="F48" t="s">
        <v>566</v>
      </c>
      <c r="I48" s="310" t="s">
        <v>567</v>
      </c>
      <c r="M48" s="313"/>
      <c r="O48"/>
      <c r="P48" s="381"/>
      <c r="Q48"/>
      <c r="T48" s="8"/>
      <c r="U48"/>
      <c r="V48" s="313"/>
      <c r="W48"/>
      <c r="X48"/>
      <c r="Z48"/>
      <c r="AB48"/>
      <c r="AD48" s="8" t="s">
        <v>230</v>
      </c>
      <c r="AF48" s="8" t="s">
        <v>230</v>
      </c>
      <c r="AG48"/>
      <c r="AH48"/>
      <c r="AI48"/>
      <c r="AJ48" t="s">
        <v>221</v>
      </c>
      <c r="AK48">
        <v>0</v>
      </c>
      <c r="AL48">
        <v>0.6</v>
      </c>
      <c r="AM48" t="s">
        <v>221</v>
      </c>
      <c r="AN48" t="s">
        <v>225</v>
      </c>
      <c r="AO48" t="s">
        <v>221</v>
      </c>
      <c r="AP48" t="s">
        <v>225</v>
      </c>
      <c r="AQ48" t="s">
        <v>221</v>
      </c>
      <c r="AR48" t="s">
        <v>225</v>
      </c>
      <c r="AS48" t="s">
        <v>221</v>
      </c>
      <c r="AT48" t="s">
        <v>225</v>
      </c>
      <c r="AU48" t="s">
        <v>220</v>
      </c>
      <c r="AV48"/>
      <c r="AW48" s="313" t="s">
        <v>220</v>
      </c>
      <c r="AX48" t="s">
        <v>226</v>
      </c>
      <c r="AY48" s="313" t="s">
        <v>220</v>
      </c>
      <c r="AZ48" s="313">
        <v>0.28799999999999998</v>
      </c>
      <c r="BB48" s="313" t="s">
        <v>220</v>
      </c>
      <c r="BC48">
        <v>0.16600000000000001</v>
      </c>
      <c r="BD48" t="s">
        <v>220</v>
      </c>
      <c r="BE48">
        <v>7.7600000000000002E-2</v>
      </c>
      <c r="BF48" s="2" t="s">
        <v>220</v>
      </c>
      <c r="BG48" s="2" t="s">
        <v>273</v>
      </c>
      <c r="BH48" s="2" t="s">
        <v>274</v>
      </c>
      <c r="BI48" s="2" t="s">
        <v>275</v>
      </c>
      <c r="BM48"/>
      <c r="BP48" s="8"/>
      <c r="BQ48" t="s">
        <v>230</v>
      </c>
      <c r="BR48" t="s">
        <v>230</v>
      </c>
      <c r="BU48" t="s">
        <v>293</v>
      </c>
      <c r="BV48" t="s">
        <v>236</v>
      </c>
      <c r="BW48" t="s">
        <v>232</v>
      </c>
      <c r="BX48" t="s">
        <v>500</v>
      </c>
      <c r="BY48" t="s">
        <v>257</v>
      </c>
      <c r="BZ48">
        <v>0.629</v>
      </c>
      <c r="CA48" t="s">
        <v>372</v>
      </c>
      <c r="CF48" t="s">
        <v>220</v>
      </c>
      <c r="CG48">
        <v>0.35599999999999998</v>
      </c>
      <c r="CH48" t="s">
        <v>257</v>
      </c>
      <c r="CI48">
        <v>0.60299999999999998</v>
      </c>
      <c r="CK48"/>
      <c r="CL48"/>
      <c r="CM48"/>
      <c r="CS48" s="8"/>
      <c r="CW48" t="s">
        <v>227</v>
      </c>
      <c r="CX48" t="s">
        <v>257</v>
      </c>
      <c r="CY48" t="s">
        <v>317</v>
      </c>
      <c r="CZ48" t="s">
        <v>227</v>
      </c>
      <c r="DA48" t="s">
        <v>227</v>
      </c>
      <c r="DB48" t="s">
        <v>227</v>
      </c>
      <c r="DC48"/>
      <c r="DD48"/>
      <c r="DE48"/>
      <c r="DF48"/>
      <c r="DG48"/>
      <c r="DH48" s="323"/>
      <c r="DI48" s="323"/>
      <c r="DJ48" s="323"/>
      <c r="DL48" t="s">
        <v>257</v>
      </c>
      <c r="DM48" t="s">
        <v>220</v>
      </c>
      <c r="DN48" t="s">
        <v>227</v>
      </c>
      <c r="DO48" t="s">
        <v>227</v>
      </c>
      <c r="DP48" t="s">
        <v>227</v>
      </c>
      <c r="DS48" s="338">
        <v>0.14399999999999999</v>
      </c>
      <c r="DT48" s="8" t="s">
        <v>394</v>
      </c>
      <c r="DU48" s="338">
        <v>765.39300000000003</v>
      </c>
      <c r="DV48" s="8" t="s">
        <v>394</v>
      </c>
      <c r="DW48"/>
      <c r="DX48" t="s">
        <v>235</v>
      </c>
      <c r="DY48"/>
      <c r="DZ48" t="s">
        <v>235</v>
      </c>
      <c r="EA48"/>
      <c r="EB48"/>
      <c r="ED48" s="410"/>
      <c r="EE48" s="1"/>
      <c r="EG48" s="410"/>
      <c r="EI48" s="410"/>
      <c r="EK48" s="1"/>
      <c r="EM48"/>
      <c r="EQ48" s="344"/>
      <c r="EU48" s="344"/>
      <c r="EW48" s="409"/>
      <c r="EY48" s="1"/>
      <c r="FA48">
        <v>2160.39</v>
      </c>
      <c r="FB48" t="s">
        <v>225</v>
      </c>
      <c r="FC48" s="7">
        <v>322.62647270756747</v>
      </c>
      <c r="FD48" s="357" t="s">
        <v>225</v>
      </c>
      <c r="FE48" s="8">
        <v>17631.935968238315</v>
      </c>
      <c r="FF48" t="s">
        <v>237</v>
      </c>
      <c r="FH48" s="9">
        <v>23243.418403925261</v>
      </c>
      <c r="FI48" s="9" t="s">
        <v>236</v>
      </c>
      <c r="FK48" t="s">
        <v>235</v>
      </c>
      <c r="FL48">
        <v>364</v>
      </c>
      <c r="FM48">
        <v>42746.444749239396</v>
      </c>
      <c r="FN48" s="5" t="s">
        <v>237</v>
      </c>
      <c r="FP48" s="6">
        <v>36.4</v>
      </c>
      <c r="FQ48" t="s">
        <v>239</v>
      </c>
      <c r="FS48" t="s">
        <v>240</v>
      </c>
      <c r="FU48" s="8">
        <v>1</v>
      </c>
      <c r="FV48" s="8">
        <v>10</v>
      </c>
      <c r="FW48" s="8">
        <v>10</v>
      </c>
      <c r="FX48" s="8">
        <v>10</v>
      </c>
      <c r="FY48" s="8">
        <v>3</v>
      </c>
      <c r="FZ48">
        <f t="shared" si="0"/>
        <v>3000</v>
      </c>
      <c r="GA48" s="7" t="s">
        <v>241</v>
      </c>
      <c r="GB48" s="7" t="s">
        <v>241</v>
      </c>
      <c r="GC48" s="6">
        <v>30</v>
      </c>
      <c r="GD48" s="348" t="s">
        <v>242</v>
      </c>
      <c r="GF48" s="6">
        <v>0.12133333333333333</v>
      </c>
      <c r="GH48" s="7"/>
      <c r="GI48" s="441">
        <v>0.80900000000000005</v>
      </c>
      <c r="GJ48" s="441">
        <v>1.5169999999999999</v>
      </c>
      <c r="GK48" s="441">
        <v>2.427</v>
      </c>
      <c r="GL48" s="441">
        <v>6.0670000000000002</v>
      </c>
      <c r="GM48" s="452" t="s">
        <v>529</v>
      </c>
      <c r="GN48" s="6">
        <v>0.2</v>
      </c>
      <c r="GO48" s="6">
        <v>0.375</v>
      </c>
      <c r="GP48" s="6">
        <v>0.6</v>
      </c>
      <c r="GQ48" s="6">
        <v>1.5</v>
      </c>
      <c r="GR48" s="6" t="s">
        <v>230</v>
      </c>
      <c r="GU48" t="s">
        <v>243</v>
      </c>
      <c r="GV48" t="s">
        <v>236</v>
      </c>
      <c r="GW48" t="s">
        <v>244</v>
      </c>
      <c r="GX48" t="s">
        <v>236</v>
      </c>
      <c r="GY48" t="s">
        <v>245</v>
      </c>
      <c r="HE48" t="s">
        <v>384</v>
      </c>
      <c r="HF48" t="s">
        <v>223</v>
      </c>
      <c r="HG48" t="s">
        <v>231</v>
      </c>
      <c r="HH48" t="s">
        <v>223</v>
      </c>
      <c r="HI48" t="s">
        <v>247</v>
      </c>
      <c r="HJ48" t="s">
        <v>225</v>
      </c>
      <c r="HK48" t="s">
        <v>568</v>
      </c>
      <c r="HO48" t="s">
        <v>231</v>
      </c>
      <c r="HP48" t="s">
        <v>223</v>
      </c>
      <c r="HQ48" t="s">
        <v>231</v>
      </c>
      <c r="HR48" t="s">
        <v>223</v>
      </c>
      <c r="HU48" t="s">
        <v>231</v>
      </c>
      <c r="HV48" t="s">
        <v>223</v>
      </c>
      <c r="HW48" t="s">
        <v>563</v>
      </c>
      <c r="HX48" t="s">
        <v>236</v>
      </c>
      <c r="IA48" t="s">
        <v>231</v>
      </c>
      <c r="IB48" t="s">
        <v>250</v>
      </c>
      <c r="IC48">
        <v>0.80900000000000005</v>
      </c>
      <c r="ID48">
        <v>1.5169999999999999</v>
      </c>
      <c r="IE48">
        <v>2.427</v>
      </c>
      <c r="IF48">
        <v>6.0670000000000002</v>
      </c>
      <c r="IH48" t="s">
        <v>267</v>
      </c>
    </row>
    <row r="49" spans="1:242" x14ac:dyDescent="0.35">
      <c r="A49" s="310" t="s">
        <v>537</v>
      </c>
      <c r="B49" s="313" t="s">
        <v>569</v>
      </c>
      <c r="C49" s="310" t="s">
        <v>570</v>
      </c>
      <c r="D49" s="316"/>
      <c r="F49" t="s">
        <v>571</v>
      </c>
      <c r="I49" s="310" t="s">
        <v>572</v>
      </c>
      <c r="M49" s="313"/>
      <c r="O49"/>
      <c r="P49" s="381"/>
      <c r="Q49"/>
      <c r="T49" s="8"/>
      <c r="U49"/>
      <c r="V49" s="313"/>
      <c r="W49"/>
      <c r="X49"/>
      <c r="Z49"/>
      <c r="AB49"/>
      <c r="AD49" s="8" t="s">
        <v>230</v>
      </c>
      <c r="AF49" s="8" t="s">
        <v>230</v>
      </c>
      <c r="AG49"/>
      <c r="AH49"/>
      <c r="AI49"/>
      <c r="AJ49" t="s">
        <v>221</v>
      </c>
      <c r="AK49">
        <v>0</v>
      </c>
      <c r="AL49">
        <v>0.6</v>
      </c>
      <c r="AM49" t="s">
        <v>221</v>
      </c>
      <c r="AN49" t="s">
        <v>225</v>
      </c>
      <c r="AO49" t="s">
        <v>221</v>
      </c>
      <c r="AP49" t="s">
        <v>225</v>
      </c>
      <c r="AQ49" t="s">
        <v>221</v>
      </c>
      <c r="AR49" t="s">
        <v>225</v>
      </c>
      <c r="AS49" t="s">
        <v>221</v>
      </c>
      <c r="AT49" t="s">
        <v>225</v>
      </c>
      <c r="AU49" t="s">
        <v>220</v>
      </c>
      <c r="AV49"/>
      <c r="AW49" s="313" t="s">
        <v>220</v>
      </c>
      <c r="AX49" t="s">
        <v>226</v>
      </c>
      <c r="AY49" s="313" t="s">
        <v>220</v>
      </c>
      <c r="AZ49" s="313">
        <v>0.28699999999999998</v>
      </c>
      <c r="BB49" s="313" t="s">
        <v>220</v>
      </c>
      <c r="BC49">
        <v>0.16500000000000001</v>
      </c>
      <c r="BD49" t="s">
        <v>220</v>
      </c>
      <c r="BE49">
        <v>7.7799999999999994E-2</v>
      </c>
      <c r="BF49" s="2" t="s">
        <v>220</v>
      </c>
      <c r="BG49" s="2" t="s">
        <v>273</v>
      </c>
      <c r="BH49" s="2" t="s">
        <v>274</v>
      </c>
      <c r="BI49" s="2" t="s">
        <v>275</v>
      </c>
      <c r="BM49"/>
      <c r="BP49" s="8"/>
      <c r="BQ49" t="s">
        <v>230</v>
      </c>
      <c r="BR49" t="s">
        <v>230</v>
      </c>
      <c r="BU49" t="s">
        <v>293</v>
      </c>
      <c r="BV49" t="s">
        <v>236</v>
      </c>
      <c r="BW49" t="s">
        <v>232</v>
      </c>
      <c r="BX49" t="s">
        <v>500</v>
      </c>
      <c r="BY49" t="s">
        <v>257</v>
      </c>
      <c r="BZ49">
        <v>0.63</v>
      </c>
      <c r="CA49" t="s">
        <v>372</v>
      </c>
      <c r="CF49" t="s">
        <v>220</v>
      </c>
      <c r="CG49">
        <v>0.38400000000000001</v>
      </c>
      <c r="CH49" t="s">
        <v>257</v>
      </c>
      <c r="CI49">
        <v>0.60799999999999998</v>
      </c>
      <c r="CK49"/>
      <c r="CL49"/>
      <c r="CM49"/>
      <c r="CS49" s="8"/>
      <c r="CW49" t="s">
        <v>227</v>
      </c>
      <c r="CX49" t="s">
        <v>257</v>
      </c>
      <c r="CY49" t="s">
        <v>317</v>
      </c>
      <c r="CZ49" t="s">
        <v>227</v>
      </c>
      <c r="DA49" t="s">
        <v>227</v>
      </c>
      <c r="DB49" t="s">
        <v>227</v>
      </c>
      <c r="DC49"/>
      <c r="DD49"/>
      <c r="DE49"/>
      <c r="DF49"/>
      <c r="DG49"/>
      <c r="DH49" s="323"/>
      <c r="DI49" s="323"/>
      <c r="DJ49" s="323"/>
      <c r="DL49" t="s">
        <v>257</v>
      </c>
      <c r="DM49" t="s">
        <v>220</v>
      </c>
      <c r="DN49" t="s">
        <v>227</v>
      </c>
      <c r="DO49" t="s">
        <v>227</v>
      </c>
      <c r="DP49" t="s">
        <v>227</v>
      </c>
      <c r="DS49" s="338">
        <v>0.26400000000000001</v>
      </c>
      <c r="DT49" s="8" t="s">
        <v>394</v>
      </c>
      <c r="DU49" s="338">
        <v>710.98500000000001</v>
      </c>
      <c r="DV49" s="8" t="s">
        <v>394</v>
      </c>
      <c r="DW49"/>
      <c r="DX49" t="s">
        <v>235</v>
      </c>
      <c r="DY49"/>
      <c r="DZ49" t="s">
        <v>235</v>
      </c>
      <c r="EA49"/>
      <c r="EB49"/>
      <c r="ED49" s="410"/>
      <c r="EE49" s="1"/>
      <c r="EG49" s="410"/>
      <c r="EI49" s="410"/>
      <c r="EK49" s="1"/>
      <c r="EM49"/>
      <c r="EQ49" s="344"/>
      <c r="EU49" s="344"/>
      <c r="EW49" s="409"/>
      <c r="EY49" s="1"/>
      <c r="FA49">
        <v>1287.6099999999999</v>
      </c>
      <c r="FB49" t="s">
        <v>225</v>
      </c>
      <c r="FC49" s="7">
        <v>259.41793621188168</v>
      </c>
      <c r="FD49" s="357" t="s">
        <v>225</v>
      </c>
      <c r="FE49" s="8">
        <v>9227.8388153507894</v>
      </c>
      <c r="FF49" t="s">
        <v>237</v>
      </c>
      <c r="FH49" s="9">
        <v>10444.796911933643</v>
      </c>
      <c r="FI49" s="9" t="s">
        <v>236</v>
      </c>
      <c r="FK49" t="s">
        <v>235</v>
      </c>
      <c r="FL49">
        <v>289</v>
      </c>
      <c r="FM49">
        <v>21091.137354107101</v>
      </c>
      <c r="FN49" s="5" t="s">
        <v>237</v>
      </c>
      <c r="FP49" s="6">
        <v>28.9</v>
      </c>
      <c r="FQ49" t="s">
        <v>239</v>
      </c>
      <c r="FS49" t="s">
        <v>240</v>
      </c>
      <c r="FU49" s="8">
        <v>1</v>
      </c>
      <c r="FV49" s="8">
        <v>10</v>
      </c>
      <c r="FW49" s="8">
        <v>10</v>
      </c>
      <c r="FX49" s="8">
        <v>10</v>
      </c>
      <c r="FY49" s="8">
        <v>3</v>
      </c>
      <c r="FZ49">
        <f t="shared" si="0"/>
        <v>3000</v>
      </c>
      <c r="GA49" s="7" t="s">
        <v>241</v>
      </c>
      <c r="GB49" s="7" t="s">
        <v>241</v>
      </c>
      <c r="GC49" s="6">
        <v>30</v>
      </c>
      <c r="GD49" s="348" t="s">
        <v>242</v>
      </c>
      <c r="GF49" s="6">
        <v>9.6333333333333326E-2</v>
      </c>
      <c r="GH49" s="7"/>
      <c r="GI49" s="441">
        <v>0.64200000000000002</v>
      </c>
      <c r="GJ49" s="441">
        <v>1.204</v>
      </c>
      <c r="GK49" s="441">
        <v>1.927</v>
      </c>
      <c r="GL49" s="441">
        <v>4.8170000000000002</v>
      </c>
      <c r="GM49" s="452" t="s">
        <v>529</v>
      </c>
      <c r="GN49" s="6">
        <v>0.2</v>
      </c>
      <c r="GO49" s="6">
        <v>0.375</v>
      </c>
      <c r="GP49" s="6">
        <v>0.6</v>
      </c>
      <c r="GQ49" s="6">
        <v>1.5</v>
      </c>
      <c r="GR49" s="6" t="s">
        <v>230</v>
      </c>
      <c r="GU49" t="s">
        <v>243</v>
      </c>
      <c r="GV49" t="s">
        <v>236</v>
      </c>
      <c r="GW49" t="s">
        <v>244</v>
      </c>
      <c r="GX49" t="s">
        <v>236</v>
      </c>
      <c r="GY49" t="s">
        <v>245</v>
      </c>
      <c r="HE49" t="s">
        <v>384</v>
      </c>
      <c r="HF49" t="s">
        <v>223</v>
      </c>
      <c r="HG49" t="s">
        <v>231</v>
      </c>
      <c r="HH49" t="s">
        <v>225</v>
      </c>
      <c r="HI49" t="s">
        <v>247</v>
      </c>
      <c r="HJ49" t="s">
        <v>225</v>
      </c>
      <c r="HK49" t="s">
        <v>568</v>
      </c>
      <c r="HO49" t="s">
        <v>231</v>
      </c>
      <c r="HP49" t="s">
        <v>223</v>
      </c>
      <c r="HQ49" t="s">
        <v>231</v>
      </c>
      <c r="HR49" t="s">
        <v>223</v>
      </c>
      <c r="HU49" t="s">
        <v>231</v>
      </c>
      <c r="HV49" t="s">
        <v>223</v>
      </c>
      <c r="HW49" t="s">
        <v>563</v>
      </c>
      <c r="HX49" t="s">
        <v>236</v>
      </c>
      <c r="IA49" t="s">
        <v>231</v>
      </c>
      <c r="IB49" t="s">
        <v>250</v>
      </c>
      <c r="IC49">
        <v>0.64200000000000002</v>
      </c>
      <c r="ID49">
        <v>1.204</v>
      </c>
      <c r="IE49">
        <v>1.927</v>
      </c>
      <c r="IF49">
        <v>4.8170000000000002</v>
      </c>
      <c r="IH49" t="s">
        <v>267</v>
      </c>
    </row>
    <row r="50" spans="1:242" x14ac:dyDescent="0.35">
      <c r="A50" s="310" t="s">
        <v>537</v>
      </c>
      <c r="B50" s="313" t="s">
        <v>573</v>
      </c>
      <c r="C50" s="310" t="s">
        <v>574</v>
      </c>
      <c r="D50" s="316"/>
      <c r="F50" t="s">
        <v>575</v>
      </c>
      <c r="I50" s="310" t="s">
        <v>576</v>
      </c>
      <c r="M50" s="313"/>
      <c r="O50"/>
      <c r="P50" s="381"/>
      <c r="Q50"/>
      <c r="T50" s="8"/>
      <c r="U50"/>
      <c r="V50" s="313"/>
      <c r="W50"/>
      <c r="X50"/>
      <c r="Z50"/>
      <c r="AB50"/>
      <c r="AD50" s="8" t="s">
        <v>230</v>
      </c>
      <c r="AF50" s="8" t="s">
        <v>230</v>
      </c>
      <c r="AG50"/>
      <c r="AH50"/>
      <c r="AI50"/>
      <c r="AJ50" t="s">
        <v>221</v>
      </c>
      <c r="AK50">
        <v>0</v>
      </c>
      <c r="AL50">
        <v>0.6</v>
      </c>
      <c r="AM50" t="s">
        <v>221</v>
      </c>
      <c r="AN50" t="s">
        <v>225</v>
      </c>
      <c r="AO50" t="s">
        <v>221</v>
      </c>
      <c r="AP50" t="s">
        <v>225</v>
      </c>
      <c r="AQ50" t="s">
        <v>221</v>
      </c>
      <c r="AR50" t="s">
        <v>225</v>
      </c>
      <c r="AS50" t="s">
        <v>221</v>
      </c>
      <c r="AT50" t="s">
        <v>225</v>
      </c>
      <c r="AU50" t="s">
        <v>220</v>
      </c>
      <c r="AV50"/>
      <c r="AW50" s="313" t="s">
        <v>220</v>
      </c>
      <c r="AX50" t="s">
        <v>226</v>
      </c>
      <c r="AY50" s="313" t="s">
        <v>220</v>
      </c>
      <c r="AZ50" s="313">
        <v>0.28699999999999998</v>
      </c>
      <c r="BB50" s="313" t="s">
        <v>220</v>
      </c>
      <c r="BC50">
        <v>0.16300000000000001</v>
      </c>
      <c r="BD50" t="s">
        <v>220</v>
      </c>
      <c r="BE50">
        <v>7.8100000000000003E-2</v>
      </c>
      <c r="BF50" s="2" t="s">
        <v>220</v>
      </c>
      <c r="BG50" s="2" t="s">
        <v>273</v>
      </c>
      <c r="BH50" s="2" t="s">
        <v>274</v>
      </c>
      <c r="BI50" s="2" t="s">
        <v>275</v>
      </c>
      <c r="BM50"/>
      <c r="BP50" s="8"/>
      <c r="BQ50" t="s">
        <v>230</v>
      </c>
      <c r="BR50" t="s">
        <v>230</v>
      </c>
      <c r="BU50" t="s">
        <v>293</v>
      </c>
      <c r="BV50" t="s">
        <v>236</v>
      </c>
      <c r="BW50" t="s">
        <v>232</v>
      </c>
      <c r="BX50" t="s">
        <v>500</v>
      </c>
      <c r="BY50" t="s">
        <v>257</v>
      </c>
      <c r="BZ50">
        <v>0.626</v>
      </c>
      <c r="CA50" t="s">
        <v>372</v>
      </c>
      <c r="CF50" t="s">
        <v>220</v>
      </c>
      <c r="CG50">
        <v>0.41299999999999998</v>
      </c>
      <c r="CH50" t="s">
        <v>257</v>
      </c>
      <c r="CI50">
        <v>0.61299999999999999</v>
      </c>
      <c r="CK50"/>
      <c r="CL50"/>
      <c r="CM50"/>
      <c r="CS50" s="8"/>
      <c r="CW50" t="s">
        <v>227</v>
      </c>
      <c r="CX50" t="s">
        <v>257</v>
      </c>
      <c r="CY50" t="s">
        <v>317</v>
      </c>
      <c r="CZ50" t="s">
        <v>227</v>
      </c>
      <c r="DA50" t="s">
        <v>227</v>
      </c>
      <c r="DB50" t="s">
        <v>227</v>
      </c>
      <c r="DC50"/>
      <c r="DD50"/>
      <c r="DE50"/>
      <c r="DF50"/>
      <c r="DG50"/>
      <c r="DH50" s="323"/>
      <c r="DI50" s="323"/>
      <c r="DJ50" s="323"/>
      <c r="DL50" t="s">
        <v>257</v>
      </c>
      <c r="DM50" t="s">
        <v>220</v>
      </c>
      <c r="DN50" t="s">
        <v>227</v>
      </c>
      <c r="DO50" t="s">
        <v>227</v>
      </c>
      <c r="DP50" t="s">
        <v>227</v>
      </c>
      <c r="DS50" s="338">
        <v>0.53700000000000003</v>
      </c>
      <c r="DT50" s="8" t="s">
        <v>394</v>
      </c>
      <c r="DU50" s="338">
        <v>671.70100000000002</v>
      </c>
      <c r="DV50" s="8" t="s">
        <v>394</v>
      </c>
      <c r="DW50"/>
      <c r="DX50" t="s">
        <v>235</v>
      </c>
      <c r="DY50"/>
      <c r="DZ50" t="s">
        <v>235</v>
      </c>
      <c r="EA50"/>
      <c r="EB50"/>
      <c r="ED50" s="410"/>
      <c r="EE50" s="1"/>
      <c r="EG50" s="410"/>
      <c r="EI50" s="410"/>
      <c r="EK50" s="1"/>
      <c r="EM50"/>
      <c r="EQ50" s="344"/>
      <c r="EU50" s="344"/>
      <c r="EW50" s="409"/>
      <c r="EY50" s="1"/>
      <c r="FA50">
        <v>767.42</v>
      </c>
      <c r="FB50" t="s">
        <v>225</v>
      </c>
      <c r="FC50" s="7">
        <v>208.54510476931696</v>
      </c>
      <c r="FD50" s="357" t="s">
        <v>225</v>
      </c>
      <c r="FE50" s="8">
        <v>4829.475864447716</v>
      </c>
      <c r="FF50" t="s">
        <v>237</v>
      </c>
      <c r="FH50" s="9">
        <v>4693.5343431719584</v>
      </c>
      <c r="FI50" s="9" t="s">
        <v>225</v>
      </c>
      <c r="FK50" t="s">
        <v>235</v>
      </c>
      <c r="FL50">
        <v>229</v>
      </c>
      <c r="FM50">
        <v>10403.991770513525</v>
      </c>
      <c r="FN50" s="5" t="s">
        <v>237</v>
      </c>
      <c r="FP50" s="6">
        <v>22.9</v>
      </c>
      <c r="FQ50" t="s">
        <v>239</v>
      </c>
      <c r="FS50" t="s">
        <v>240</v>
      </c>
      <c r="FU50" s="8">
        <v>1</v>
      </c>
      <c r="FV50" s="8">
        <v>10</v>
      </c>
      <c r="FW50" s="8">
        <v>10</v>
      </c>
      <c r="FX50" s="8">
        <v>10</v>
      </c>
      <c r="FY50" s="8">
        <v>3</v>
      </c>
      <c r="FZ50">
        <f t="shared" si="0"/>
        <v>3000</v>
      </c>
      <c r="GA50" s="7" t="s">
        <v>241</v>
      </c>
      <c r="GB50" s="7" t="s">
        <v>241</v>
      </c>
      <c r="GC50" s="6">
        <v>30</v>
      </c>
      <c r="GD50" s="348" t="s">
        <v>242</v>
      </c>
      <c r="GF50" s="6">
        <v>7.6333333333333322E-2</v>
      </c>
      <c r="GH50" s="7"/>
      <c r="GI50" s="441">
        <v>0.50900000000000001</v>
      </c>
      <c r="GJ50" s="441">
        <v>0.95399999999999996</v>
      </c>
      <c r="GK50" s="441">
        <v>1.5269999999999999</v>
      </c>
      <c r="GL50" s="441">
        <v>3.8170000000000002</v>
      </c>
      <c r="GM50" s="452" t="s">
        <v>529</v>
      </c>
      <c r="GN50" s="6">
        <v>0.2</v>
      </c>
      <c r="GO50" s="6">
        <v>0.375</v>
      </c>
      <c r="GP50" s="6">
        <v>0.6</v>
      </c>
      <c r="GQ50" s="6">
        <v>1.5</v>
      </c>
      <c r="GR50" s="6" t="s">
        <v>230</v>
      </c>
      <c r="GU50" t="s">
        <v>243</v>
      </c>
      <c r="GV50" t="s">
        <v>225</v>
      </c>
      <c r="GW50" t="s">
        <v>244</v>
      </c>
      <c r="GX50" t="s">
        <v>236</v>
      </c>
      <c r="GY50" t="s">
        <v>245</v>
      </c>
      <c r="HE50" t="s">
        <v>384</v>
      </c>
      <c r="HF50" t="s">
        <v>223</v>
      </c>
      <c r="HG50" t="s">
        <v>231</v>
      </c>
      <c r="HH50" t="s">
        <v>225</v>
      </c>
      <c r="HI50" t="s">
        <v>247</v>
      </c>
      <c r="HJ50" t="s">
        <v>225</v>
      </c>
      <c r="HK50" t="s">
        <v>248</v>
      </c>
      <c r="HO50" t="s">
        <v>231</v>
      </c>
      <c r="HP50" t="s">
        <v>223</v>
      </c>
      <c r="HQ50" t="s">
        <v>231</v>
      </c>
      <c r="HR50" t="s">
        <v>223</v>
      </c>
      <c r="HU50" t="s">
        <v>231</v>
      </c>
      <c r="HV50" t="s">
        <v>223</v>
      </c>
      <c r="HW50" t="s">
        <v>563</v>
      </c>
      <c r="HX50" t="s">
        <v>236</v>
      </c>
      <c r="IA50" t="s">
        <v>231</v>
      </c>
      <c r="IB50" t="s">
        <v>250</v>
      </c>
      <c r="IC50">
        <v>0.50900000000000001</v>
      </c>
      <c r="ID50">
        <v>0.95399999999999996</v>
      </c>
      <c r="IE50">
        <v>1.5269999999999999</v>
      </c>
      <c r="IF50">
        <v>3.8170000000000002</v>
      </c>
      <c r="IH50" t="s">
        <v>267</v>
      </c>
    </row>
    <row r="51" spans="1:242" x14ac:dyDescent="0.35">
      <c r="A51" s="310" t="s">
        <v>537</v>
      </c>
      <c r="B51" s="313" t="s">
        <v>577</v>
      </c>
      <c r="C51" s="310" t="s">
        <v>578</v>
      </c>
      <c r="D51" s="316"/>
      <c r="F51" t="s">
        <v>579</v>
      </c>
      <c r="I51" s="310" t="s">
        <v>580</v>
      </c>
      <c r="M51" s="313"/>
      <c r="O51"/>
      <c r="P51" s="381"/>
      <c r="Q51"/>
      <c r="T51" s="8"/>
      <c r="U51"/>
      <c r="V51" s="313"/>
      <c r="W51"/>
      <c r="X51"/>
      <c r="Z51"/>
      <c r="AB51"/>
      <c r="AD51" s="8" t="s">
        <v>230</v>
      </c>
      <c r="AF51" s="8" t="s">
        <v>230</v>
      </c>
      <c r="AG51"/>
      <c r="AH51"/>
      <c r="AI51"/>
      <c r="AJ51" t="s">
        <v>221</v>
      </c>
      <c r="AK51">
        <v>0</v>
      </c>
      <c r="AL51">
        <v>0.6</v>
      </c>
      <c r="AM51" t="s">
        <v>221</v>
      </c>
      <c r="AN51" t="s">
        <v>225</v>
      </c>
      <c r="AO51" t="s">
        <v>221</v>
      </c>
      <c r="AP51" t="s">
        <v>225</v>
      </c>
      <c r="AQ51" t="s">
        <v>221</v>
      </c>
      <c r="AR51" t="s">
        <v>225</v>
      </c>
      <c r="AS51" t="s">
        <v>221</v>
      </c>
      <c r="AT51" t="s">
        <v>225</v>
      </c>
      <c r="AU51" t="s">
        <v>220</v>
      </c>
      <c r="AV51"/>
      <c r="AW51" s="313" t="s">
        <v>220</v>
      </c>
      <c r="AX51" t="s">
        <v>226</v>
      </c>
      <c r="AY51" s="313" t="s">
        <v>220</v>
      </c>
      <c r="AZ51" s="313">
        <v>0.28799999999999998</v>
      </c>
      <c r="BB51" s="313" t="s">
        <v>220</v>
      </c>
      <c r="BC51">
        <v>0.16800000000000001</v>
      </c>
      <c r="BD51" t="s">
        <v>220</v>
      </c>
      <c r="BE51">
        <v>7.7200000000000005E-2</v>
      </c>
      <c r="BF51" s="2" t="s">
        <v>220</v>
      </c>
      <c r="BG51" s="2" t="s">
        <v>273</v>
      </c>
      <c r="BH51" s="2" t="s">
        <v>274</v>
      </c>
      <c r="BI51" s="2" t="s">
        <v>275</v>
      </c>
      <c r="BM51"/>
      <c r="BP51" s="8"/>
      <c r="BQ51" t="s">
        <v>230</v>
      </c>
      <c r="BR51" t="s">
        <v>230</v>
      </c>
      <c r="BU51" t="s">
        <v>293</v>
      </c>
      <c r="BV51" t="s">
        <v>236</v>
      </c>
      <c r="BW51" t="s">
        <v>232</v>
      </c>
      <c r="BX51" t="s">
        <v>500</v>
      </c>
      <c r="BY51" t="s">
        <v>257</v>
      </c>
      <c r="BZ51">
        <v>0.628</v>
      </c>
      <c r="CA51" t="s">
        <v>372</v>
      </c>
      <c r="CF51" t="s">
        <v>220</v>
      </c>
      <c r="CG51">
        <v>0.32900000000000001</v>
      </c>
      <c r="CH51" t="s">
        <v>257</v>
      </c>
      <c r="CI51">
        <v>0.59799999999999998</v>
      </c>
      <c r="CK51"/>
      <c r="CL51"/>
      <c r="CM51"/>
      <c r="CS51" s="8"/>
      <c r="CW51" t="s">
        <v>227</v>
      </c>
      <c r="CX51" t="s">
        <v>257</v>
      </c>
      <c r="CY51" t="s">
        <v>317</v>
      </c>
      <c r="CZ51" t="s">
        <v>227</v>
      </c>
      <c r="DA51" t="s">
        <v>227</v>
      </c>
      <c r="DB51" t="s">
        <v>227</v>
      </c>
      <c r="DC51"/>
      <c r="DD51"/>
      <c r="DE51"/>
      <c r="DF51"/>
      <c r="DG51"/>
      <c r="DH51" s="323"/>
      <c r="DI51" s="323"/>
      <c r="DJ51" s="323"/>
      <c r="DL51" t="s">
        <v>257</v>
      </c>
      <c r="DM51" t="s">
        <v>220</v>
      </c>
      <c r="DN51" t="s">
        <v>227</v>
      </c>
      <c r="DO51" t="s">
        <v>227</v>
      </c>
      <c r="DP51" t="s">
        <v>227</v>
      </c>
      <c r="DS51" s="338">
        <v>9.1999999999999998E-2</v>
      </c>
      <c r="DT51" s="8" t="s">
        <v>394</v>
      </c>
      <c r="DU51" s="338">
        <v>846.45799999999997</v>
      </c>
      <c r="DV51" s="8" t="s">
        <v>394</v>
      </c>
      <c r="DW51"/>
      <c r="DX51" t="s">
        <v>235</v>
      </c>
      <c r="DY51"/>
      <c r="DZ51" t="s">
        <v>235</v>
      </c>
      <c r="EA51"/>
      <c r="EB51"/>
      <c r="ED51" s="410"/>
      <c r="EE51" s="1"/>
      <c r="EG51" s="410"/>
      <c r="EI51" s="410"/>
      <c r="EK51" s="1"/>
      <c r="EM51"/>
      <c r="EQ51" s="344"/>
      <c r="EU51" s="344"/>
      <c r="EW51" s="409"/>
      <c r="EY51" s="1"/>
      <c r="FA51">
        <v>3624.78</v>
      </c>
      <c r="FB51" t="s">
        <v>225</v>
      </c>
      <c r="FC51" s="7">
        <v>401.32849826274145</v>
      </c>
      <c r="FD51" s="357" t="s">
        <v>225</v>
      </c>
      <c r="FE51" s="8">
        <v>33689.921574149113</v>
      </c>
      <c r="FF51" t="s">
        <v>237</v>
      </c>
      <c r="FH51" s="9">
        <v>51724.940528299463</v>
      </c>
      <c r="FI51" s="9" t="s">
        <v>236</v>
      </c>
      <c r="FK51" t="s">
        <v>235</v>
      </c>
      <c r="FL51">
        <v>457</v>
      </c>
      <c r="FM51">
        <v>86656.271697671487</v>
      </c>
      <c r="FN51" s="5" t="s">
        <v>237</v>
      </c>
      <c r="FP51" s="6">
        <v>45.7</v>
      </c>
      <c r="FQ51" t="s">
        <v>239</v>
      </c>
      <c r="FS51" t="s">
        <v>240</v>
      </c>
      <c r="FU51" s="8">
        <v>1</v>
      </c>
      <c r="FV51" s="8">
        <v>10</v>
      </c>
      <c r="FW51" s="8">
        <v>10</v>
      </c>
      <c r="FX51" s="8">
        <v>10</v>
      </c>
      <c r="FY51" s="8">
        <v>3</v>
      </c>
      <c r="FZ51">
        <f t="shared" si="0"/>
        <v>3000</v>
      </c>
      <c r="GA51" s="7" t="s">
        <v>241</v>
      </c>
      <c r="GB51" s="7" t="s">
        <v>241</v>
      </c>
      <c r="GC51" s="6">
        <v>30</v>
      </c>
      <c r="GD51" s="348" t="s">
        <v>242</v>
      </c>
      <c r="GF51" s="6">
        <v>0.15233333333333335</v>
      </c>
      <c r="GH51" s="7"/>
      <c r="GI51" s="441">
        <v>1.016</v>
      </c>
      <c r="GJ51" s="441">
        <v>1.9039999999999999</v>
      </c>
      <c r="GK51" s="441">
        <v>3.0470000000000002</v>
      </c>
      <c r="GL51" s="441">
        <v>7.617</v>
      </c>
      <c r="GM51" s="452" t="s">
        <v>529</v>
      </c>
      <c r="GN51" s="6">
        <v>0.2</v>
      </c>
      <c r="GO51" s="6">
        <v>0.375</v>
      </c>
      <c r="GP51" s="6">
        <v>0.6</v>
      </c>
      <c r="GQ51" s="6">
        <v>1.5</v>
      </c>
      <c r="GR51" s="6" t="s">
        <v>230</v>
      </c>
      <c r="GU51" t="s">
        <v>243</v>
      </c>
      <c r="GV51" t="s">
        <v>236</v>
      </c>
      <c r="GW51" t="s">
        <v>244</v>
      </c>
      <c r="GX51" t="s">
        <v>236</v>
      </c>
      <c r="GY51" t="s">
        <v>245</v>
      </c>
      <c r="HE51" t="s">
        <v>384</v>
      </c>
      <c r="HF51" t="s">
        <v>223</v>
      </c>
      <c r="HG51" t="s">
        <v>231</v>
      </c>
      <c r="HH51" t="s">
        <v>225</v>
      </c>
      <c r="HI51" t="s">
        <v>247</v>
      </c>
      <c r="HJ51" t="s">
        <v>225</v>
      </c>
      <c r="HK51" t="s">
        <v>568</v>
      </c>
      <c r="HO51" t="s">
        <v>231</v>
      </c>
      <c r="HP51" t="s">
        <v>223</v>
      </c>
      <c r="HQ51" t="s">
        <v>231</v>
      </c>
      <c r="HR51" t="s">
        <v>223</v>
      </c>
      <c r="HU51" t="s">
        <v>231</v>
      </c>
      <c r="HV51" t="s">
        <v>225</v>
      </c>
      <c r="HW51" t="s">
        <v>563</v>
      </c>
      <c r="HX51" t="s">
        <v>236</v>
      </c>
      <c r="IA51" t="s">
        <v>231</v>
      </c>
      <c r="IB51" t="s">
        <v>250</v>
      </c>
      <c r="IC51">
        <v>1.016</v>
      </c>
      <c r="ID51">
        <v>1.9039999999999999</v>
      </c>
      <c r="IE51">
        <v>3.0470000000000002</v>
      </c>
      <c r="IF51">
        <v>7.617</v>
      </c>
      <c r="IH51" t="s">
        <v>267</v>
      </c>
    </row>
    <row r="52" spans="1:242" x14ac:dyDescent="0.35">
      <c r="A52" s="310" t="s">
        <v>537</v>
      </c>
      <c r="B52" s="313" t="s">
        <v>581</v>
      </c>
      <c r="C52" s="310" t="s">
        <v>582</v>
      </c>
      <c r="D52" s="316"/>
      <c r="F52" t="s">
        <v>583</v>
      </c>
      <c r="I52" s="310" t="s">
        <v>584</v>
      </c>
      <c r="M52" s="313"/>
      <c r="O52"/>
      <c r="P52" s="381"/>
      <c r="Q52"/>
      <c r="T52" s="8"/>
      <c r="U52"/>
      <c r="V52" s="313"/>
      <c r="W52"/>
      <c r="X52"/>
      <c r="Z52"/>
      <c r="AB52"/>
      <c r="AD52" s="8" t="s">
        <v>230</v>
      </c>
      <c r="AF52" s="8" t="s">
        <v>230</v>
      </c>
      <c r="AG52"/>
      <c r="AH52"/>
      <c r="AI52"/>
      <c r="AJ52" t="s">
        <v>221</v>
      </c>
      <c r="AK52">
        <v>0</v>
      </c>
      <c r="AL52">
        <v>0.6</v>
      </c>
      <c r="AM52" t="s">
        <v>221</v>
      </c>
      <c r="AN52" t="s">
        <v>225</v>
      </c>
      <c r="AO52" t="s">
        <v>221</v>
      </c>
      <c r="AP52" t="s">
        <v>225</v>
      </c>
      <c r="AQ52" t="s">
        <v>221</v>
      </c>
      <c r="AR52" t="s">
        <v>225</v>
      </c>
      <c r="AS52" t="s">
        <v>221</v>
      </c>
      <c r="AT52" t="s">
        <v>225</v>
      </c>
      <c r="AU52" t="s">
        <v>220</v>
      </c>
      <c r="AV52"/>
      <c r="AW52" s="313" t="s">
        <v>220</v>
      </c>
      <c r="AX52" t="s">
        <v>226</v>
      </c>
      <c r="AY52" s="313" t="s">
        <v>220</v>
      </c>
      <c r="AZ52" s="313">
        <v>0.28799999999999998</v>
      </c>
      <c r="BB52" s="313" t="s">
        <v>220</v>
      </c>
      <c r="BC52">
        <v>0.17</v>
      </c>
      <c r="BD52" t="s">
        <v>220</v>
      </c>
      <c r="BE52">
        <v>7.6999999999999999E-2</v>
      </c>
      <c r="BF52" s="2" t="s">
        <v>220</v>
      </c>
      <c r="BG52" s="2" t="s">
        <v>273</v>
      </c>
      <c r="BH52" s="2" t="s">
        <v>274</v>
      </c>
      <c r="BI52" s="2" t="s">
        <v>275</v>
      </c>
      <c r="BM52"/>
      <c r="BP52" s="8"/>
      <c r="BQ52" t="s">
        <v>230</v>
      </c>
      <c r="BR52" t="s">
        <v>230</v>
      </c>
      <c r="BU52" t="s">
        <v>293</v>
      </c>
      <c r="BV52" t="s">
        <v>236</v>
      </c>
      <c r="BW52" t="s">
        <v>232</v>
      </c>
      <c r="BX52" t="s">
        <v>500</v>
      </c>
      <c r="BY52" t="s">
        <v>257</v>
      </c>
      <c r="BZ52">
        <v>0.627</v>
      </c>
      <c r="CA52" t="s">
        <v>372</v>
      </c>
      <c r="CF52" t="s">
        <v>220</v>
      </c>
      <c r="CG52">
        <v>0.30299999999999999</v>
      </c>
      <c r="CH52" t="s">
        <v>257</v>
      </c>
      <c r="CI52">
        <v>0.59299999999999997</v>
      </c>
      <c r="CK52"/>
      <c r="CL52"/>
      <c r="CM52"/>
      <c r="CS52" s="8"/>
      <c r="CW52" t="s">
        <v>227</v>
      </c>
      <c r="CX52" t="s">
        <v>257</v>
      </c>
      <c r="CY52" t="s">
        <v>317</v>
      </c>
      <c r="CZ52" t="s">
        <v>227</v>
      </c>
      <c r="DA52" t="s">
        <v>227</v>
      </c>
      <c r="DB52" t="s">
        <v>227</v>
      </c>
      <c r="DC52"/>
      <c r="DD52"/>
      <c r="DE52"/>
      <c r="DF52"/>
      <c r="DG52"/>
      <c r="DH52" s="323"/>
      <c r="DI52" s="323"/>
      <c r="DJ52" s="323"/>
      <c r="DL52" t="s">
        <v>257</v>
      </c>
      <c r="DM52" t="s">
        <v>220</v>
      </c>
      <c r="DN52" t="s">
        <v>227</v>
      </c>
      <c r="DO52" t="s">
        <v>227</v>
      </c>
      <c r="DP52" t="s">
        <v>227</v>
      </c>
      <c r="DS52" s="338">
        <v>6.6000000000000003E-2</v>
      </c>
      <c r="DT52" s="8" t="s">
        <v>394</v>
      </c>
      <c r="DU52" s="338">
        <v>950.97799999999995</v>
      </c>
      <c r="DV52" s="8" t="s">
        <v>394</v>
      </c>
      <c r="DW52"/>
      <c r="DX52" t="s">
        <v>235</v>
      </c>
      <c r="DY52"/>
      <c r="DZ52" t="s">
        <v>235</v>
      </c>
      <c r="EA52"/>
      <c r="EB52"/>
      <c r="ED52" s="410"/>
      <c r="EE52" s="1"/>
      <c r="EG52" s="410"/>
      <c r="EI52" s="410"/>
      <c r="EK52" s="1"/>
      <c r="EM52"/>
      <c r="EQ52" s="344"/>
      <c r="EU52" s="344"/>
      <c r="EW52" s="409"/>
      <c r="EY52" s="1"/>
      <c r="FA52">
        <v>6081.78</v>
      </c>
      <c r="FB52" t="s">
        <v>236</v>
      </c>
      <c r="FC52" s="7">
        <v>499.11428516561864</v>
      </c>
      <c r="FD52" s="357" t="s">
        <v>225</v>
      </c>
      <c r="FE52" s="8">
        <v>64372.444280474527</v>
      </c>
      <c r="FF52" t="s">
        <v>237</v>
      </c>
      <c r="FH52" s="9">
        <v>115106.54010359694</v>
      </c>
      <c r="FI52" s="9" t="s">
        <v>236</v>
      </c>
      <c r="FK52" t="s">
        <v>235</v>
      </c>
      <c r="FL52">
        <v>574</v>
      </c>
      <c r="FM52">
        <v>175630.52518731329</v>
      </c>
      <c r="FN52" s="5" t="s">
        <v>237</v>
      </c>
      <c r="FP52" s="6">
        <v>57.4</v>
      </c>
      <c r="FQ52" t="s">
        <v>239</v>
      </c>
      <c r="FS52" t="s">
        <v>240</v>
      </c>
      <c r="FU52" s="8">
        <v>1</v>
      </c>
      <c r="FV52" s="8">
        <v>10</v>
      </c>
      <c r="FW52" s="8">
        <v>10</v>
      </c>
      <c r="FX52" s="8">
        <v>10</v>
      </c>
      <c r="FY52" s="8">
        <v>3</v>
      </c>
      <c r="FZ52">
        <f t="shared" si="0"/>
        <v>3000</v>
      </c>
      <c r="GA52" s="7" t="s">
        <v>241</v>
      </c>
      <c r="GB52" s="7" t="s">
        <v>241</v>
      </c>
      <c r="GC52" s="6">
        <v>30</v>
      </c>
      <c r="GD52" s="348" t="s">
        <v>242</v>
      </c>
      <c r="GF52" s="6">
        <v>0.19133333333333333</v>
      </c>
      <c r="GH52" s="7"/>
      <c r="GI52" s="441" t="s">
        <v>395</v>
      </c>
      <c r="GJ52" s="441" t="s">
        <v>395</v>
      </c>
      <c r="GK52" s="441" t="s">
        <v>395</v>
      </c>
      <c r="GL52" s="441" t="s">
        <v>395</v>
      </c>
      <c r="GM52" s="452" t="s">
        <v>552</v>
      </c>
      <c r="GN52" s="6">
        <v>0.2</v>
      </c>
      <c r="GO52" s="6">
        <v>0.375</v>
      </c>
      <c r="GP52" s="6">
        <v>0.6</v>
      </c>
      <c r="GQ52" s="6">
        <v>1.5</v>
      </c>
      <c r="GR52" s="6" t="s">
        <v>230</v>
      </c>
      <c r="GU52" t="s">
        <v>243</v>
      </c>
      <c r="GV52" t="s">
        <v>236</v>
      </c>
      <c r="GW52" t="s">
        <v>244</v>
      </c>
      <c r="GX52" t="s">
        <v>236</v>
      </c>
      <c r="GY52" t="s">
        <v>245</v>
      </c>
      <c r="HE52" t="s">
        <v>384</v>
      </c>
      <c r="HF52" t="s">
        <v>223</v>
      </c>
      <c r="HG52" t="s">
        <v>231</v>
      </c>
      <c r="HH52" t="s">
        <v>225</v>
      </c>
      <c r="HI52" t="s">
        <v>247</v>
      </c>
      <c r="HJ52" t="s">
        <v>225</v>
      </c>
      <c r="HK52" t="s">
        <v>568</v>
      </c>
      <c r="HO52" t="s">
        <v>231</v>
      </c>
      <c r="HP52" t="s">
        <v>223</v>
      </c>
      <c r="HQ52" t="s">
        <v>231</v>
      </c>
      <c r="HR52" t="s">
        <v>223</v>
      </c>
      <c r="HU52" t="s">
        <v>231</v>
      </c>
      <c r="HV52" t="s">
        <v>223</v>
      </c>
      <c r="HW52" t="s">
        <v>563</v>
      </c>
      <c r="HX52" t="s">
        <v>236</v>
      </c>
      <c r="IA52" t="s">
        <v>231</v>
      </c>
      <c r="IB52" t="s">
        <v>250</v>
      </c>
      <c r="IC52" t="s">
        <v>395</v>
      </c>
      <c r="ID52" t="s">
        <v>395</v>
      </c>
      <c r="IE52" t="s">
        <v>395</v>
      </c>
      <c r="IF52" t="s">
        <v>395</v>
      </c>
      <c r="IH52" t="s">
        <v>235</v>
      </c>
    </row>
    <row r="53" spans="1:242" x14ac:dyDescent="0.35">
      <c r="A53" s="310" t="s">
        <v>537</v>
      </c>
      <c r="B53" s="313" t="s">
        <v>585</v>
      </c>
      <c r="C53" s="310" t="s">
        <v>586</v>
      </c>
      <c r="D53" s="316"/>
      <c r="F53" t="s">
        <v>587</v>
      </c>
      <c r="I53" s="310" t="s">
        <v>588</v>
      </c>
      <c r="M53" s="313"/>
      <c r="O53"/>
      <c r="P53" s="381"/>
      <c r="Q53"/>
      <c r="T53" s="8"/>
      <c r="U53"/>
      <c r="V53" s="313"/>
      <c r="W53"/>
      <c r="X53"/>
      <c r="Z53"/>
      <c r="AB53"/>
      <c r="AD53" s="8" t="s">
        <v>230</v>
      </c>
      <c r="AF53" s="8" t="s">
        <v>230</v>
      </c>
      <c r="AG53"/>
      <c r="AH53"/>
      <c r="AI53"/>
      <c r="AJ53" t="s">
        <v>221</v>
      </c>
      <c r="AK53">
        <v>0</v>
      </c>
      <c r="AL53">
        <v>0.5</v>
      </c>
      <c r="AM53" t="s">
        <v>221</v>
      </c>
      <c r="AN53" t="s">
        <v>225</v>
      </c>
      <c r="AO53" t="s">
        <v>221</v>
      </c>
      <c r="AP53" t="s">
        <v>225</v>
      </c>
      <c r="AQ53" t="s">
        <v>221</v>
      </c>
      <c r="AR53" t="s">
        <v>225</v>
      </c>
      <c r="AS53" t="s">
        <v>221</v>
      </c>
      <c r="AT53" t="s">
        <v>236</v>
      </c>
      <c r="AU53" t="s">
        <v>220</v>
      </c>
      <c r="AV53"/>
      <c r="AW53" s="313" t="s">
        <v>220</v>
      </c>
      <c r="AX53" t="s">
        <v>226</v>
      </c>
      <c r="AY53" s="313" t="s">
        <v>220</v>
      </c>
      <c r="AZ53" s="313">
        <v>0.28699999999999998</v>
      </c>
      <c r="BB53" s="313" t="s">
        <v>220</v>
      </c>
      <c r="BC53">
        <v>0.161</v>
      </c>
      <c r="BD53" t="s">
        <v>220</v>
      </c>
      <c r="BE53">
        <v>7.8399999999999997E-2</v>
      </c>
      <c r="BF53" s="2" t="s">
        <v>220</v>
      </c>
      <c r="BG53" s="2" t="s">
        <v>273</v>
      </c>
      <c r="BH53" s="2" t="s">
        <v>274</v>
      </c>
      <c r="BI53" s="2" t="s">
        <v>275</v>
      </c>
      <c r="BM53"/>
      <c r="BP53" s="8"/>
      <c r="BQ53" t="s">
        <v>230</v>
      </c>
      <c r="BR53" t="s">
        <v>230</v>
      </c>
      <c r="BU53" t="s">
        <v>293</v>
      </c>
      <c r="BV53" t="s">
        <v>236</v>
      </c>
      <c r="BW53" t="s">
        <v>232</v>
      </c>
      <c r="BX53" t="s">
        <v>500</v>
      </c>
      <c r="BY53" t="s">
        <v>257</v>
      </c>
      <c r="BZ53">
        <v>0.62</v>
      </c>
      <c r="CA53" t="s">
        <v>372</v>
      </c>
      <c r="CF53" t="s">
        <v>220</v>
      </c>
      <c r="CG53">
        <v>0.443</v>
      </c>
      <c r="CH53" t="s">
        <v>257</v>
      </c>
      <c r="CI53">
        <v>0.61799999999999999</v>
      </c>
      <c r="CK53"/>
      <c r="CL53"/>
      <c r="CM53"/>
      <c r="CS53" s="8"/>
      <c r="CW53" t="s">
        <v>227</v>
      </c>
      <c r="CX53" t="s">
        <v>257</v>
      </c>
      <c r="CY53" t="s">
        <v>317</v>
      </c>
      <c r="CZ53" t="s">
        <v>227</v>
      </c>
      <c r="DA53" t="s">
        <v>227</v>
      </c>
      <c r="DB53" t="s">
        <v>227</v>
      </c>
      <c r="DC53"/>
      <c r="DD53"/>
      <c r="DE53"/>
      <c r="DF53"/>
      <c r="DG53"/>
      <c r="DH53" s="323"/>
      <c r="DI53" s="323"/>
      <c r="DJ53" s="323"/>
      <c r="DL53" t="s">
        <v>257</v>
      </c>
      <c r="DM53" t="s">
        <v>220</v>
      </c>
      <c r="DN53" t="s">
        <v>227</v>
      </c>
      <c r="DO53" t="s">
        <v>227</v>
      </c>
      <c r="DP53" t="s">
        <v>227</v>
      </c>
      <c r="DS53" s="338">
        <v>1.347</v>
      </c>
      <c r="DT53" s="8" t="s">
        <v>394</v>
      </c>
      <c r="DU53" s="338">
        <v>642.33500000000004</v>
      </c>
      <c r="DV53" s="8" t="s">
        <v>394</v>
      </c>
      <c r="DW53"/>
      <c r="DX53" t="s">
        <v>235</v>
      </c>
      <c r="DY53"/>
      <c r="DZ53" t="s">
        <v>235</v>
      </c>
      <c r="EA53"/>
      <c r="EB53"/>
      <c r="ED53" s="410"/>
      <c r="EE53" s="1"/>
      <c r="EG53" s="410"/>
      <c r="EI53" s="410"/>
      <c r="EK53" s="1"/>
      <c r="EM53"/>
      <c r="EQ53" s="344"/>
      <c r="EU53" s="344"/>
      <c r="EW53" s="409"/>
      <c r="EY53" s="1"/>
      <c r="FA53">
        <v>457.39</v>
      </c>
      <c r="FB53" t="s">
        <v>225</v>
      </c>
      <c r="FC53" s="7">
        <v>167.68723357485936</v>
      </c>
      <c r="FD53" s="357" t="s">
        <v>225</v>
      </c>
      <c r="FE53" s="8">
        <v>2527.5514226021246</v>
      </c>
      <c r="FF53" t="s">
        <v>237</v>
      </c>
      <c r="FH53" s="9">
        <v>2109.1137354107095</v>
      </c>
      <c r="FI53" s="9" t="s">
        <v>225</v>
      </c>
      <c r="FK53" t="s">
        <v>235</v>
      </c>
      <c r="FL53">
        <v>181</v>
      </c>
      <c r="FM53">
        <v>5132.1577847405597</v>
      </c>
      <c r="FN53" s="5" t="s">
        <v>237</v>
      </c>
      <c r="FP53" s="6">
        <v>18.100000000000001</v>
      </c>
      <c r="FQ53" t="s">
        <v>239</v>
      </c>
      <c r="FS53" t="s">
        <v>240</v>
      </c>
      <c r="FU53" s="8">
        <v>1</v>
      </c>
      <c r="FV53" s="8">
        <v>10</v>
      </c>
      <c r="FW53" s="8">
        <v>10</v>
      </c>
      <c r="FX53" s="8">
        <v>10</v>
      </c>
      <c r="FY53" s="8">
        <v>3</v>
      </c>
      <c r="FZ53">
        <f t="shared" si="0"/>
        <v>3000</v>
      </c>
      <c r="GA53" s="7" t="s">
        <v>241</v>
      </c>
      <c r="GB53" s="7" t="s">
        <v>241</v>
      </c>
      <c r="GC53" s="6">
        <v>30</v>
      </c>
      <c r="GD53" s="348" t="s">
        <v>242</v>
      </c>
      <c r="GF53" s="6">
        <v>6.0333333333333343E-2</v>
      </c>
      <c r="GH53" s="7"/>
      <c r="GI53" s="441">
        <v>0.40200000000000002</v>
      </c>
      <c r="GJ53" s="441">
        <v>0.754</v>
      </c>
      <c r="GK53" s="441">
        <v>1.2070000000000001</v>
      </c>
      <c r="GL53" s="441">
        <v>3.0169999999999999</v>
      </c>
      <c r="GM53" s="452" t="s">
        <v>529</v>
      </c>
      <c r="GN53" s="6">
        <v>0.2</v>
      </c>
      <c r="GO53" s="6">
        <v>0.375</v>
      </c>
      <c r="GP53" s="6">
        <v>0.6</v>
      </c>
      <c r="GQ53" s="6">
        <v>1.5</v>
      </c>
      <c r="GR53" s="6" t="s">
        <v>230</v>
      </c>
      <c r="GU53" t="s">
        <v>243</v>
      </c>
      <c r="GV53" t="s">
        <v>225</v>
      </c>
      <c r="GW53" t="s">
        <v>244</v>
      </c>
      <c r="GX53" t="s">
        <v>236</v>
      </c>
      <c r="GY53" t="s">
        <v>245</v>
      </c>
      <c r="HE53" t="s">
        <v>384</v>
      </c>
      <c r="HF53" t="s">
        <v>223</v>
      </c>
      <c r="HG53" t="s">
        <v>231</v>
      </c>
      <c r="HH53" t="s">
        <v>223</v>
      </c>
      <c r="HI53" t="s">
        <v>247</v>
      </c>
      <c r="HJ53" t="s">
        <v>223</v>
      </c>
      <c r="HK53" t="s">
        <v>248</v>
      </c>
      <c r="HO53" t="s">
        <v>231</v>
      </c>
      <c r="HP53" t="s">
        <v>223</v>
      </c>
      <c r="HQ53" t="s">
        <v>231</v>
      </c>
      <c r="HR53" t="s">
        <v>223</v>
      </c>
      <c r="HU53" t="s">
        <v>231</v>
      </c>
      <c r="HV53" t="s">
        <v>223</v>
      </c>
      <c r="HW53" t="s">
        <v>563</v>
      </c>
      <c r="HX53" t="s">
        <v>236</v>
      </c>
      <c r="IA53" t="s">
        <v>231</v>
      </c>
      <c r="IB53" t="s">
        <v>250</v>
      </c>
      <c r="IC53">
        <v>0.40200000000000002</v>
      </c>
      <c r="ID53">
        <v>0.754</v>
      </c>
      <c r="IE53">
        <v>1.2070000000000001</v>
      </c>
      <c r="IF53">
        <v>3.0169999999999999</v>
      </c>
      <c r="IH53" t="s">
        <v>267</v>
      </c>
    </row>
    <row r="54" spans="1:242" x14ac:dyDescent="0.35">
      <c r="A54" s="310" t="s">
        <v>589</v>
      </c>
      <c r="B54" s="313" t="s">
        <v>590</v>
      </c>
      <c r="C54" s="310" t="s">
        <v>591</v>
      </c>
      <c r="D54" s="316"/>
      <c r="F54" t="s">
        <v>592</v>
      </c>
      <c r="I54" s="310" t="s">
        <v>593</v>
      </c>
      <c r="M54" s="313"/>
      <c r="O54"/>
      <c r="P54" s="381"/>
      <c r="Q54"/>
      <c r="T54" s="8"/>
      <c r="U54" t="s">
        <v>221</v>
      </c>
      <c r="V54" s="313"/>
      <c r="W54" t="s">
        <v>220</v>
      </c>
      <c r="X54" t="s">
        <v>220</v>
      </c>
      <c r="Z54"/>
      <c r="AB54"/>
      <c r="AD54" s="8" t="s">
        <v>230</v>
      </c>
      <c r="AF54" s="8" t="s">
        <v>230</v>
      </c>
      <c r="AG54"/>
      <c r="AH54"/>
      <c r="AI54"/>
      <c r="AJ54" t="s">
        <v>221</v>
      </c>
      <c r="AK54">
        <v>0</v>
      </c>
      <c r="AL54">
        <v>1</v>
      </c>
      <c r="AM54" t="s">
        <v>221</v>
      </c>
      <c r="AN54" t="s">
        <v>223</v>
      </c>
      <c r="AO54" t="s">
        <v>221</v>
      </c>
      <c r="AP54" t="s">
        <v>223</v>
      </c>
      <c r="AQ54" t="s">
        <v>221</v>
      </c>
      <c r="AR54" t="s">
        <v>223</v>
      </c>
      <c r="AS54" t="s">
        <v>221</v>
      </c>
      <c r="AT54"/>
      <c r="AU54" t="s">
        <v>220</v>
      </c>
      <c r="AV54"/>
      <c r="AW54" s="313" t="s">
        <v>220</v>
      </c>
      <c r="AX54" t="s">
        <v>226</v>
      </c>
      <c r="AY54" s="313" t="s">
        <v>220</v>
      </c>
      <c r="AZ54" s="313">
        <v>2.2800000000000001E-2</v>
      </c>
      <c r="BB54" s="313" t="s">
        <v>220</v>
      </c>
      <c r="BC54">
        <v>1.4999999999999999E-2</v>
      </c>
      <c r="BD54" t="s">
        <v>220</v>
      </c>
      <c r="BE54">
        <v>1.49E-2</v>
      </c>
      <c r="BF54" s="2" t="s">
        <v>220</v>
      </c>
      <c r="BH54" s="2" t="s">
        <v>228</v>
      </c>
      <c r="BI54" s="2" t="s">
        <v>424</v>
      </c>
      <c r="BM54"/>
      <c r="BP54" s="8"/>
      <c r="BQ54" t="s">
        <v>230</v>
      </c>
      <c r="BR54" t="s">
        <v>230</v>
      </c>
      <c r="BU54" t="s">
        <v>231</v>
      </c>
      <c r="BV54" t="s">
        <v>223</v>
      </c>
      <c r="BW54" t="s">
        <v>232</v>
      </c>
      <c r="BX54" t="s">
        <v>284</v>
      </c>
      <c r="BY54" t="s">
        <v>220</v>
      </c>
      <c r="BZ54">
        <v>0.16800000000000001</v>
      </c>
      <c r="CA54" t="s">
        <v>234</v>
      </c>
      <c r="CF54" t="s">
        <v>220</v>
      </c>
      <c r="CG54">
        <v>6.2399999999999997E-2</v>
      </c>
      <c r="CH54" t="s">
        <v>220</v>
      </c>
      <c r="CI54">
        <v>2.9100000000000001E-2</v>
      </c>
      <c r="CK54"/>
      <c r="CL54"/>
      <c r="CM54"/>
      <c r="CS54" s="8"/>
      <c r="CW54" t="s">
        <v>220</v>
      </c>
      <c r="CX54" t="s">
        <v>220</v>
      </c>
      <c r="CY54" t="s">
        <v>231</v>
      </c>
      <c r="CZ54" t="s">
        <v>220</v>
      </c>
      <c r="DA54" t="s">
        <v>220</v>
      </c>
      <c r="DB54" t="s">
        <v>220</v>
      </c>
      <c r="DC54"/>
      <c r="DD54"/>
      <c r="DE54"/>
      <c r="DF54"/>
      <c r="DG54"/>
      <c r="DH54" s="323"/>
      <c r="DI54" s="323"/>
      <c r="DJ54" s="323"/>
      <c r="DL54" t="s">
        <v>257</v>
      </c>
      <c r="DM54" t="s">
        <v>220</v>
      </c>
      <c r="DN54" t="s">
        <v>257</v>
      </c>
      <c r="DO54" t="s">
        <v>220</v>
      </c>
      <c r="DP54" t="s">
        <v>257</v>
      </c>
      <c r="DS54" s="309">
        <v>527.21799999999996</v>
      </c>
      <c r="DU54" s="309">
        <v>700.78</v>
      </c>
      <c r="DW54">
        <v>240</v>
      </c>
      <c r="DX54" t="s">
        <v>238</v>
      </c>
      <c r="DY54">
        <v>3960</v>
      </c>
      <c r="DZ54" t="s">
        <v>238</v>
      </c>
      <c r="EA54"/>
      <c r="EB54"/>
      <c r="ED54" s="410">
        <v>450</v>
      </c>
      <c r="EE54" s="1"/>
      <c r="EF54" s="8" t="s">
        <v>259</v>
      </c>
      <c r="EG54" s="410">
        <v>450</v>
      </c>
      <c r="EH54" s="8" t="s">
        <v>259</v>
      </c>
      <c r="EI54" s="410"/>
      <c r="EK54" s="1">
        <v>1125</v>
      </c>
      <c r="EL54" s="8" t="s">
        <v>323</v>
      </c>
      <c r="EM54"/>
      <c r="EQ54" s="344"/>
      <c r="EU54" s="344"/>
      <c r="EW54" s="409"/>
      <c r="EY54" s="1"/>
      <c r="FA54">
        <v>212.11</v>
      </c>
      <c r="FB54" t="s">
        <v>225</v>
      </c>
      <c r="FC54" s="7">
        <v>482.28083038164783</v>
      </c>
      <c r="FD54" s="357" t="s">
        <v>225</v>
      </c>
      <c r="FE54" s="8">
        <v>30.683154013150702</v>
      </c>
      <c r="FF54" t="s">
        <v>237</v>
      </c>
      <c r="FH54" s="9">
        <v>551.69620938349851</v>
      </c>
      <c r="FI54" s="9" t="s">
        <v>225</v>
      </c>
      <c r="FJ54">
        <v>261</v>
      </c>
      <c r="FK54" t="s">
        <v>238</v>
      </c>
      <c r="FL54">
        <v>288</v>
      </c>
      <c r="FM54">
        <v>165.69141239736641</v>
      </c>
      <c r="FN54" s="5" t="s">
        <v>237</v>
      </c>
      <c r="FP54" s="6">
        <v>225</v>
      </c>
      <c r="FQ54" t="s">
        <v>382</v>
      </c>
      <c r="FS54" t="s">
        <v>261</v>
      </c>
      <c r="FU54" s="8">
        <v>2</v>
      </c>
      <c r="FV54" s="8">
        <v>10</v>
      </c>
      <c r="FW54" s="8">
        <v>10</v>
      </c>
      <c r="FX54" s="8">
        <v>1</v>
      </c>
      <c r="FY54" s="8">
        <v>1</v>
      </c>
      <c r="FZ54">
        <f t="shared" si="0"/>
        <v>200</v>
      </c>
      <c r="GA54" s="7" t="s">
        <v>241</v>
      </c>
      <c r="GB54" s="7" t="s">
        <v>241</v>
      </c>
      <c r="GC54" s="6">
        <v>30</v>
      </c>
      <c r="GD54" s="348" t="s">
        <v>242</v>
      </c>
      <c r="GF54" s="6">
        <v>0.15341577006575352</v>
      </c>
      <c r="GH54" s="7"/>
      <c r="GI54" s="441"/>
      <c r="GJ54" s="441"/>
      <c r="GK54" s="441"/>
      <c r="GL54" s="441"/>
      <c r="GM54" s="454"/>
      <c r="GN54" s="441"/>
      <c r="GO54" s="441"/>
      <c r="GP54" s="441"/>
      <c r="GQ54" s="441"/>
      <c r="GR54" s="441"/>
      <c r="GS54" s="441"/>
      <c r="GT54" s="441"/>
      <c r="GU54" s="441"/>
      <c r="GV54" s="441"/>
      <c r="GW54" s="441"/>
      <c r="GX54" s="441"/>
      <c r="GY54" s="441"/>
      <c r="GZ54" s="441"/>
      <c r="HA54" s="441"/>
      <c r="HB54" s="441"/>
      <c r="HC54" s="441"/>
      <c r="HD54" s="441"/>
      <c r="HE54" s="441"/>
      <c r="HF54" s="441"/>
      <c r="HG54" s="441"/>
      <c r="HH54" s="441"/>
      <c r="HI54" s="441"/>
      <c r="HJ54" s="441"/>
      <c r="HK54" s="441"/>
      <c r="HL54" s="441"/>
      <c r="HM54" s="441"/>
      <c r="HN54" s="441"/>
      <c r="HO54" s="441"/>
      <c r="HP54" s="441"/>
      <c r="HQ54" s="441"/>
      <c r="HR54" s="441"/>
      <c r="HS54" s="441"/>
      <c r="HT54" s="441"/>
      <c r="HU54" s="441"/>
      <c r="HV54" s="441"/>
      <c r="HW54" s="441"/>
      <c r="HX54" s="441"/>
      <c r="HY54" s="441"/>
      <c r="HZ54" s="441"/>
      <c r="IA54" s="441"/>
      <c r="IB54" s="441"/>
      <c r="IC54" s="441"/>
      <c r="ID54" s="441"/>
      <c r="IE54" s="441"/>
      <c r="IF54" s="441"/>
      <c r="IH54" t="s">
        <v>235</v>
      </c>
    </row>
    <row r="55" spans="1:242" x14ac:dyDescent="0.35">
      <c r="A55" s="310" t="s">
        <v>594</v>
      </c>
      <c r="B55" s="313" t="s">
        <v>595</v>
      </c>
      <c r="C55" s="310" t="s">
        <v>596</v>
      </c>
      <c r="D55" s="316"/>
      <c r="F55" t="s">
        <v>597</v>
      </c>
      <c r="I55" s="310" t="s">
        <v>598</v>
      </c>
      <c r="M55" s="313" t="s">
        <v>220</v>
      </c>
      <c r="O55"/>
      <c r="P55" s="381"/>
      <c r="Q55"/>
      <c r="T55" s="8"/>
      <c r="U55" t="s">
        <v>221</v>
      </c>
      <c r="V55" s="313"/>
      <c r="W55" t="s">
        <v>220</v>
      </c>
      <c r="X55" t="s">
        <v>220</v>
      </c>
      <c r="Z55" t="s">
        <v>220</v>
      </c>
      <c r="AB55"/>
      <c r="AD55" s="8" t="s">
        <v>222</v>
      </c>
      <c r="AF55" s="8" t="s">
        <v>222</v>
      </c>
      <c r="AG55"/>
      <c r="AH55"/>
      <c r="AI55"/>
      <c r="AJ55" t="s">
        <v>221</v>
      </c>
      <c r="AK55">
        <v>0</v>
      </c>
      <c r="AL55">
        <v>1</v>
      </c>
      <c r="AM55" t="s">
        <v>221</v>
      </c>
      <c r="AN55" t="s">
        <v>223</v>
      </c>
      <c r="AO55" t="s">
        <v>221</v>
      </c>
      <c r="AP55" t="s">
        <v>223</v>
      </c>
      <c r="AQ55" t="s">
        <v>221</v>
      </c>
      <c r="AR55" t="s">
        <v>223</v>
      </c>
      <c r="AS55" t="s">
        <v>221</v>
      </c>
      <c r="AT55"/>
      <c r="AU55" t="s">
        <v>220</v>
      </c>
      <c r="AV55"/>
      <c r="AW55" s="313" t="s">
        <v>220</v>
      </c>
      <c r="AX55" t="s">
        <v>226</v>
      </c>
      <c r="AY55" s="313" t="s">
        <v>220</v>
      </c>
      <c r="AZ55" s="313">
        <v>6.9699999999999998E-2</v>
      </c>
      <c r="BB55" s="313" t="s">
        <v>220</v>
      </c>
      <c r="BC55">
        <v>2.9399999999999999E-2</v>
      </c>
      <c r="BD55" t="s">
        <v>220</v>
      </c>
      <c r="BE55">
        <v>6.8699999999999997E-2</v>
      </c>
      <c r="BF55" s="2" t="s">
        <v>220</v>
      </c>
      <c r="BH55" s="2" t="s">
        <v>228</v>
      </c>
      <c r="BI55" s="2" t="s">
        <v>229</v>
      </c>
      <c r="BM55"/>
      <c r="BO55" t="s">
        <v>220</v>
      </c>
      <c r="BP55" s="8"/>
      <c r="BQ55" t="s">
        <v>222</v>
      </c>
      <c r="BR55" t="s">
        <v>222</v>
      </c>
      <c r="BS55" t="s">
        <v>255</v>
      </c>
      <c r="BU55" t="s">
        <v>231</v>
      </c>
      <c r="BV55" t="s">
        <v>225</v>
      </c>
      <c r="BW55" t="s">
        <v>232</v>
      </c>
      <c r="BX55" t="s">
        <v>256</v>
      </c>
      <c r="BY55" t="s">
        <v>220</v>
      </c>
      <c r="BZ55">
        <v>0.34699999999999998</v>
      </c>
      <c r="CA55" t="s">
        <v>372</v>
      </c>
      <c r="CF55" t="s">
        <v>220</v>
      </c>
      <c r="CG55">
        <v>0.10299999999999999</v>
      </c>
      <c r="CH55" t="s">
        <v>220</v>
      </c>
      <c r="CI55">
        <v>0.14799999999999999</v>
      </c>
      <c r="CK55"/>
      <c r="CL55" t="s">
        <v>220</v>
      </c>
      <c r="CM55" t="s">
        <v>231</v>
      </c>
      <c r="CS55" s="8"/>
      <c r="CW55" t="s">
        <v>220</v>
      </c>
      <c r="CX55" t="s">
        <v>220</v>
      </c>
      <c r="CY55" t="s">
        <v>231</v>
      </c>
      <c r="CZ55" t="s">
        <v>257</v>
      </c>
      <c r="DA55" t="s">
        <v>257</v>
      </c>
      <c r="DB55" t="s">
        <v>227</v>
      </c>
      <c r="DC55" t="s">
        <v>220</v>
      </c>
      <c r="DD55" t="s">
        <v>220</v>
      </c>
      <c r="DE55"/>
      <c r="DF55"/>
      <c r="DG55"/>
      <c r="DH55" s="323"/>
      <c r="DI55" s="323"/>
      <c r="DJ55" s="323"/>
      <c r="DL55" t="s">
        <v>220</v>
      </c>
      <c r="DM55" t="s">
        <v>220</v>
      </c>
      <c r="DN55" t="s">
        <v>227</v>
      </c>
      <c r="DO55" t="s">
        <v>257</v>
      </c>
      <c r="DP55" t="s">
        <v>257</v>
      </c>
      <c r="DS55" s="309">
        <v>115.601</v>
      </c>
      <c r="DU55" s="309">
        <v>517.50800000000004</v>
      </c>
      <c r="DW55">
        <v>589</v>
      </c>
      <c r="DX55" t="s">
        <v>238</v>
      </c>
      <c r="DY55">
        <v>1360</v>
      </c>
      <c r="DZ55" t="s">
        <v>238</v>
      </c>
      <c r="EA55"/>
      <c r="EB55"/>
      <c r="ED55" s="413"/>
      <c r="EE55" s="1"/>
      <c r="EG55" s="413"/>
      <c r="EI55" s="410">
        <v>125</v>
      </c>
      <c r="EJ55" s="8" t="s">
        <v>259</v>
      </c>
      <c r="EK55" s="1"/>
      <c r="EM55"/>
      <c r="EN55" s="9">
        <v>600.8079078720001</v>
      </c>
      <c r="EQ55" s="381">
        <v>2</v>
      </c>
      <c r="ER55" s="8" t="s">
        <v>323</v>
      </c>
      <c r="EU55" s="381">
        <v>2</v>
      </c>
      <c r="EV55" s="8" t="s">
        <v>323</v>
      </c>
      <c r="EW55" s="409"/>
      <c r="EY55" s="1">
        <v>2</v>
      </c>
      <c r="EZ55" s="9" t="s">
        <v>323</v>
      </c>
      <c r="FA55">
        <v>45.94</v>
      </c>
      <c r="FB55" t="s">
        <v>223</v>
      </c>
      <c r="FC55" s="7">
        <v>108.31784223845833</v>
      </c>
      <c r="FD55" s="357" t="s">
        <v>223</v>
      </c>
      <c r="FE55" s="8">
        <v>220.64800240602952</v>
      </c>
      <c r="FF55" t="s">
        <v>237</v>
      </c>
      <c r="FH55" s="9">
        <v>250.72636247771203</v>
      </c>
      <c r="FI55" s="9" t="s">
        <v>223</v>
      </c>
      <c r="FJ55">
        <v>511</v>
      </c>
      <c r="FK55" t="s">
        <v>267</v>
      </c>
      <c r="FL55">
        <v>290</v>
      </c>
      <c r="FM55">
        <v>685.330405126046</v>
      </c>
      <c r="FN55" s="5" t="s">
        <v>237</v>
      </c>
      <c r="FP55" s="6">
        <v>0.2</v>
      </c>
      <c r="FQ55" t="s">
        <v>382</v>
      </c>
      <c r="FS55" t="s">
        <v>261</v>
      </c>
      <c r="FU55" s="8">
        <v>1</v>
      </c>
      <c r="FV55" s="8">
        <v>10</v>
      </c>
      <c r="FW55" s="8">
        <v>10</v>
      </c>
      <c r="FX55" s="8">
        <v>10</v>
      </c>
      <c r="FY55" s="8">
        <v>1</v>
      </c>
      <c r="FZ55">
        <f t="shared" si="0"/>
        <v>1000</v>
      </c>
      <c r="GA55" s="7" t="s">
        <v>241</v>
      </c>
      <c r="GB55" s="7" t="s">
        <v>241</v>
      </c>
      <c r="GC55" s="6">
        <v>30</v>
      </c>
      <c r="GD55" s="348" t="s">
        <v>242</v>
      </c>
      <c r="GE55" s="6">
        <v>0.01</v>
      </c>
      <c r="GF55" s="6">
        <v>2E-3</v>
      </c>
      <c r="GH55" s="7"/>
      <c r="GI55" s="441"/>
      <c r="GJ55" s="441"/>
      <c r="GK55" s="441"/>
      <c r="GL55" s="441"/>
      <c r="GM55" s="454"/>
      <c r="GN55" s="441"/>
      <c r="GO55" s="441"/>
      <c r="GP55" s="441"/>
      <c r="GQ55" s="441"/>
      <c r="GR55" s="441"/>
      <c r="GS55" s="441"/>
      <c r="GT55" s="441"/>
      <c r="GU55" s="441"/>
      <c r="GV55" s="441"/>
      <c r="GW55" s="441"/>
      <c r="GX55" s="441"/>
      <c r="GY55" s="441"/>
      <c r="GZ55" s="441"/>
      <c r="HA55" s="441"/>
      <c r="HB55" s="441"/>
      <c r="HC55" s="441"/>
      <c r="HD55" s="441"/>
      <c r="HE55" s="441"/>
      <c r="HF55" s="441"/>
      <c r="HG55" s="441"/>
      <c r="HH55" s="441"/>
      <c r="HI55" s="441"/>
      <c r="HJ55" s="441"/>
      <c r="HK55" s="441"/>
      <c r="HL55" s="441"/>
      <c r="HM55" s="441"/>
      <c r="HN55" s="441"/>
      <c r="HO55" s="441"/>
      <c r="HP55" s="441"/>
      <c r="HQ55" s="441"/>
      <c r="HR55" s="441"/>
      <c r="HS55" s="441"/>
      <c r="HT55" s="441"/>
      <c r="HU55" s="441"/>
      <c r="HV55" s="441"/>
      <c r="HW55" s="441"/>
      <c r="HX55" s="441"/>
      <c r="HY55" s="441"/>
      <c r="HZ55" s="441"/>
      <c r="IA55" s="441"/>
      <c r="IB55" s="441"/>
      <c r="IC55" s="441"/>
      <c r="ID55" s="441"/>
      <c r="IE55" s="441"/>
      <c r="IF55" s="441"/>
      <c r="IH55" t="s">
        <v>235</v>
      </c>
    </row>
    <row r="56" spans="1:242" x14ac:dyDescent="0.35">
      <c r="A56" s="310" t="s">
        <v>537</v>
      </c>
      <c r="B56" s="313" t="s">
        <v>599</v>
      </c>
      <c r="C56" s="310" t="s">
        <v>600</v>
      </c>
      <c r="D56" s="316"/>
      <c r="F56" t="s">
        <v>601</v>
      </c>
      <c r="I56" s="310" t="s">
        <v>602</v>
      </c>
      <c r="M56" s="313"/>
      <c r="O56"/>
      <c r="P56" s="381"/>
      <c r="Q56"/>
      <c r="T56" s="8"/>
      <c r="U56"/>
      <c r="V56" s="313"/>
      <c r="W56"/>
      <c r="X56"/>
      <c r="Z56"/>
      <c r="AB56"/>
      <c r="AD56" s="8" t="s">
        <v>230</v>
      </c>
      <c r="AF56" s="8" t="s">
        <v>230</v>
      </c>
      <c r="AG56"/>
      <c r="AH56"/>
      <c r="AI56"/>
      <c r="AJ56" t="s">
        <v>221</v>
      </c>
      <c r="AK56">
        <v>0</v>
      </c>
      <c r="AL56">
        <v>0.6</v>
      </c>
      <c r="AM56" t="s">
        <v>221</v>
      </c>
      <c r="AN56" t="s">
        <v>225</v>
      </c>
      <c r="AO56" t="s">
        <v>221</v>
      </c>
      <c r="AP56" t="s">
        <v>225</v>
      </c>
      <c r="AQ56" t="s">
        <v>221</v>
      </c>
      <c r="AR56" t="s">
        <v>225</v>
      </c>
      <c r="AS56" t="s">
        <v>221</v>
      </c>
      <c r="AT56" t="s">
        <v>225</v>
      </c>
      <c r="AU56" t="s">
        <v>220</v>
      </c>
      <c r="AV56"/>
      <c r="AW56" s="313" t="s">
        <v>220</v>
      </c>
      <c r="AX56" t="s">
        <v>226</v>
      </c>
      <c r="AY56" s="313" t="s">
        <v>220</v>
      </c>
      <c r="AZ56" s="313">
        <v>0.28899999999999998</v>
      </c>
      <c r="BB56" s="313" t="s">
        <v>220</v>
      </c>
      <c r="BC56">
        <v>0.17100000000000001</v>
      </c>
      <c r="BD56" t="s">
        <v>220</v>
      </c>
      <c r="BE56">
        <v>7.6700000000000004E-2</v>
      </c>
      <c r="BF56" s="2" t="s">
        <v>220</v>
      </c>
      <c r="BG56" s="2" t="s">
        <v>273</v>
      </c>
      <c r="BH56" s="2" t="s">
        <v>274</v>
      </c>
      <c r="BI56" s="2" t="s">
        <v>275</v>
      </c>
      <c r="BM56"/>
      <c r="BP56" s="8"/>
      <c r="BQ56" t="s">
        <v>230</v>
      </c>
      <c r="BR56" t="s">
        <v>230</v>
      </c>
      <c r="BU56" t="s">
        <v>293</v>
      </c>
      <c r="BV56" t="s">
        <v>236</v>
      </c>
      <c r="BW56" t="s">
        <v>232</v>
      </c>
      <c r="BX56" t="s">
        <v>500</v>
      </c>
      <c r="BY56" t="s">
        <v>257</v>
      </c>
      <c r="BZ56">
        <v>0.627</v>
      </c>
      <c r="CA56" t="s">
        <v>372</v>
      </c>
      <c r="CF56" t="s">
        <v>220</v>
      </c>
      <c r="CG56">
        <v>0.27800000000000002</v>
      </c>
      <c r="CH56" t="s">
        <v>257</v>
      </c>
      <c r="CI56">
        <v>0.58799999999999997</v>
      </c>
      <c r="CK56"/>
      <c r="CL56"/>
      <c r="CM56"/>
      <c r="CS56" s="8"/>
      <c r="CW56" t="s">
        <v>227</v>
      </c>
      <c r="CX56" t="s">
        <v>257</v>
      </c>
      <c r="CY56" t="s">
        <v>317</v>
      </c>
      <c r="CZ56" t="s">
        <v>227</v>
      </c>
      <c r="DA56" t="s">
        <v>227</v>
      </c>
      <c r="DB56" t="s">
        <v>227</v>
      </c>
      <c r="DC56"/>
      <c r="DD56"/>
      <c r="DE56"/>
      <c r="DF56"/>
      <c r="DG56"/>
      <c r="DH56" s="323"/>
      <c r="DI56" s="323"/>
      <c r="DJ56" s="323"/>
      <c r="DL56" t="s">
        <v>257</v>
      </c>
      <c r="DM56" t="s">
        <v>220</v>
      </c>
      <c r="DN56" t="s">
        <v>227</v>
      </c>
      <c r="DO56" t="s">
        <v>227</v>
      </c>
      <c r="DP56" t="s">
        <v>227</v>
      </c>
      <c r="DS56" s="338">
        <v>5.1999999999999998E-2</v>
      </c>
      <c r="DT56" s="8" t="s">
        <v>394</v>
      </c>
      <c r="DU56" s="338">
        <v>1078.77</v>
      </c>
      <c r="DV56" s="8" t="s">
        <v>394</v>
      </c>
      <c r="DW56"/>
      <c r="DX56" t="s">
        <v>235</v>
      </c>
      <c r="DY56"/>
      <c r="DZ56" t="s">
        <v>235</v>
      </c>
      <c r="EA56"/>
      <c r="EB56"/>
      <c r="ED56" s="410"/>
      <c r="EE56" s="1"/>
      <c r="EG56" s="410"/>
      <c r="EI56" s="410"/>
      <c r="EK56" s="1"/>
      <c r="EM56"/>
      <c r="EQ56" s="344"/>
      <c r="EU56" s="344"/>
      <c r="EW56" s="409"/>
      <c r="EY56" s="1"/>
      <c r="FA56">
        <v>10204.23</v>
      </c>
      <c r="FB56" t="s">
        <v>236</v>
      </c>
      <c r="FC56" s="7">
        <v>620.72609030943033</v>
      </c>
      <c r="FD56" s="357" t="s">
        <v>225</v>
      </c>
      <c r="FE56" s="8">
        <v>122998.55235704733</v>
      </c>
      <c r="FF56" t="s">
        <v>237</v>
      </c>
      <c r="FH56" s="9">
        <v>256153.32640879488</v>
      </c>
      <c r="FI56" s="9" t="s">
        <v>236</v>
      </c>
      <c r="FK56" t="s">
        <v>235</v>
      </c>
      <c r="FL56">
        <v>719</v>
      </c>
      <c r="FM56">
        <v>356040.99003595766</v>
      </c>
      <c r="FN56" s="5" t="s">
        <v>237</v>
      </c>
      <c r="FP56" s="6">
        <v>71.900000000000006</v>
      </c>
      <c r="FQ56" t="s">
        <v>239</v>
      </c>
      <c r="FS56" t="s">
        <v>240</v>
      </c>
      <c r="FU56" s="8">
        <v>1</v>
      </c>
      <c r="FV56" s="8">
        <v>10</v>
      </c>
      <c r="FW56" s="8">
        <v>10</v>
      </c>
      <c r="FX56" s="8">
        <v>10</v>
      </c>
      <c r="FY56" s="8">
        <v>3</v>
      </c>
      <c r="FZ56">
        <f t="shared" si="0"/>
        <v>3000</v>
      </c>
      <c r="GA56" s="7" t="s">
        <v>241</v>
      </c>
      <c r="GB56" s="7" t="s">
        <v>241</v>
      </c>
      <c r="GC56" s="6">
        <v>30</v>
      </c>
      <c r="GD56" s="348" t="s">
        <v>242</v>
      </c>
      <c r="GF56" s="6">
        <v>0.23966666666666669</v>
      </c>
      <c r="GH56" s="7"/>
      <c r="GI56" s="441" t="s">
        <v>395</v>
      </c>
      <c r="GJ56" s="441" t="s">
        <v>395</v>
      </c>
      <c r="GK56" s="441" t="s">
        <v>395</v>
      </c>
      <c r="GL56" s="441" t="s">
        <v>395</v>
      </c>
      <c r="GM56" s="452" t="s">
        <v>552</v>
      </c>
      <c r="GN56" s="6">
        <v>0.2</v>
      </c>
      <c r="GO56" s="6">
        <v>0.375</v>
      </c>
      <c r="GP56" s="6">
        <v>0.6</v>
      </c>
      <c r="GQ56" s="6">
        <v>1.5</v>
      </c>
      <c r="GR56" s="6" t="s">
        <v>230</v>
      </c>
      <c r="GU56" t="s">
        <v>243</v>
      </c>
      <c r="GV56" t="s">
        <v>236</v>
      </c>
      <c r="GW56" t="s">
        <v>244</v>
      </c>
      <c r="GX56" t="s">
        <v>236</v>
      </c>
      <c r="GY56" t="s">
        <v>245</v>
      </c>
      <c r="HE56" t="s">
        <v>384</v>
      </c>
      <c r="HF56" t="s">
        <v>223</v>
      </c>
      <c r="HG56" t="s">
        <v>231</v>
      </c>
      <c r="HH56" t="s">
        <v>225</v>
      </c>
      <c r="HI56" t="s">
        <v>247</v>
      </c>
      <c r="HJ56" t="s">
        <v>225</v>
      </c>
      <c r="HK56" t="s">
        <v>568</v>
      </c>
      <c r="HO56" t="s">
        <v>231</v>
      </c>
      <c r="HP56" t="s">
        <v>223</v>
      </c>
      <c r="HQ56" t="s">
        <v>231</v>
      </c>
      <c r="HR56" t="s">
        <v>223</v>
      </c>
      <c r="HU56" t="s">
        <v>231</v>
      </c>
      <c r="HV56" t="s">
        <v>223</v>
      </c>
      <c r="HW56" t="s">
        <v>563</v>
      </c>
      <c r="HX56" t="s">
        <v>236</v>
      </c>
      <c r="IA56" t="s">
        <v>231</v>
      </c>
      <c r="IB56" t="s">
        <v>250</v>
      </c>
      <c r="IC56" t="s">
        <v>395</v>
      </c>
      <c r="ID56" t="s">
        <v>395</v>
      </c>
      <c r="IE56" t="s">
        <v>395</v>
      </c>
      <c r="IF56" t="s">
        <v>395</v>
      </c>
      <c r="IH56" t="s">
        <v>235</v>
      </c>
    </row>
    <row r="57" spans="1:242" ht="72.5" x14ac:dyDescent="0.35">
      <c r="A57" s="310" t="s">
        <v>603</v>
      </c>
      <c r="B57" s="313" t="s">
        <v>604</v>
      </c>
      <c r="C57" s="310" t="s">
        <v>605</v>
      </c>
      <c r="D57" s="316"/>
      <c r="F57" t="s">
        <v>606</v>
      </c>
      <c r="I57" s="310" t="s">
        <v>607</v>
      </c>
      <c r="M57" s="313"/>
      <c r="O57"/>
      <c r="P57" s="381"/>
      <c r="Q57"/>
      <c r="T57" s="8"/>
      <c r="U57"/>
      <c r="V57" s="313"/>
      <c r="W57" t="s">
        <v>220</v>
      </c>
      <c r="X57" t="s">
        <v>220</v>
      </c>
      <c r="Z57" t="s">
        <v>220</v>
      </c>
      <c r="AB57"/>
      <c r="AD57" s="8" t="s">
        <v>230</v>
      </c>
      <c r="AF57" s="8" t="s">
        <v>222</v>
      </c>
      <c r="AG57"/>
      <c r="AH57"/>
      <c r="AI57"/>
      <c r="AJ57" t="s">
        <v>221</v>
      </c>
      <c r="AK57">
        <v>0</v>
      </c>
      <c r="AL57">
        <v>0.6</v>
      </c>
      <c r="AM57" t="s">
        <v>221</v>
      </c>
      <c r="AN57" t="s">
        <v>225</v>
      </c>
      <c r="AO57" t="s">
        <v>224</v>
      </c>
      <c r="AP57" t="s">
        <v>225</v>
      </c>
      <c r="AQ57" t="s">
        <v>221</v>
      </c>
      <c r="AR57" t="s">
        <v>225</v>
      </c>
      <c r="AS57" t="s">
        <v>221</v>
      </c>
      <c r="AT57" t="s">
        <v>225</v>
      </c>
      <c r="AU57" t="s">
        <v>220</v>
      </c>
      <c r="AV57"/>
      <c r="AW57" s="313" t="s">
        <v>220</v>
      </c>
      <c r="AX57" t="s">
        <v>226</v>
      </c>
      <c r="AY57" s="313" t="s">
        <v>220</v>
      </c>
      <c r="AZ57" s="313">
        <v>0.14699999999999999</v>
      </c>
      <c r="BB57" s="313" t="s">
        <v>220</v>
      </c>
      <c r="BC57">
        <v>4.82E-2</v>
      </c>
      <c r="BD57" t="s">
        <v>220</v>
      </c>
      <c r="BE57">
        <v>5.2499999999999998E-2</v>
      </c>
      <c r="BF57" s="2" t="s">
        <v>220</v>
      </c>
      <c r="BH57" s="2" t="s">
        <v>228</v>
      </c>
      <c r="BI57" s="2" t="s">
        <v>608</v>
      </c>
      <c r="BM57"/>
      <c r="BP57" s="8"/>
      <c r="BQ57" t="s">
        <v>230</v>
      </c>
      <c r="BR57" t="s">
        <v>230</v>
      </c>
      <c r="BS57" t="s">
        <v>255</v>
      </c>
      <c r="BU57" t="s">
        <v>317</v>
      </c>
      <c r="BV57" t="s">
        <v>236</v>
      </c>
      <c r="BW57" t="s">
        <v>232</v>
      </c>
      <c r="BX57" t="s">
        <v>256</v>
      </c>
      <c r="BY57" t="s">
        <v>220</v>
      </c>
      <c r="BZ57">
        <v>0.25600000000000001</v>
      </c>
      <c r="CA57" t="s">
        <v>234</v>
      </c>
      <c r="CF57" t="s">
        <v>220</v>
      </c>
      <c r="CG57">
        <v>8.5500000000000007E-2</v>
      </c>
      <c r="CH57" t="s">
        <v>220</v>
      </c>
      <c r="CI57">
        <v>5.1400000000000001E-2</v>
      </c>
      <c r="CK57"/>
      <c r="CL57"/>
      <c r="CM57"/>
      <c r="CS57" s="8"/>
      <c r="CW57" t="s">
        <v>227</v>
      </c>
      <c r="CX57" t="s">
        <v>220</v>
      </c>
      <c r="CY57" t="s">
        <v>231</v>
      </c>
      <c r="CZ57" t="s">
        <v>220</v>
      </c>
      <c r="DA57" t="s">
        <v>227</v>
      </c>
      <c r="DB57" t="s">
        <v>227</v>
      </c>
      <c r="DC57"/>
      <c r="DD57"/>
      <c r="DE57"/>
      <c r="DF57"/>
      <c r="DG57"/>
      <c r="DH57" s="323"/>
      <c r="DI57" s="323"/>
      <c r="DJ57" s="323"/>
      <c r="DL57" t="s">
        <v>220</v>
      </c>
      <c r="DM57" t="s">
        <v>220</v>
      </c>
      <c r="DN57" t="s">
        <v>227</v>
      </c>
      <c r="DO57" t="s">
        <v>220</v>
      </c>
      <c r="DP57" t="s">
        <v>227</v>
      </c>
      <c r="DS57" s="309">
        <v>568.87400000000002</v>
      </c>
      <c r="DU57" s="338">
        <v>736.73800000000006</v>
      </c>
      <c r="DV57" s="8" t="s">
        <v>394</v>
      </c>
      <c r="DW57"/>
      <c r="DX57" t="s">
        <v>235</v>
      </c>
      <c r="DY57"/>
      <c r="DZ57" t="s">
        <v>235</v>
      </c>
      <c r="EA57"/>
      <c r="EB57"/>
      <c r="ED57" s="410"/>
      <c r="EE57" s="1"/>
      <c r="EG57" s="410"/>
      <c r="EI57" s="410"/>
      <c r="EK57" s="1"/>
      <c r="EM57"/>
      <c r="EQ57" s="344"/>
      <c r="EU57" s="344"/>
      <c r="EW57" s="409"/>
      <c r="EY57" s="1"/>
      <c r="FA57">
        <v>47.69</v>
      </c>
      <c r="FB57" t="s">
        <v>236</v>
      </c>
      <c r="FC57" s="7">
        <v>475.11637637756178</v>
      </c>
      <c r="FD57" s="357" t="s">
        <v>236</v>
      </c>
      <c r="FE57" s="8">
        <v>0.58290797886723356</v>
      </c>
      <c r="FF57" t="s">
        <v>237</v>
      </c>
      <c r="FH57" s="9">
        <v>120.00518202042664</v>
      </c>
      <c r="FI57" s="9" t="s">
        <v>236</v>
      </c>
      <c r="FK57" t="s">
        <v>235</v>
      </c>
      <c r="FL57">
        <v>47.1</v>
      </c>
      <c r="FM57">
        <v>0.62632536475822254</v>
      </c>
      <c r="FN57" s="5" t="s">
        <v>237</v>
      </c>
      <c r="FP57" s="6">
        <v>3.131626823791113E-2</v>
      </c>
      <c r="FQ57" t="s">
        <v>277</v>
      </c>
      <c r="FS57" t="s">
        <v>240</v>
      </c>
      <c r="FU57" s="8">
        <v>2</v>
      </c>
      <c r="FV57" s="8">
        <v>10</v>
      </c>
      <c r="FW57" s="8">
        <v>10</v>
      </c>
      <c r="FX57" s="8">
        <v>10</v>
      </c>
      <c r="FY57" s="8">
        <v>3</v>
      </c>
      <c r="FZ57">
        <f t="shared" si="0"/>
        <v>6000</v>
      </c>
      <c r="GA57" s="7" t="s">
        <v>241</v>
      </c>
      <c r="GB57" s="7" t="s">
        <v>241</v>
      </c>
      <c r="GC57" s="6">
        <v>30</v>
      </c>
      <c r="GD57" s="348" t="s">
        <v>242</v>
      </c>
      <c r="GF57" s="6">
        <v>9.71513298112056E-4</v>
      </c>
      <c r="GH57" s="7"/>
      <c r="GI57" s="445"/>
      <c r="GJ57" s="445"/>
      <c r="GK57" s="445"/>
      <c r="GL57" s="445"/>
      <c r="GM57" s="461" t="s">
        <v>609</v>
      </c>
      <c r="GN57" s="6">
        <v>0.2</v>
      </c>
      <c r="GO57" s="6">
        <v>0.375</v>
      </c>
      <c r="GP57" s="6">
        <v>0.6</v>
      </c>
      <c r="GQ57" s="6">
        <v>1.5</v>
      </c>
      <c r="GR57" s="461" t="s">
        <v>609</v>
      </c>
      <c r="GU57" t="s">
        <v>243</v>
      </c>
      <c r="GV57" t="s">
        <v>236</v>
      </c>
      <c r="GW57" t="s">
        <v>244</v>
      </c>
      <c r="GX57" t="s">
        <v>236</v>
      </c>
      <c r="GY57" t="s">
        <v>245</v>
      </c>
      <c r="HE57" t="s">
        <v>247</v>
      </c>
      <c r="HF57" t="s">
        <v>223</v>
      </c>
      <c r="HG57" t="s">
        <v>231</v>
      </c>
      <c r="HH57" t="s">
        <v>236</v>
      </c>
      <c r="HI57" t="s">
        <v>247</v>
      </c>
      <c r="HJ57" t="s">
        <v>225</v>
      </c>
      <c r="HK57" t="s">
        <v>266</v>
      </c>
      <c r="HL57" t="s">
        <v>231</v>
      </c>
      <c r="HM57" t="s">
        <v>231</v>
      </c>
      <c r="HO57" t="s">
        <v>231</v>
      </c>
      <c r="HP57" t="s">
        <v>249</v>
      </c>
      <c r="HQ57" t="s">
        <v>231</v>
      </c>
      <c r="HR57" t="s">
        <v>249</v>
      </c>
      <c r="HU57" t="s">
        <v>231</v>
      </c>
      <c r="HV57" t="s">
        <v>223</v>
      </c>
      <c r="HW57" t="s">
        <v>246</v>
      </c>
      <c r="HX57" t="s">
        <v>236</v>
      </c>
      <c r="IA57" t="s">
        <v>231</v>
      </c>
      <c r="IB57" t="s">
        <v>250</v>
      </c>
      <c r="IC57" s="447"/>
      <c r="ID57" s="447"/>
      <c r="IE57" s="447"/>
      <c r="IF57" s="447"/>
      <c r="IG57" s="459" t="s">
        <v>451</v>
      </c>
      <c r="IH57" t="s">
        <v>235</v>
      </c>
    </row>
    <row r="58" spans="1:242" x14ac:dyDescent="0.35">
      <c r="A58" s="310" t="s">
        <v>610</v>
      </c>
      <c r="B58" s="313" t="s">
        <v>611</v>
      </c>
      <c r="C58" s="310" t="s">
        <v>612</v>
      </c>
      <c r="D58" s="316"/>
      <c r="F58" t="s">
        <v>613</v>
      </c>
      <c r="I58" s="310" t="s">
        <v>614</v>
      </c>
      <c r="M58" s="313"/>
      <c r="O58" t="s">
        <v>221</v>
      </c>
      <c r="P58" s="381"/>
      <c r="Q58" t="s">
        <v>221</v>
      </c>
      <c r="T58" s="8"/>
      <c r="U58" t="s">
        <v>221</v>
      </c>
      <c r="V58" s="313"/>
      <c r="W58" t="s">
        <v>220</v>
      </c>
      <c r="X58" t="s">
        <v>220</v>
      </c>
      <c r="Z58" t="s">
        <v>220</v>
      </c>
      <c r="AB58"/>
      <c r="AD58" s="8" t="s">
        <v>222</v>
      </c>
      <c r="AF58" s="8" t="s">
        <v>222</v>
      </c>
      <c r="AG58"/>
      <c r="AH58"/>
      <c r="AI58"/>
      <c r="AJ58" t="s">
        <v>221</v>
      </c>
      <c r="AK58">
        <v>0</v>
      </c>
      <c r="AL58">
        <v>1</v>
      </c>
      <c r="AM58" t="s">
        <v>221</v>
      </c>
      <c r="AN58" t="s">
        <v>249</v>
      </c>
      <c r="AO58" t="s">
        <v>221</v>
      </c>
      <c r="AP58"/>
      <c r="AQ58" t="s">
        <v>414</v>
      </c>
      <c r="AR58" t="s">
        <v>236</v>
      </c>
      <c r="AS58" t="s">
        <v>221</v>
      </c>
      <c r="AT58"/>
      <c r="AU58" t="s">
        <v>220</v>
      </c>
      <c r="AV58"/>
      <c r="AW58" s="313" t="s">
        <v>220</v>
      </c>
      <c r="AX58" t="s">
        <v>226</v>
      </c>
      <c r="AY58" s="313" t="s">
        <v>220</v>
      </c>
      <c r="AZ58" s="313">
        <v>5.9700000000000003E-2</v>
      </c>
      <c r="BB58" s="313" t="s">
        <v>220</v>
      </c>
      <c r="BC58">
        <v>3.1699999999999999E-2</v>
      </c>
      <c r="BD58" t="s">
        <v>220</v>
      </c>
      <c r="BE58">
        <v>0.219</v>
      </c>
      <c r="BF58" s="2" t="s">
        <v>220</v>
      </c>
      <c r="BH58" s="2" t="s">
        <v>228</v>
      </c>
      <c r="BI58" s="2" t="s">
        <v>229</v>
      </c>
      <c r="BM58"/>
      <c r="BP58" s="8"/>
      <c r="BQ58" t="s">
        <v>230</v>
      </c>
      <c r="BR58" t="s">
        <v>230</v>
      </c>
      <c r="BU58" t="s">
        <v>231</v>
      </c>
      <c r="BV58" t="s">
        <v>223</v>
      </c>
      <c r="BW58" t="s">
        <v>232</v>
      </c>
      <c r="BX58" t="s">
        <v>284</v>
      </c>
      <c r="BY58" t="s">
        <v>220</v>
      </c>
      <c r="BZ58">
        <v>0.29399999999999998</v>
      </c>
      <c r="CA58" t="s">
        <v>372</v>
      </c>
      <c r="CF58" t="s">
        <v>220</v>
      </c>
      <c r="CG58">
        <v>0.127</v>
      </c>
      <c r="CH58" t="s">
        <v>257</v>
      </c>
      <c r="CI58">
        <v>0.77800000000000002</v>
      </c>
      <c r="CK58"/>
      <c r="CL58"/>
      <c r="CM58"/>
      <c r="CS58" s="8"/>
      <c r="CW58" t="s">
        <v>220</v>
      </c>
      <c r="CX58" t="s">
        <v>220</v>
      </c>
      <c r="CY58" t="s">
        <v>231</v>
      </c>
      <c r="CZ58" t="s">
        <v>220</v>
      </c>
      <c r="DA58" t="s">
        <v>227</v>
      </c>
      <c r="DB58" t="s">
        <v>220</v>
      </c>
      <c r="DC58"/>
      <c r="DD58"/>
      <c r="DE58"/>
      <c r="DF58"/>
      <c r="DG58"/>
      <c r="DH58" s="323"/>
      <c r="DI58" s="323"/>
      <c r="DJ58" s="323"/>
      <c r="DL58" t="s">
        <v>257</v>
      </c>
      <c r="DM58" t="s">
        <v>220</v>
      </c>
      <c r="DN58" t="s">
        <v>257</v>
      </c>
      <c r="DO58" t="s">
        <v>220</v>
      </c>
      <c r="DP58" t="s">
        <v>257</v>
      </c>
      <c r="DS58" s="309">
        <v>61.832999999999998</v>
      </c>
      <c r="DU58" s="309">
        <v>326.00599999999997</v>
      </c>
      <c r="DW58">
        <v>6.73</v>
      </c>
      <c r="DX58" t="s">
        <v>238</v>
      </c>
      <c r="DY58">
        <v>444</v>
      </c>
      <c r="DZ58" t="s">
        <v>238</v>
      </c>
      <c r="EA58"/>
      <c r="EB58"/>
      <c r="ED58" s="410"/>
      <c r="EE58" s="1"/>
      <c r="EG58" s="410">
        <v>120</v>
      </c>
      <c r="EH58" s="8" t="s">
        <v>259</v>
      </c>
      <c r="EI58" s="410"/>
      <c r="EK58" s="1"/>
      <c r="EM58"/>
      <c r="EQ58" s="344"/>
      <c r="EU58" s="344"/>
      <c r="EW58" s="409"/>
      <c r="EY58" s="1"/>
      <c r="FA58">
        <v>89.46</v>
      </c>
      <c r="FB58" t="s">
        <v>236</v>
      </c>
      <c r="FC58" s="7">
        <v>160.73113075127932</v>
      </c>
      <c r="FD58" s="357" t="s">
        <v>236</v>
      </c>
      <c r="FE58" s="8">
        <v>52.384161902779105</v>
      </c>
      <c r="FF58" t="s">
        <v>237</v>
      </c>
      <c r="FH58" s="9">
        <v>83.541063567561409</v>
      </c>
      <c r="FI58" s="9" t="s">
        <v>236</v>
      </c>
      <c r="FJ58">
        <v>180</v>
      </c>
      <c r="FK58" t="s">
        <v>238</v>
      </c>
      <c r="FL58">
        <v>174</v>
      </c>
      <c r="FM58">
        <v>161.95710309550398</v>
      </c>
      <c r="FN58" s="5" t="s">
        <v>237</v>
      </c>
      <c r="FP58" s="6">
        <v>60</v>
      </c>
      <c r="FQ58" t="s">
        <v>615</v>
      </c>
      <c r="FS58" t="s">
        <v>261</v>
      </c>
      <c r="FU58" s="8">
        <v>2</v>
      </c>
      <c r="FV58" s="8">
        <v>10</v>
      </c>
      <c r="FW58" s="8">
        <v>10</v>
      </c>
      <c r="FX58" s="8">
        <v>1</v>
      </c>
      <c r="FY58" s="8">
        <v>3</v>
      </c>
      <c r="FZ58">
        <f t="shared" si="0"/>
        <v>600</v>
      </c>
      <c r="GA58" s="7" t="s">
        <v>241</v>
      </c>
      <c r="GB58" s="7" t="s">
        <v>241</v>
      </c>
      <c r="GC58" s="6">
        <v>30</v>
      </c>
      <c r="GD58" s="348" t="s">
        <v>242</v>
      </c>
      <c r="GF58" s="6">
        <v>5.7999999999999996E-2</v>
      </c>
      <c r="GH58" s="7"/>
      <c r="GI58" s="441">
        <v>1.333</v>
      </c>
      <c r="GJ58" s="441">
        <v>2.5</v>
      </c>
      <c r="GK58" s="441">
        <v>4</v>
      </c>
      <c r="GL58" s="441">
        <v>10</v>
      </c>
      <c r="GM58" s="452" t="s">
        <v>262</v>
      </c>
      <c r="GN58" s="6">
        <v>0.2</v>
      </c>
      <c r="GO58" s="6">
        <v>0.375</v>
      </c>
      <c r="GP58" s="6">
        <v>0.6</v>
      </c>
      <c r="GQ58" s="6">
        <v>1.5</v>
      </c>
      <c r="GR58" s="6" t="s">
        <v>230</v>
      </c>
      <c r="GU58" t="s">
        <v>243</v>
      </c>
      <c r="GV58" t="s">
        <v>236</v>
      </c>
      <c r="GW58" t="s">
        <v>244</v>
      </c>
      <c r="GX58" t="s">
        <v>225</v>
      </c>
      <c r="GY58" t="s">
        <v>245</v>
      </c>
      <c r="GZ58" t="s">
        <v>376</v>
      </c>
      <c r="HB58" t="s">
        <v>376</v>
      </c>
      <c r="HE58" t="s">
        <v>247</v>
      </c>
      <c r="HF58" t="s">
        <v>249</v>
      </c>
      <c r="HG58" t="s">
        <v>231</v>
      </c>
      <c r="HH58" t="s">
        <v>225</v>
      </c>
      <c r="HI58" t="s">
        <v>247</v>
      </c>
      <c r="HJ58" t="s">
        <v>249</v>
      </c>
      <c r="HK58" t="s">
        <v>266</v>
      </c>
      <c r="HL58" t="s">
        <v>231</v>
      </c>
      <c r="HM58" t="s">
        <v>231</v>
      </c>
      <c r="HO58" t="s">
        <v>231</v>
      </c>
      <c r="HP58" t="s">
        <v>249</v>
      </c>
      <c r="HQ58" t="s">
        <v>231</v>
      </c>
      <c r="HR58" t="s">
        <v>249</v>
      </c>
      <c r="HU58" t="s">
        <v>231</v>
      </c>
      <c r="HV58" t="s">
        <v>223</v>
      </c>
      <c r="HW58" t="s">
        <v>246</v>
      </c>
      <c r="HX58" t="s">
        <v>236</v>
      </c>
      <c r="IA58" t="s">
        <v>231</v>
      </c>
      <c r="IB58" t="s">
        <v>250</v>
      </c>
      <c r="IC58">
        <v>1.333</v>
      </c>
      <c r="ID58">
        <v>2.5</v>
      </c>
      <c r="IE58">
        <v>4</v>
      </c>
      <c r="IF58">
        <v>10</v>
      </c>
      <c r="IH58" t="s">
        <v>267</v>
      </c>
    </row>
    <row r="59" spans="1:242" x14ac:dyDescent="0.35">
      <c r="A59" s="310" t="s">
        <v>616</v>
      </c>
      <c r="B59" s="313" t="s">
        <v>617</v>
      </c>
      <c r="C59" s="310" t="s">
        <v>618</v>
      </c>
      <c r="D59" s="316"/>
      <c r="F59" t="s">
        <v>619</v>
      </c>
      <c r="I59" s="310" t="s">
        <v>620</v>
      </c>
      <c r="M59" s="313" t="s">
        <v>220</v>
      </c>
      <c r="O59" t="s">
        <v>221</v>
      </c>
      <c r="P59" s="381"/>
      <c r="Q59" t="s">
        <v>221</v>
      </c>
      <c r="T59" s="8"/>
      <c r="U59"/>
      <c r="V59" s="313"/>
      <c r="W59" t="s">
        <v>220</v>
      </c>
      <c r="X59" t="s">
        <v>220</v>
      </c>
      <c r="Z59" t="s">
        <v>220</v>
      </c>
      <c r="AB59" t="s">
        <v>220</v>
      </c>
      <c r="AD59" s="8" t="s">
        <v>222</v>
      </c>
      <c r="AF59" s="8" t="s">
        <v>222</v>
      </c>
      <c r="AG59"/>
      <c r="AH59"/>
      <c r="AI59"/>
      <c r="AJ59" t="s">
        <v>221</v>
      </c>
      <c r="AK59">
        <v>0</v>
      </c>
      <c r="AL59">
        <v>1</v>
      </c>
      <c r="AM59" t="s">
        <v>221</v>
      </c>
      <c r="AN59" t="s">
        <v>249</v>
      </c>
      <c r="AO59" t="s">
        <v>221</v>
      </c>
      <c r="AP59"/>
      <c r="AQ59" t="s">
        <v>221</v>
      </c>
      <c r="AR59" t="s">
        <v>223</v>
      </c>
      <c r="AS59" t="s">
        <v>221</v>
      </c>
      <c r="AT59" t="s">
        <v>223</v>
      </c>
      <c r="AU59" t="s">
        <v>220</v>
      </c>
      <c r="AV59"/>
      <c r="AW59" s="313" t="s">
        <v>220</v>
      </c>
      <c r="AX59" t="s">
        <v>226</v>
      </c>
      <c r="AY59" s="313" t="s">
        <v>220</v>
      </c>
      <c r="AZ59" s="313">
        <v>7.46E-2</v>
      </c>
      <c r="BB59" s="313" t="s">
        <v>220</v>
      </c>
      <c r="BC59">
        <v>4.7600000000000003E-2</v>
      </c>
      <c r="BD59" t="s">
        <v>220</v>
      </c>
      <c r="BE59">
        <v>2.1000000000000001E-2</v>
      </c>
      <c r="BF59" s="2" t="s">
        <v>220</v>
      </c>
      <c r="BH59" s="2" t="s">
        <v>228</v>
      </c>
      <c r="BI59" s="2" t="s">
        <v>229</v>
      </c>
      <c r="BM59"/>
      <c r="BP59" s="8"/>
      <c r="BQ59" t="s">
        <v>230</v>
      </c>
      <c r="BR59" t="s">
        <v>222</v>
      </c>
      <c r="BU59" t="s">
        <v>317</v>
      </c>
      <c r="BV59" t="s">
        <v>236</v>
      </c>
      <c r="BW59" t="s">
        <v>232</v>
      </c>
      <c r="BX59" t="s">
        <v>284</v>
      </c>
      <c r="BY59" t="s">
        <v>220</v>
      </c>
      <c r="BZ59">
        <v>0.26600000000000001</v>
      </c>
      <c r="CA59" t="s">
        <v>234</v>
      </c>
      <c r="CF59" t="s">
        <v>220</v>
      </c>
      <c r="CG59">
        <v>5.6800000000000003E-2</v>
      </c>
      <c r="CH59" t="s">
        <v>220</v>
      </c>
      <c r="CI59">
        <v>2.69E-2</v>
      </c>
      <c r="CK59" t="s">
        <v>257</v>
      </c>
      <c r="CL59"/>
      <c r="CM59"/>
      <c r="CS59" s="8"/>
      <c r="CW59" t="s">
        <v>257</v>
      </c>
      <c r="CX59" t="s">
        <v>220</v>
      </c>
      <c r="CY59" t="s">
        <v>231</v>
      </c>
      <c r="CZ59" t="s">
        <v>220</v>
      </c>
      <c r="DA59" t="s">
        <v>220</v>
      </c>
      <c r="DB59" t="s">
        <v>220</v>
      </c>
      <c r="DC59" t="s">
        <v>257</v>
      </c>
      <c r="DD59" t="s">
        <v>257</v>
      </c>
      <c r="DE59"/>
      <c r="DF59"/>
      <c r="DG59"/>
      <c r="DH59" s="323"/>
      <c r="DI59" s="323"/>
      <c r="DJ59" s="323"/>
      <c r="DL59" t="s">
        <v>257</v>
      </c>
      <c r="DM59" t="s">
        <v>257</v>
      </c>
      <c r="DN59" t="s">
        <v>257</v>
      </c>
      <c r="DO59" t="s">
        <v>220</v>
      </c>
      <c r="DP59" t="s">
        <v>220</v>
      </c>
      <c r="DS59" s="309">
        <v>231.148</v>
      </c>
      <c r="DU59" s="309">
        <v>613.47</v>
      </c>
      <c r="DW59">
        <v>420</v>
      </c>
      <c r="DX59" t="s">
        <v>238</v>
      </c>
      <c r="DY59">
        <v>557</v>
      </c>
      <c r="DZ59" t="s">
        <v>238</v>
      </c>
      <c r="EA59">
        <v>60.95</v>
      </c>
      <c r="EB59">
        <v>2.4809999999999999</v>
      </c>
      <c r="ED59" s="410"/>
      <c r="EE59" s="1"/>
      <c r="EG59" s="410"/>
      <c r="EI59" s="410"/>
      <c r="EK59" s="1">
        <v>100</v>
      </c>
      <c r="EL59" s="8" t="s">
        <v>323</v>
      </c>
      <c r="EM59">
        <v>2.4809999999999999</v>
      </c>
      <c r="EQ59" s="344"/>
      <c r="EU59" s="344"/>
      <c r="EW59" s="409"/>
      <c r="EY59" s="1"/>
      <c r="FA59">
        <v>127.45</v>
      </c>
      <c r="FB59"/>
      <c r="FC59" s="7">
        <v>60.953689724016904</v>
      </c>
      <c r="FD59" s="357"/>
      <c r="FE59" s="8">
        <v>35.999792704335675</v>
      </c>
      <c r="FF59" t="s">
        <v>237</v>
      </c>
      <c r="FH59" s="9">
        <v>302.69134281013061</v>
      </c>
      <c r="FI59" s="9" t="s">
        <v>249</v>
      </c>
      <c r="FJ59">
        <v>198</v>
      </c>
      <c r="FK59" t="s">
        <v>238</v>
      </c>
      <c r="FL59">
        <v>155</v>
      </c>
      <c r="FM59">
        <v>105.9253725177289</v>
      </c>
      <c r="FN59" s="5" t="s">
        <v>237</v>
      </c>
      <c r="FP59" s="6">
        <v>25</v>
      </c>
      <c r="FQ59" t="s">
        <v>260</v>
      </c>
      <c r="FS59" t="s">
        <v>261</v>
      </c>
      <c r="FU59" s="8">
        <v>1</v>
      </c>
      <c r="FV59" s="8">
        <v>10</v>
      </c>
      <c r="FW59" s="8">
        <v>10</v>
      </c>
      <c r="FX59" s="8">
        <v>1</v>
      </c>
      <c r="FY59" s="8">
        <v>1</v>
      </c>
      <c r="FZ59">
        <f t="shared" si="0"/>
        <v>100</v>
      </c>
      <c r="GA59" s="7" t="s">
        <v>241</v>
      </c>
      <c r="GB59" s="7" t="s">
        <v>241</v>
      </c>
      <c r="GC59" s="6">
        <v>30</v>
      </c>
      <c r="GD59" s="348" t="s">
        <v>242</v>
      </c>
      <c r="GF59" s="6">
        <v>0.1513456714050653</v>
      </c>
      <c r="GH59" s="7"/>
      <c r="GI59" s="445"/>
      <c r="GJ59" s="445"/>
      <c r="GK59" s="445"/>
      <c r="GL59" s="445"/>
      <c r="GM59" s="453"/>
      <c r="GN59" s="6">
        <v>0.2</v>
      </c>
      <c r="GO59" s="6">
        <v>0.375</v>
      </c>
      <c r="GP59" s="6">
        <v>0.6</v>
      </c>
      <c r="GQ59" s="6">
        <v>1.5</v>
      </c>
      <c r="GR59" s="6" t="s">
        <v>230</v>
      </c>
      <c r="GT59" t="s">
        <v>621</v>
      </c>
      <c r="GU59" t="s">
        <v>243</v>
      </c>
      <c r="GV59" t="s">
        <v>236</v>
      </c>
      <c r="GW59" t="s">
        <v>622</v>
      </c>
      <c r="GY59" t="s">
        <v>623</v>
      </c>
      <c r="GZ59" t="s">
        <v>376</v>
      </c>
      <c r="HB59" t="s">
        <v>376</v>
      </c>
      <c r="HE59" t="s">
        <v>247</v>
      </c>
      <c r="HF59" t="s">
        <v>249</v>
      </c>
      <c r="HG59" t="s">
        <v>231</v>
      </c>
      <c r="HH59" t="s">
        <v>223</v>
      </c>
      <c r="HI59" t="s">
        <v>247</v>
      </c>
      <c r="HJ59" t="s">
        <v>249</v>
      </c>
      <c r="HK59" t="s">
        <v>266</v>
      </c>
      <c r="HL59" t="s">
        <v>231</v>
      </c>
      <c r="HM59" t="s">
        <v>231</v>
      </c>
      <c r="HO59" t="s">
        <v>231</v>
      </c>
      <c r="HP59" t="s">
        <v>249</v>
      </c>
      <c r="HQ59" t="s">
        <v>231</v>
      </c>
      <c r="HR59" t="s">
        <v>249</v>
      </c>
      <c r="HS59" t="s">
        <v>231</v>
      </c>
      <c r="HU59" t="s">
        <v>231</v>
      </c>
      <c r="HV59" t="s">
        <v>249</v>
      </c>
      <c r="HW59" t="s">
        <v>506</v>
      </c>
      <c r="HX59" t="s">
        <v>225</v>
      </c>
      <c r="IA59" t="s">
        <v>231</v>
      </c>
      <c r="IB59" t="s">
        <v>250</v>
      </c>
      <c r="IC59" s="447"/>
      <c r="ID59" s="447"/>
      <c r="IE59" s="447"/>
      <c r="IF59" s="447"/>
      <c r="IH59" t="s">
        <v>235</v>
      </c>
    </row>
    <row r="60" spans="1:242" x14ac:dyDescent="0.35">
      <c r="A60" s="310" t="s">
        <v>624</v>
      </c>
      <c r="B60" s="313" t="s">
        <v>625</v>
      </c>
      <c r="C60" s="310" t="s">
        <v>626</v>
      </c>
      <c r="D60" s="316"/>
      <c r="F60" t="s">
        <v>627</v>
      </c>
      <c r="I60" s="310" t="s">
        <v>628</v>
      </c>
      <c r="M60" s="313"/>
      <c r="O60" t="s">
        <v>221</v>
      </c>
      <c r="P60" s="381"/>
      <c r="Q60" t="s">
        <v>221</v>
      </c>
      <c r="T60" s="8"/>
      <c r="U60" t="s">
        <v>221</v>
      </c>
      <c r="V60" s="313"/>
      <c r="W60" t="s">
        <v>220</v>
      </c>
      <c r="X60" t="s">
        <v>220</v>
      </c>
      <c r="Z60" t="s">
        <v>220</v>
      </c>
      <c r="AB60"/>
      <c r="AD60" s="8" t="s">
        <v>222</v>
      </c>
      <c r="AF60" s="8" t="s">
        <v>222</v>
      </c>
      <c r="AG60"/>
      <c r="AH60"/>
      <c r="AI60"/>
      <c r="AJ60" t="s">
        <v>221</v>
      </c>
      <c r="AK60">
        <v>0</v>
      </c>
      <c r="AL60">
        <v>1</v>
      </c>
      <c r="AM60" t="s">
        <v>221</v>
      </c>
      <c r="AN60" t="s">
        <v>249</v>
      </c>
      <c r="AO60" t="s">
        <v>221</v>
      </c>
      <c r="AP60"/>
      <c r="AQ60" t="s">
        <v>221</v>
      </c>
      <c r="AR60" t="s">
        <v>223</v>
      </c>
      <c r="AS60" t="s">
        <v>221</v>
      </c>
      <c r="AT60"/>
      <c r="AU60" t="s">
        <v>220</v>
      </c>
      <c r="AV60"/>
      <c r="AW60" s="313" t="s">
        <v>220</v>
      </c>
      <c r="AX60" t="s">
        <v>226</v>
      </c>
      <c r="AY60" s="313" t="s">
        <v>220</v>
      </c>
      <c r="AZ60" s="313">
        <v>2.3699999999999999E-2</v>
      </c>
      <c r="BB60" s="313" t="s">
        <v>220</v>
      </c>
      <c r="BC60">
        <v>1.52E-2</v>
      </c>
      <c r="BD60" t="s">
        <v>220</v>
      </c>
      <c r="BE60">
        <v>1.7899999999999999E-2</v>
      </c>
      <c r="BF60" s="2" t="s">
        <v>220</v>
      </c>
      <c r="BH60" s="2" t="s">
        <v>228</v>
      </c>
      <c r="BI60" s="2" t="s">
        <v>229</v>
      </c>
      <c r="BM60"/>
      <c r="BP60" s="8"/>
      <c r="BQ60" t="s">
        <v>230</v>
      </c>
      <c r="BR60" t="s">
        <v>230</v>
      </c>
      <c r="BU60" t="s">
        <v>231</v>
      </c>
      <c r="BV60" t="s">
        <v>223</v>
      </c>
      <c r="BW60" t="s">
        <v>232</v>
      </c>
      <c r="BX60" t="s">
        <v>284</v>
      </c>
      <c r="BY60" t="s">
        <v>220</v>
      </c>
      <c r="BZ60">
        <v>0.191</v>
      </c>
      <c r="CA60" t="s">
        <v>234</v>
      </c>
      <c r="CF60" t="s">
        <v>220</v>
      </c>
      <c r="CG60">
        <v>9.2999999999999999E-2</v>
      </c>
      <c r="CH60" t="s">
        <v>220</v>
      </c>
      <c r="CI60">
        <v>4.3299999999999998E-2</v>
      </c>
      <c r="CK60"/>
      <c r="CL60"/>
      <c r="CM60"/>
      <c r="CS60" s="8"/>
      <c r="CW60" t="s">
        <v>220</v>
      </c>
      <c r="CX60" t="s">
        <v>220</v>
      </c>
      <c r="CY60" t="s">
        <v>231</v>
      </c>
      <c r="CZ60" t="s">
        <v>220</v>
      </c>
      <c r="DA60" t="s">
        <v>220</v>
      </c>
      <c r="DB60" t="s">
        <v>220</v>
      </c>
      <c r="DC60"/>
      <c r="DD60"/>
      <c r="DE60"/>
      <c r="DF60"/>
      <c r="DG60"/>
      <c r="DH60" s="323"/>
      <c r="DI60" s="323"/>
      <c r="DJ60" s="323"/>
      <c r="DL60" t="s">
        <v>257</v>
      </c>
      <c r="DM60" t="s">
        <v>220</v>
      </c>
      <c r="DN60" t="s">
        <v>257</v>
      </c>
      <c r="DO60" t="s">
        <v>220</v>
      </c>
      <c r="DP60" t="s">
        <v>257</v>
      </c>
      <c r="DS60" s="309">
        <v>220.25</v>
      </c>
      <c r="DU60" s="309">
        <v>597.42399999999998</v>
      </c>
      <c r="DW60">
        <v>60.9</v>
      </c>
      <c r="DX60" t="s">
        <v>238</v>
      </c>
      <c r="DY60">
        <v>592</v>
      </c>
      <c r="DZ60" t="s">
        <v>238</v>
      </c>
      <c r="EA60"/>
      <c r="EB60"/>
      <c r="ED60" s="410"/>
      <c r="EE60" s="1"/>
      <c r="EG60" s="410"/>
      <c r="EI60" s="410"/>
      <c r="EK60" s="1">
        <v>1000</v>
      </c>
      <c r="EL60" s="8" t="s">
        <v>323</v>
      </c>
      <c r="EM60"/>
      <c r="EQ60" s="344"/>
      <c r="EU60" s="344"/>
      <c r="EW60" s="409"/>
      <c r="EY60" s="1"/>
      <c r="FA60">
        <v>155.33000000000001</v>
      </c>
      <c r="FB60" t="s">
        <v>225</v>
      </c>
      <c r="FC60" s="7">
        <v>192.44206125416986</v>
      </c>
      <c r="FD60" s="357" t="s">
        <v>225</v>
      </c>
      <c r="FE60" s="8">
        <v>44.391518378955134</v>
      </c>
      <c r="FF60" t="s">
        <v>237</v>
      </c>
      <c r="FH60" s="9">
        <v>244.73720730672551</v>
      </c>
      <c r="FI60" s="9" t="s">
        <v>225</v>
      </c>
      <c r="FJ60">
        <v>185</v>
      </c>
      <c r="FK60" t="s">
        <v>238</v>
      </c>
      <c r="FL60">
        <v>228</v>
      </c>
      <c r="FM60">
        <v>173.22078404288266</v>
      </c>
      <c r="FN60" s="5" t="s">
        <v>237</v>
      </c>
      <c r="FP60" s="6">
        <v>1000</v>
      </c>
      <c r="FQ60" t="s">
        <v>260</v>
      </c>
      <c r="FS60" t="s">
        <v>261</v>
      </c>
      <c r="FU60" s="8">
        <v>1</v>
      </c>
      <c r="FV60" s="8">
        <v>10</v>
      </c>
      <c r="FW60" s="8">
        <v>10</v>
      </c>
      <c r="FX60" s="8">
        <v>1</v>
      </c>
      <c r="FY60" s="8">
        <v>1</v>
      </c>
      <c r="FZ60">
        <f t="shared" si="0"/>
        <v>100</v>
      </c>
      <c r="GA60" s="7" t="s">
        <v>241</v>
      </c>
      <c r="GB60" s="7" t="s">
        <v>241</v>
      </c>
      <c r="GC60" s="6">
        <v>30</v>
      </c>
      <c r="GD60" s="348" t="s">
        <v>242</v>
      </c>
      <c r="GF60" s="6">
        <v>0.12236860365336275</v>
      </c>
      <c r="GH60" s="7"/>
      <c r="GI60" s="441"/>
      <c r="GJ60" s="441"/>
      <c r="GK60" s="441"/>
      <c r="GL60" s="441"/>
      <c r="GM60" s="454"/>
      <c r="GN60" s="441"/>
      <c r="GO60" s="441"/>
      <c r="GP60" s="441"/>
      <c r="GQ60" s="441"/>
      <c r="GR60" s="441"/>
      <c r="GS60" s="441"/>
      <c r="GT60" s="441"/>
      <c r="GU60" s="441"/>
      <c r="GV60" s="441"/>
      <c r="GW60" s="441"/>
      <c r="GX60" s="441"/>
      <c r="GY60" s="441"/>
      <c r="GZ60" s="441"/>
      <c r="HA60" s="441"/>
      <c r="HB60" s="441"/>
      <c r="HC60" s="441"/>
      <c r="HD60" s="441"/>
      <c r="HE60" s="441"/>
      <c r="HF60" s="441"/>
      <c r="HG60" s="441"/>
      <c r="HH60" s="441"/>
      <c r="HI60" s="441"/>
      <c r="HJ60" s="441"/>
      <c r="HK60" s="441"/>
      <c r="HL60" s="441"/>
      <c r="HM60" s="441"/>
      <c r="HN60" s="441"/>
      <c r="HO60" s="441"/>
      <c r="HP60" s="441"/>
      <c r="HQ60" s="441"/>
      <c r="HR60" s="441"/>
      <c r="HS60" s="441"/>
      <c r="HT60" s="441"/>
      <c r="HU60" s="441"/>
      <c r="HV60" s="441"/>
      <c r="HW60" s="441"/>
      <c r="HX60" s="441"/>
      <c r="HY60" s="441"/>
      <c r="HZ60" s="441"/>
      <c r="IA60" s="441"/>
      <c r="IB60" s="441"/>
      <c r="IC60" s="441"/>
      <c r="ID60" s="441"/>
      <c r="IE60" s="441"/>
      <c r="IF60" s="441"/>
      <c r="IH60" t="s">
        <v>235</v>
      </c>
    </row>
    <row r="61" spans="1:242" x14ac:dyDescent="0.35">
      <c r="A61" s="310" t="s">
        <v>537</v>
      </c>
      <c r="B61" s="313" t="s">
        <v>629</v>
      </c>
      <c r="C61" s="310" t="s">
        <v>630</v>
      </c>
      <c r="D61" s="316"/>
      <c r="F61" t="s">
        <v>631</v>
      </c>
      <c r="I61" s="310" t="s">
        <v>632</v>
      </c>
      <c r="M61" s="313"/>
      <c r="O61"/>
      <c r="P61" s="381"/>
      <c r="Q61"/>
      <c r="T61" s="8"/>
      <c r="U61"/>
      <c r="V61" s="313"/>
      <c r="W61"/>
      <c r="X61"/>
      <c r="Z61"/>
      <c r="AB61"/>
      <c r="AD61" s="8" t="s">
        <v>230</v>
      </c>
      <c r="AF61" s="8" t="s">
        <v>230</v>
      </c>
      <c r="AG61"/>
      <c r="AH61"/>
      <c r="AI61"/>
      <c r="AJ61" t="s">
        <v>221</v>
      </c>
      <c r="AK61">
        <v>0</v>
      </c>
      <c r="AL61">
        <v>0.6</v>
      </c>
      <c r="AM61" t="s">
        <v>221</v>
      </c>
      <c r="AN61" t="s">
        <v>225</v>
      </c>
      <c r="AO61" t="s">
        <v>221</v>
      </c>
      <c r="AP61" t="s">
        <v>225</v>
      </c>
      <c r="AQ61" t="s">
        <v>221</v>
      </c>
      <c r="AR61" t="s">
        <v>225</v>
      </c>
      <c r="AS61" t="s">
        <v>221</v>
      </c>
      <c r="AT61" t="s">
        <v>225</v>
      </c>
      <c r="AU61" t="s">
        <v>220</v>
      </c>
      <c r="AV61"/>
      <c r="AW61" s="313" t="s">
        <v>220</v>
      </c>
      <c r="AX61" t="s">
        <v>226</v>
      </c>
      <c r="AY61" s="313" t="s">
        <v>220</v>
      </c>
      <c r="AZ61" s="313">
        <v>0.28899999999999998</v>
      </c>
      <c r="BB61" s="313" t="s">
        <v>220</v>
      </c>
      <c r="BC61">
        <v>0.17299999999999999</v>
      </c>
      <c r="BD61" t="s">
        <v>220</v>
      </c>
      <c r="BE61">
        <v>7.6399999999999996E-2</v>
      </c>
      <c r="BF61" s="2" t="s">
        <v>220</v>
      </c>
      <c r="BG61" s="2" t="s">
        <v>273</v>
      </c>
      <c r="BH61" s="2" t="s">
        <v>274</v>
      </c>
      <c r="BI61" s="2" t="s">
        <v>275</v>
      </c>
      <c r="BM61"/>
      <c r="BP61" s="8"/>
      <c r="BQ61" t="s">
        <v>230</v>
      </c>
      <c r="BR61" t="s">
        <v>230</v>
      </c>
      <c r="BU61" t="s">
        <v>293</v>
      </c>
      <c r="BV61" t="s">
        <v>236</v>
      </c>
      <c r="BW61" t="s">
        <v>232</v>
      </c>
      <c r="BX61" t="s">
        <v>500</v>
      </c>
      <c r="BY61" t="s">
        <v>257</v>
      </c>
      <c r="BZ61">
        <v>0.626</v>
      </c>
      <c r="CA61" t="s">
        <v>372</v>
      </c>
      <c r="CF61" t="s">
        <v>220</v>
      </c>
      <c r="CG61">
        <v>0.254</v>
      </c>
      <c r="CH61" t="s">
        <v>257</v>
      </c>
      <c r="CI61">
        <v>0.58299999999999996</v>
      </c>
      <c r="CK61"/>
      <c r="CL61"/>
      <c r="CM61"/>
      <c r="CS61" s="8"/>
      <c r="CW61" t="s">
        <v>227</v>
      </c>
      <c r="CX61" t="s">
        <v>257</v>
      </c>
      <c r="CY61" t="s">
        <v>317</v>
      </c>
      <c r="CZ61" t="s">
        <v>227</v>
      </c>
      <c r="DA61" t="s">
        <v>227</v>
      </c>
      <c r="DB61" t="s">
        <v>227</v>
      </c>
      <c r="DC61"/>
      <c r="DD61"/>
      <c r="DE61"/>
      <c r="DF61"/>
      <c r="DG61"/>
      <c r="DH61" s="323"/>
      <c r="DI61" s="323"/>
      <c r="DJ61" s="323"/>
      <c r="DL61" t="s">
        <v>257</v>
      </c>
      <c r="DM61" t="s">
        <v>220</v>
      </c>
      <c r="DN61" t="s">
        <v>227</v>
      </c>
      <c r="DO61" t="s">
        <v>227</v>
      </c>
      <c r="DP61" t="s">
        <v>227</v>
      </c>
      <c r="DS61" s="338">
        <v>4.3999999999999997E-2</v>
      </c>
      <c r="DT61" s="8" t="s">
        <v>394</v>
      </c>
      <c r="DU61" s="338">
        <v>1222.191</v>
      </c>
      <c r="DV61" s="8" t="s">
        <v>394</v>
      </c>
      <c r="DW61"/>
      <c r="DX61" t="s">
        <v>235</v>
      </c>
      <c r="DY61"/>
      <c r="DZ61" t="s">
        <v>235</v>
      </c>
      <c r="EA61"/>
      <c r="EB61"/>
      <c r="ED61" s="410"/>
      <c r="EE61" s="1"/>
      <c r="EG61" s="410"/>
      <c r="EI61" s="410"/>
      <c r="EK61" s="1"/>
      <c r="EM61"/>
      <c r="EQ61" s="344"/>
      <c r="EU61" s="344"/>
      <c r="EW61" s="409"/>
      <c r="EY61" s="1"/>
      <c r="FA61">
        <v>17121.009999999998</v>
      </c>
      <c r="FB61" t="s">
        <v>236</v>
      </c>
      <c r="FC61" s="7">
        <v>772.14702056451404</v>
      </c>
      <c r="FD61" s="357" t="s">
        <v>236</v>
      </c>
      <c r="FE61" s="8">
        <v>235017.39060913891</v>
      </c>
      <c r="FF61" t="s">
        <v>237</v>
      </c>
      <c r="FH61" s="9">
        <v>570033.00221896113</v>
      </c>
      <c r="FI61" s="9" t="s">
        <v>236</v>
      </c>
      <c r="FK61" t="s">
        <v>235</v>
      </c>
      <c r="FL61">
        <v>901</v>
      </c>
      <c r="FM61">
        <v>721605.77466785361</v>
      </c>
      <c r="FN61" s="5" t="s">
        <v>237</v>
      </c>
      <c r="FP61" s="6">
        <v>90.1</v>
      </c>
      <c r="FQ61" t="s">
        <v>239</v>
      </c>
      <c r="FS61" t="s">
        <v>240</v>
      </c>
      <c r="FU61" s="8">
        <v>1</v>
      </c>
      <c r="FV61" s="8">
        <v>10</v>
      </c>
      <c r="FW61" s="8">
        <v>10</v>
      </c>
      <c r="FX61" s="8">
        <v>10</v>
      </c>
      <c r="FY61" s="8">
        <v>3</v>
      </c>
      <c r="FZ61">
        <f t="shared" si="0"/>
        <v>3000</v>
      </c>
      <c r="GA61" s="7" t="s">
        <v>241</v>
      </c>
      <c r="GB61" s="7" t="s">
        <v>241</v>
      </c>
      <c r="GC61" s="6">
        <v>30</v>
      </c>
      <c r="GD61" s="348" t="s">
        <v>242</v>
      </c>
      <c r="GF61" s="6">
        <v>0.30033333333333334</v>
      </c>
      <c r="GH61" s="7"/>
      <c r="GI61" s="441" t="s">
        <v>395</v>
      </c>
      <c r="GJ61" s="441" t="s">
        <v>395</v>
      </c>
      <c r="GK61" s="441" t="s">
        <v>395</v>
      </c>
      <c r="GL61" s="441" t="s">
        <v>395</v>
      </c>
      <c r="GM61" s="452" t="s">
        <v>552</v>
      </c>
      <c r="GN61" s="6">
        <v>0.2</v>
      </c>
      <c r="GO61" s="6">
        <v>0.375</v>
      </c>
      <c r="GP61" s="6">
        <v>0.6</v>
      </c>
      <c r="GQ61" s="6">
        <v>1.5</v>
      </c>
      <c r="GR61" s="6" t="s">
        <v>230</v>
      </c>
      <c r="GU61" t="s">
        <v>243</v>
      </c>
      <c r="GV61" t="s">
        <v>236</v>
      </c>
      <c r="GW61" t="s">
        <v>244</v>
      </c>
      <c r="GX61" t="s">
        <v>236</v>
      </c>
      <c r="GY61" t="s">
        <v>245</v>
      </c>
      <c r="HE61" t="s">
        <v>384</v>
      </c>
      <c r="HF61" t="s">
        <v>223</v>
      </c>
      <c r="HG61" t="s">
        <v>231</v>
      </c>
      <c r="HH61" t="s">
        <v>225</v>
      </c>
      <c r="HI61" t="s">
        <v>247</v>
      </c>
      <c r="HJ61" t="s">
        <v>225</v>
      </c>
      <c r="HK61" t="s">
        <v>568</v>
      </c>
      <c r="HO61" t="s">
        <v>231</v>
      </c>
      <c r="HP61" t="s">
        <v>223</v>
      </c>
      <c r="HQ61" t="s">
        <v>231</v>
      </c>
      <c r="HR61" t="s">
        <v>223</v>
      </c>
      <c r="HU61" t="s">
        <v>231</v>
      </c>
      <c r="HV61" t="s">
        <v>223</v>
      </c>
      <c r="HW61" t="s">
        <v>563</v>
      </c>
      <c r="HX61" t="s">
        <v>236</v>
      </c>
      <c r="IA61" t="s">
        <v>231</v>
      </c>
      <c r="IB61" t="s">
        <v>250</v>
      </c>
      <c r="IC61" t="s">
        <v>395</v>
      </c>
      <c r="ID61" t="s">
        <v>395</v>
      </c>
      <c r="IE61" t="s">
        <v>395</v>
      </c>
      <c r="IF61" t="s">
        <v>395</v>
      </c>
      <c r="IH61" t="s">
        <v>235</v>
      </c>
    </row>
    <row r="62" spans="1:242" x14ac:dyDescent="0.35">
      <c r="A62" s="310" t="s">
        <v>537</v>
      </c>
      <c r="B62" s="313" t="s">
        <v>633</v>
      </c>
      <c r="C62" s="310" t="s">
        <v>634</v>
      </c>
      <c r="D62" s="316"/>
      <c r="F62" t="s">
        <v>635</v>
      </c>
      <c r="I62" s="310" t="s">
        <v>636</v>
      </c>
      <c r="M62" s="313"/>
      <c r="O62"/>
      <c r="P62" s="381"/>
      <c r="Q62"/>
      <c r="T62" s="8"/>
      <c r="U62"/>
      <c r="V62" s="313"/>
      <c r="W62"/>
      <c r="X62"/>
      <c r="Z62"/>
      <c r="AB62"/>
      <c r="AD62" s="8" t="s">
        <v>230</v>
      </c>
      <c r="AF62" s="8" t="s">
        <v>230</v>
      </c>
      <c r="AG62"/>
      <c r="AH62"/>
      <c r="AI62"/>
      <c r="AJ62" t="s">
        <v>221</v>
      </c>
      <c r="AK62">
        <v>0</v>
      </c>
      <c r="AL62">
        <v>0.6</v>
      </c>
      <c r="AM62" t="s">
        <v>221</v>
      </c>
      <c r="AN62" t="s">
        <v>225</v>
      </c>
      <c r="AO62" t="s">
        <v>221</v>
      </c>
      <c r="AP62" t="s">
        <v>225</v>
      </c>
      <c r="AQ62" t="s">
        <v>221</v>
      </c>
      <c r="AR62" t="s">
        <v>225</v>
      </c>
      <c r="AS62" t="s">
        <v>221</v>
      </c>
      <c r="AT62" t="s">
        <v>225</v>
      </c>
      <c r="AU62" t="s">
        <v>220</v>
      </c>
      <c r="AV62"/>
      <c r="AW62" s="313" t="s">
        <v>220</v>
      </c>
      <c r="AX62" t="s">
        <v>226</v>
      </c>
      <c r="AY62" s="313" t="s">
        <v>220</v>
      </c>
      <c r="AZ62" s="313">
        <v>0.28999999999999998</v>
      </c>
      <c r="BB62" s="313" t="s">
        <v>220</v>
      </c>
      <c r="BC62">
        <v>0.17499999999999999</v>
      </c>
      <c r="BD62" t="s">
        <v>220</v>
      </c>
      <c r="BE62">
        <v>7.6100000000000001E-2</v>
      </c>
      <c r="BF62" s="2" t="s">
        <v>220</v>
      </c>
      <c r="BG62" s="2" t="s">
        <v>273</v>
      </c>
      <c r="BH62" s="2" t="s">
        <v>274</v>
      </c>
      <c r="BI62" s="2" t="s">
        <v>275</v>
      </c>
      <c r="BM62"/>
      <c r="BP62" s="8"/>
      <c r="BQ62" t="s">
        <v>230</v>
      </c>
      <c r="BR62" t="s">
        <v>230</v>
      </c>
      <c r="BU62" t="s">
        <v>293</v>
      </c>
      <c r="BV62" t="s">
        <v>236</v>
      </c>
      <c r="BW62" t="s">
        <v>232</v>
      </c>
      <c r="BX62" t="s">
        <v>500</v>
      </c>
      <c r="BY62" t="s">
        <v>257</v>
      </c>
      <c r="BZ62">
        <v>0.625</v>
      </c>
      <c r="CA62" t="s">
        <v>372</v>
      </c>
      <c r="CF62" t="s">
        <v>220</v>
      </c>
      <c r="CG62">
        <v>0.23200000000000001</v>
      </c>
      <c r="CH62" t="s">
        <v>257</v>
      </c>
      <c r="CI62">
        <v>0.57799999999999996</v>
      </c>
      <c r="CK62"/>
      <c r="CL62"/>
      <c r="CM62"/>
      <c r="CS62" s="8"/>
      <c r="CW62" t="s">
        <v>227</v>
      </c>
      <c r="CX62" t="s">
        <v>257</v>
      </c>
      <c r="CY62" t="s">
        <v>317</v>
      </c>
      <c r="CZ62" t="s">
        <v>227</v>
      </c>
      <c r="DA62" t="s">
        <v>227</v>
      </c>
      <c r="DB62" t="s">
        <v>227</v>
      </c>
      <c r="DC62"/>
      <c r="DD62"/>
      <c r="DE62"/>
      <c r="DF62"/>
      <c r="DG62"/>
      <c r="DH62" s="323"/>
      <c r="DI62" s="323"/>
      <c r="DJ62" s="323"/>
      <c r="DL62" t="s">
        <v>257</v>
      </c>
      <c r="DM62" t="s">
        <v>220</v>
      </c>
      <c r="DN62" t="s">
        <v>227</v>
      </c>
      <c r="DO62" t="s">
        <v>227</v>
      </c>
      <c r="DP62" t="s">
        <v>227</v>
      </c>
      <c r="DS62" s="338">
        <v>3.9E-2</v>
      </c>
      <c r="DT62" s="8" t="s">
        <v>394</v>
      </c>
      <c r="DU62" s="338">
        <v>1377.2070000000001</v>
      </c>
      <c r="DV62" s="8" t="s">
        <v>394</v>
      </c>
      <c r="DW62"/>
      <c r="DX62" t="s">
        <v>235</v>
      </c>
      <c r="DY62"/>
      <c r="DZ62" t="s">
        <v>235</v>
      </c>
      <c r="EA62"/>
      <c r="EB62"/>
      <c r="ED62" s="410"/>
      <c r="EE62" s="1"/>
      <c r="EG62" s="410"/>
      <c r="EI62" s="410"/>
      <c r="EK62" s="1"/>
      <c r="EM62"/>
      <c r="EQ62" s="344"/>
      <c r="EU62" s="344"/>
      <c r="EW62" s="409"/>
      <c r="EY62" s="1"/>
      <c r="FA62">
        <v>28726.23</v>
      </c>
      <c r="FB62" t="s">
        <v>236</v>
      </c>
      <c r="FC62" s="7">
        <v>960.28467920938192</v>
      </c>
      <c r="FD62" s="357" t="s">
        <v>236</v>
      </c>
      <c r="FE62" s="8">
        <v>449055.47935551807</v>
      </c>
      <c r="FF62" t="s">
        <v>237</v>
      </c>
      <c r="FH62" s="9">
        <v>1268527.8312575745</v>
      </c>
      <c r="FI62" s="9" t="s">
        <v>236</v>
      </c>
      <c r="FK62" t="s">
        <v>235</v>
      </c>
      <c r="FL62">
        <v>1130</v>
      </c>
      <c r="FM62">
        <v>1462850.6869998532</v>
      </c>
      <c r="FN62" s="5" t="s">
        <v>237</v>
      </c>
      <c r="FP62" s="6">
        <v>113</v>
      </c>
      <c r="FQ62" t="s">
        <v>239</v>
      </c>
      <c r="FS62" t="s">
        <v>240</v>
      </c>
      <c r="FU62" s="8">
        <v>1</v>
      </c>
      <c r="FV62" s="8">
        <v>10</v>
      </c>
      <c r="FW62" s="8">
        <v>10</v>
      </c>
      <c r="FX62" s="8">
        <v>10</v>
      </c>
      <c r="FY62" s="8">
        <v>3</v>
      </c>
      <c r="FZ62">
        <f t="shared" si="0"/>
        <v>3000</v>
      </c>
      <c r="GA62" s="7" t="s">
        <v>241</v>
      </c>
      <c r="GB62" s="7" t="s">
        <v>241</v>
      </c>
      <c r="GC62" s="6">
        <v>30</v>
      </c>
      <c r="GD62" s="348" t="s">
        <v>242</v>
      </c>
      <c r="GF62" s="6">
        <v>0.37666666666666665</v>
      </c>
      <c r="GH62" s="7"/>
      <c r="GI62" s="441" t="s">
        <v>395</v>
      </c>
      <c r="GJ62" s="441" t="s">
        <v>395</v>
      </c>
      <c r="GK62" s="441" t="s">
        <v>395</v>
      </c>
      <c r="GL62" s="441" t="s">
        <v>395</v>
      </c>
      <c r="GM62" s="452" t="s">
        <v>552</v>
      </c>
      <c r="GN62" s="6">
        <v>0.2</v>
      </c>
      <c r="GO62" s="6">
        <v>0.375</v>
      </c>
      <c r="GP62" s="6">
        <v>0.6</v>
      </c>
      <c r="GQ62" s="6">
        <v>1.5</v>
      </c>
      <c r="GR62" s="6" t="s">
        <v>230</v>
      </c>
      <c r="GU62" t="s">
        <v>243</v>
      </c>
      <c r="GV62" t="s">
        <v>236</v>
      </c>
      <c r="GW62" t="s">
        <v>244</v>
      </c>
      <c r="GX62" t="s">
        <v>236</v>
      </c>
      <c r="GY62" t="s">
        <v>245</v>
      </c>
      <c r="HE62" t="s">
        <v>384</v>
      </c>
      <c r="HF62" t="s">
        <v>223</v>
      </c>
      <c r="HG62" t="s">
        <v>231</v>
      </c>
      <c r="HH62" t="s">
        <v>225</v>
      </c>
      <c r="HI62" t="s">
        <v>247</v>
      </c>
      <c r="HJ62" t="s">
        <v>225</v>
      </c>
      <c r="HK62" t="s">
        <v>568</v>
      </c>
      <c r="HO62" t="s">
        <v>231</v>
      </c>
      <c r="HP62" t="s">
        <v>223</v>
      </c>
      <c r="HQ62" t="s">
        <v>231</v>
      </c>
      <c r="HR62" t="s">
        <v>223</v>
      </c>
      <c r="HU62" t="s">
        <v>231</v>
      </c>
      <c r="HV62" t="s">
        <v>223</v>
      </c>
      <c r="HW62" t="s">
        <v>563</v>
      </c>
      <c r="HX62" t="s">
        <v>236</v>
      </c>
      <c r="IA62" t="s">
        <v>231</v>
      </c>
      <c r="IB62" t="s">
        <v>250</v>
      </c>
      <c r="IC62" t="s">
        <v>395</v>
      </c>
      <c r="ID62" t="s">
        <v>395</v>
      </c>
      <c r="IE62" t="s">
        <v>395</v>
      </c>
      <c r="IF62" t="s">
        <v>395</v>
      </c>
      <c r="IH62" t="s">
        <v>235</v>
      </c>
    </row>
    <row r="63" spans="1:242" x14ac:dyDescent="0.35">
      <c r="A63" s="310" t="s">
        <v>537</v>
      </c>
      <c r="B63" s="313" t="s">
        <v>637</v>
      </c>
      <c r="C63" s="310" t="s">
        <v>638</v>
      </c>
      <c r="D63" s="316"/>
      <c r="F63" t="s">
        <v>639</v>
      </c>
      <c r="I63" s="310" t="s">
        <v>640</v>
      </c>
      <c r="M63" s="313"/>
      <c r="O63"/>
      <c r="P63" s="381"/>
      <c r="Q63"/>
      <c r="T63" s="8"/>
      <c r="U63"/>
      <c r="V63" s="313"/>
      <c r="W63"/>
      <c r="X63"/>
      <c r="Z63"/>
      <c r="AB63"/>
      <c r="AD63" s="8" t="s">
        <v>230</v>
      </c>
      <c r="AF63" s="8" t="s">
        <v>230</v>
      </c>
      <c r="AG63"/>
      <c r="AH63"/>
      <c r="AI63"/>
      <c r="AJ63" t="s">
        <v>221</v>
      </c>
      <c r="AK63">
        <v>0</v>
      </c>
      <c r="AL63">
        <v>0.6</v>
      </c>
      <c r="AM63" t="s">
        <v>221</v>
      </c>
      <c r="AN63" t="s">
        <v>225</v>
      </c>
      <c r="AO63" t="s">
        <v>221</v>
      </c>
      <c r="AP63" t="s">
        <v>225</v>
      </c>
      <c r="AQ63" t="s">
        <v>221</v>
      </c>
      <c r="AR63" t="s">
        <v>225</v>
      </c>
      <c r="AS63" t="s">
        <v>221</v>
      </c>
      <c r="AT63" t="s">
        <v>225</v>
      </c>
      <c r="AU63" t="s">
        <v>220</v>
      </c>
      <c r="AV63"/>
      <c r="AW63" s="313" t="s">
        <v>220</v>
      </c>
      <c r="AX63" t="s">
        <v>226</v>
      </c>
      <c r="AY63" s="313" t="s">
        <v>220</v>
      </c>
      <c r="AZ63" s="313">
        <v>0.28999999999999998</v>
      </c>
      <c r="BB63" s="313" t="s">
        <v>220</v>
      </c>
      <c r="BC63">
        <v>0.17699999999999999</v>
      </c>
      <c r="BD63" t="s">
        <v>220</v>
      </c>
      <c r="BE63">
        <v>7.5899999999999995E-2</v>
      </c>
      <c r="BF63" s="2" t="s">
        <v>220</v>
      </c>
      <c r="BG63" s="2" t="s">
        <v>273</v>
      </c>
      <c r="BH63" s="2" t="s">
        <v>274</v>
      </c>
      <c r="BI63" s="2" t="s">
        <v>275</v>
      </c>
      <c r="BM63"/>
      <c r="BP63" s="8"/>
      <c r="BQ63" t="s">
        <v>230</v>
      </c>
      <c r="BR63" t="s">
        <v>230</v>
      </c>
      <c r="BU63" t="s">
        <v>293</v>
      </c>
      <c r="BV63" t="s">
        <v>236</v>
      </c>
      <c r="BW63" t="s">
        <v>232</v>
      </c>
      <c r="BX63" t="s">
        <v>500</v>
      </c>
      <c r="BY63" t="s">
        <v>257</v>
      </c>
      <c r="BZ63">
        <v>0.624</v>
      </c>
      <c r="CA63" t="s">
        <v>372</v>
      </c>
      <c r="CF63" t="s">
        <v>220</v>
      </c>
      <c r="CG63">
        <v>0.21199999999999999</v>
      </c>
      <c r="CH63" t="s">
        <v>257</v>
      </c>
      <c r="CI63">
        <v>0.57299999999999995</v>
      </c>
      <c r="CK63"/>
      <c r="CL63"/>
      <c r="CM63"/>
      <c r="CS63" s="8"/>
      <c r="CW63" t="s">
        <v>227</v>
      </c>
      <c r="CX63" t="s">
        <v>257</v>
      </c>
      <c r="CY63" t="s">
        <v>317</v>
      </c>
      <c r="CZ63" t="s">
        <v>227</v>
      </c>
      <c r="DA63" t="s">
        <v>227</v>
      </c>
      <c r="DB63" t="s">
        <v>227</v>
      </c>
      <c r="DC63"/>
      <c r="DD63"/>
      <c r="DE63"/>
      <c r="DF63"/>
      <c r="DG63"/>
      <c r="DH63" s="323"/>
      <c r="DI63" s="323"/>
      <c r="DJ63" s="323"/>
      <c r="DL63" t="s">
        <v>257</v>
      </c>
      <c r="DM63" t="s">
        <v>220</v>
      </c>
      <c r="DN63" t="s">
        <v>227</v>
      </c>
      <c r="DO63" t="s">
        <v>227</v>
      </c>
      <c r="DP63" t="s">
        <v>227</v>
      </c>
      <c r="DS63" s="338">
        <v>3.5999999999999997E-2</v>
      </c>
      <c r="DT63" s="8" t="s">
        <v>394</v>
      </c>
      <c r="DU63" s="338">
        <v>1536.09</v>
      </c>
      <c r="DV63" s="8" t="s">
        <v>394</v>
      </c>
      <c r="DW63"/>
      <c r="DX63" t="s">
        <v>235</v>
      </c>
      <c r="DY63"/>
      <c r="DZ63" t="s">
        <v>235</v>
      </c>
      <c r="EA63"/>
      <c r="EB63"/>
      <c r="ED63" s="410"/>
      <c r="EE63" s="1"/>
      <c r="EG63" s="410"/>
      <c r="EI63" s="410"/>
      <c r="EK63" s="1"/>
      <c r="EM63"/>
      <c r="EQ63" s="344"/>
      <c r="EU63" s="344"/>
      <c r="EW63" s="409"/>
      <c r="EY63" s="1"/>
      <c r="FA63">
        <v>48197.88</v>
      </c>
      <c r="FB63" t="s">
        <v>236</v>
      </c>
      <c r="FC63" s="7">
        <v>1194.5380829338869</v>
      </c>
      <c r="FD63" s="357" t="s">
        <v>236</v>
      </c>
      <c r="FE63" s="8">
        <v>858025.11472260533</v>
      </c>
      <c r="FF63" t="s">
        <v>237</v>
      </c>
      <c r="FH63" s="9">
        <v>2822929.2907797932</v>
      </c>
      <c r="FI63" s="9" t="s">
        <v>236</v>
      </c>
      <c r="FK63" t="s">
        <v>235</v>
      </c>
      <c r="FL63">
        <v>1410</v>
      </c>
      <c r="FM63">
        <v>2964831.3895243476</v>
      </c>
      <c r="FN63" s="5" t="s">
        <v>237</v>
      </c>
      <c r="FP63" s="6">
        <v>141</v>
      </c>
      <c r="FQ63" t="s">
        <v>239</v>
      </c>
      <c r="FS63" t="s">
        <v>240</v>
      </c>
      <c r="FU63" s="8">
        <v>1</v>
      </c>
      <c r="FV63" s="8">
        <v>10</v>
      </c>
      <c r="FW63" s="8">
        <v>10</v>
      </c>
      <c r="FX63" s="8">
        <v>10</v>
      </c>
      <c r="FY63" s="8">
        <v>3</v>
      </c>
      <c r="FZ63">
        <f t="shared" si="0"/>
        <v>3000</v>
      </c>
      <c r="GA63" s="7" t="s">
        <v>241</v>
      </c>
      <c r="GB63" s="7" t="s">
        <v>241</v>
      </c>
      <c r="GC63" s="6">
        <v>30</v>
      </c>
      <c r="GD63" s="348" t="s">
        <v>242</v>
      </c>
      <c r="GF63" s="6">
        <v>0.47</v>
      </c>
      <c r="GH63" s="7"/>
      <c r="GI63" s="441" t="s">
        <v>395</v>
      </c>
      <c r="GJ63" s="441" t="s">
        <v>395</v>
      </c>
      <c r="GK63" s="441" t="s">
        <v>395</v>
      </c>
      <c r="GL63" s="441" t="s">
        <v>395</v>
      </c>
      <c r="GM63" s="452" t="s">
        <v>552</v>
      </c>
      <c r="GN63" s="6">
        <v>0.2</v>
      </c>
      <c r="GO63" s="6">
        <v>0.375</v>
      </c>
      <c r="GP63" s="6">
        <v>0.6</v>
      </c>
      <c r="GQ63" s="6">
        <v>1.5</v>
      </c>
      <c r="GR63" s="6" t="s">
        <v>230</v>
      </c>
      <c r="GU63" t="s">
        <v>243</v>
      </c>
      <c r="GV63" t="s">
        <v>236</v>
      </c>
      <c r="GW63" t="s">
        <v>244</v>
      </c>
      <c r="GX63" t="s">
        <v>236</v>
      </c>
      <c r="GY63" t="s">
        <v>245</v>
      </c>
      <c r="HE63" t="s">
        <v>384</v>
      </c>
      <c r="HF63" t="s">
        <v>223</v>
      </c>
      <c r="HG63" t="s">
        <v>231</v>
      </c>
      <c r="HH63" t="s">
        <v>225</v>
      </c>
      <c r="HI63" t="s">
        <v>247</v>
      </c>
      <c r="HJ63" t="s">
        <v>225</v>
      </c>
      <c r="HK63" t="s">
        <v>568</v>
      </c>
      <c r="HO63" t="s">
        <v>231</v>
      </c>
      <c r="HP63" t="s">
        <v>223</v>
      </c>
      <c r="HQ63" t="s">
        <v>231</v>
      </c>
      <c r="HR63" t="s">
        <v>223</v>
      </c>
      <c r="HU63" t="s">
        <v>231</v>
      </c>
      <c r="HV63" t="s">
        <v>223</v>
      </c>
      <c r="HW63" t="s">
        <v>563</v>
      </c>
      <c r="HX63" t="s">
        <v>236</v>
      </c>
      <c r="IA63" t="s">
        <v>231</v>
      </c>
      <c r="IB63" t="s">
        <v>250</v>
      </c>
      <c r="IC63" t="s">
        <v>395</v>
      </c>
      <c r="ID63" t="s">
        <v>395</v>
      </c>
      <c r="IE63" t="s">
        <v>395</v>
      </c>
      <c r="IF63" t="s">
        <v>395</v>
      </c>
      <c r="IH63" t="s">
        <v>235</v>
      </c>
    </row>
    <row r="64" spans="1:242" x14ac:dyDescent="0.35">
      <c r="A64" s="310" t="s">
        <v>537</v>
      </c>
      <c r="B64" s="313" t="s">
        <v>641</v>
      </c>
      <c r="C64" s="310" t="s">
        <v>642</v>
      </c>
      <c r="D64" s="316"/>
      <c r="F64" t="s">
        <v>643</v>
      </c>
      <c r="I64" s="310" t="s">
        <v>644</v>
      </c>
      <c r="M64" s="313"/>
      <c r="O64"/>
      <c r="P64" s="381"/>
      <c r="Q64"/>
      <c r="T64" s="8"/>
      <c r="U64"/>
      <c r="V64" s="313"/>
      <c r="W64"/>
      <c r="X64"/>
      <c r="Z64"/>
      <c r="AB64"/>
      <c r="AD64" s="8" t="s">
        <v>230</v>
      </c>
      <c r="AF64" s="8" t="s">
        <v>230</v>
      </c>
      <c r="AG64"/>
      <c r="AH64"/>
      <c r="AI64"/>
      <c r="AJ64" t="s">
        <v>221</v>
      </c>
      <c r="AK64">
        <v>0</v>
      </c>
      <c r="AL64">
        <v>0.5</v>
      </c>
      <c r="AM64" t="s">
        <v>221</v>
      </c>
      <c r="AN64" t="s">
        <v>236</v>
      </c>
      <c r="AO64" t="s">
        <v>221</v>
      </c>
      <c r="AP64" t="s">
        <v>225</v>
      </c>
      <c r="AQ64" t="s">
        <v>221</v>
      </c>
      <c r="AR64" t="s">
        <v>225</v>
      </c>
      <c r="AS64" t="s">
        <v>221</v>
      </c>
      <c r="AT64" t="s">
        <v>225</v>
      </c>
      <c r="AU64" t="s">
        <v>220</v>
      </c>
      <c r="AV64"/>
      <c r="AW64" s="313" t="s">
        <v>220</v>
      </c>
      <c r="AX64" t="s">
        <v>226</v>
      </c>
      <c r="AY64" s="313" t="s">
        <v>220</v>
      </c>
      <c r="AZ64" s="313">
        <v>0.28999999999999998</v>
      </c>
      <c r="BB64" s="313" t="s">
        <v>220</v>
      </c>
      <c r="BC64">
        <v>0.17799999999999999</v>
      </c>
      <c r="BD64" t="s">
        <v>220</v>
      </c>
      <c r="BE64">
        <v>7.5600000000000001E-2</v>
      </c>
      <c r="BF64" s="2" t="s">
        <v>220</v>
      </c>
      <c r="BG64" s="2" t="s">
        <v>273</v>
      </c>
      <c r="BH64" s="2" t="s">
        <v>274</v>
      </c>
      <c r="BI64" s="2" t="s">
        <v>275</v>
      </c>
      <c r="BM64"/>
      <c r="BP64" s="8"/>
      <c r="BQ64" t="s">
        <v>230</v>
      </c>
      <c r="BR64" t="s">
        <v>230</v>
      </c>
      <c r="BU64" t="s">
        <v>293</v>
      </c>
      <c r="BV64" t="s">
        <v>236</v>
      </c>
      <c r="BW64" t="s">
        <v>232</v>
      </c>
      <c r="BX64" t="s">
        <v>500</v>
      </c>
      <c r="BY64" t="s">
        <v>257</v>
      </c>
      <c r="BZ64">
        <v>0.624</v>
      </c>
      <c r="CA64" t="s">
        <v>372</v>
      </c>
      <c r="CF64" t="s">
        <v>220</v>
      </c>
      <c r="CG64">
        <v>0.192</v>
      </c>
      <c r="CH64" t="s">
        <v>257</v>
      </c>
      <c r="CI64">
        <v>0.56799999999999995</v>
      </c>
      <c r="CK64"/>
      <c r="CL64"/>
      <c r="CM64"/>
      <c r="CS64" s="8"/>
      <c r="CW64" t="s">
        <v>227</v>
      </c>
      <c r="CX64" t="s">
        <v>257</v>
      </c>
      <c r="CY64" t="s">
        <v>317</v>
      </c>
      <c r="CZ64" t="s">
        <v>227</v>
      </c>
      <c r="DA64" t="s">
        <v>227</v>
      </c>
      <c r="DB64" t="s">
        <v>227</v>
      </c>
      <c r="DC64"/>
      <c r="DD64"/>
      <c r="DE64"/>
      <c r="DF64"/>
      <c r="DG64"/>
      <c r="DH64" s="323"/>
      <c r="DI64" s="323"/>
      <c r="DJ64" s="323"/>
      <c r="DL64" t="s">
        <v>257</v>
      </c>
      <c r="DM64" t="s">
        <v>220</v>
      </c>
      <c r="DN64" t="s">
        <v>227</v>
      </c>
      <c r="DO64" t="s">
        <v>227</v>
      </c>
      <c r="DP64" t="s">
        <v>227</v>
      </c>
      <c r="DS64" s="338">
        <v>3.3000000000000002E-2</v>
      </c>
      <c r="DT64" s="8" t="s">
        <v>394</v>
      </c>
      <c r="DU64" s="338">
        <v>1696.068</v>
      </c>
      <c r="DV64" s="8" t="s">
        <v>394</v>
      </c>
      <c r="DW64"/>
      <c r="DX64" t="s">
        <v>235</v>
      </c>
      <c r="DY64"/>
      <c r="DZ64" t="s">
        <v>235</v>
      </c>
      <c r="EA64"/>
      <c r="EB64"/>
      <c r="ED64" s="410"/>
      <c r="EE64" s="1"/>
      <c r="EG64" s="410"/>
      <c r="EI64" s="410"/>
      <c r="EK64" s="1"/>
      <c r="EM64"/>
      <c r="EQ64" s="344"/>
      <c r="EU64" s="344"/>
      <c r="EW64" s="409"/>
      <c r="EY64" s="1"/>
      <c r="FA64">
        <v>80868.100000000006</v>
      </c>
      <c r="FB64" t="s">
        <v>236</v>
      </c>
      <c r="FC64" s="7">
        <v>1485.5935323494732</v>
      </c>
      <c r="FD64" s="357" t="s">
        <v>236</v>
      </c>
      <c r="FE64" s="8">
        <v>1639456.8852635736</v>
      </c>
      <c r="FF64" t="s">
        <v>237</v>
      </c>
      <c r="FH64" s="9">
        <v>6282029.9124555718</v>
      </c>
      <c r="FI64" s="9" t="s">
        <v>236</v>
      </c>
      <c r="FK64" t="s">
        <v>235</v>
      </c>
      <c r="FL64">
        <v>1750</v>
      </c>
      <c r="FM64">
        <v>6010353.2805024274</v>
      </c>
      <c r="FN64" s="5" t="s">
        <v>237</v>
      </c>
      <c r="FP64" s="6">
        <v>175</v>
      </c>
      <c r="FQ64" t="s">
        <v>239</v>
      </c>
      <c r="FS64" t="s">
        <v>240</v>
      </c>
      <c r="FU64" s="8">
        <v>1</v>
      </c>
      <c r="FV64" s="8">
        <v>10</v>
      </c>
      <c r="FW64" s="8">
        <v>10</v>
      </c>
      <c r="FX64" s="8">
        <v>10</v>
      </c>
      <c r="FY64" s="8">
        <v>3</v>
      </c>
      <c r="FZ64">
        <f t="shared" si="0"/>
        <v>3000</v>
      </c>
      <c r="GA64" s="7" t="s">
        <v>241</v>
      </c>
      <c r="GB64" s="7" t="s">
        <v>241</v>
      </c>
      <c r="GC64" s="6">
        <v>30</v>
      </c>
      <c r="GD64" s="348" t="s">
        <v>242</v>
      </c>
      <c r="GF64" s="6">
        <v>0.58333333333333337</v>
      </c>
      <c r="GH64" s="7"/>
      <c r="GI64" s="441" t="s">
        <v>395</v>
      </c>
      <c r="GJ64" s="441" t="s">
        <v>395</v>
      </c>
      <c r="GK64" s="441" t="s">
        <v>395</v>
      </c>
      <c r="GL64" s="441" t="s">
        <v>395</v>
      </c>
      <c r="GM64" s="452" t="s">
        <v>552</v>
      </c>
      <c r="GN64" s="6">
        <v>0.2</v>
      </c>
      <c r="GO64" s="6">
        <v>0.375</v>
      </c>
      <c r="GP64" s="6">
        <v>0.6</v>
      </c>
      <c r="GQ64" s="6">
        <v>1.5</v>
      </c>
      <c r="GR64" s="6" t="s">
        <v>230</v>
      </c>
      <c r="GU64" t="s">
        <v>243</v>
      </c>
      <c r="GV64" t="s">
        <v>236</v>
      </c>
      <c r="GW64" t="s">
        <v>244</v>
      </c>
      <c r="GX64" t="s">
        <v>236</v>
      </c>
      <c r="GY64" t="s">
        <v>245</v>
      </c>
      <c r="HE64" t="s">
        <v>384</v>
      </c>
      <c r="HF64" t="s">
        <v>223</v>
      </c>
      <c r="HG64" t="s">
        <v>231</v>
      </c>
      <c r="HH64" t="s">
        <v>225</v>
      </c>
      <c r="HI64" t="s">
        <v>247</v>
      </c>
      <c r="HJ64" t="s">
        <v>225</v>
      </c>
      <c r="HK64" t="s">
        <v>568</v>
      </c>
      <c r="HO64" t="s">
        <v>231</v>
      </c>
      <c r="HP64" t="s">
        <v>223</v>
      </c>
      <c r="HQ64" t="s">
        <v>231</v>
      </c>
      <c r="HR64" t="s">
        <v>223</v>
      </c>
      <c r="HU64" t="s">
        <v>231</v>
      </c>
      <c r="HV64" t="s">
        <v>223</v>
      </c>
      <c r="HW64" t="s">
        <v>563</v>
      </c>
      <c r="HX64" t="s">
        <v>236</v>
      </c>
      <c r="IA64" t="s">
        <v>231</v>
      </c>
      <c r="IB64" t="s">
        <v>250</v>
      </c>
      <c r="IC64" t="s">
        <v>395</v>
      </c>
      <c r="ID64" t="s">
        <v>395</v>
      </c>
      <c r="IE64" t="s">
        <v>395</v>
      </c>
      <c r="IF64" t="s">
        <v>395</v>
      </c>
      <c r="IH64" t="s">
        <v>235</v>
      </c>
    </row>
    <row r="65" spans="1:242" x14ac:dyDescent="0.35">
      <c r="A65" s="310" t="s">
        <v>537</v>
      </c>
      <c r="B65" s="313" t="s">
        <v>645</v>
      </c>
      <c r="C65" s="310" t="s">
        <v>646</v>
      </c>
      <c r="D65" s="316"/>
      <c r="F65" t="s">
        <v>647</v>
      </c>
      <c r="I65" s="310" t="s">
        <v>648</v>
      </c>
      <c r="M65" s="313"/>
      <c r="O65"/>
      <c r="P65" s="381"/>
      <c r="Q65"/>
      <c r="T65" s="8"/>
      <c r="U65"/>
      <c r="V65" s="313"/>
      <c r="W65"/>
      <c r="X65"/>
      <c r="Z65"/>
      <c r="AB65"/>
      <c r="AD65" s="8" t="s">
        <v>230</v>
      </c>
      <c r="AF65" s="8" t="s">
        <v>230</v>
      </c>
      <c r="AG65"/>
      <c r="AH65"/>
      <c r="AI65"/>
      <c r="AJ65" t="s">
        <v>221</v>
      </c>
      <c r="AK65">
        <v>0</v>
      </c>
      <c r="AL65">
        <v>0.5</v>
      </c>
      <c r="AM65" t="s">
        <v>221</v>
      </c>
      <c r="AN65" t="s">
        <v>236</v>
      </c>
      <c r="AO65" t="s">
        <v>221</v>
      </c>
      <c r="AP65" t="s">
        <v>225</v>
      </c>
      <c r="AQ65" t="s">
        <v>221</v>
      </c>
      <c r="AR65" t="s">
        <v>225</v>
      </c>
      <c r="AS65" t="s">
        <v>221</v>
      </c>
      <c r="AT65" t="s">
        <v>225</v>
      </c>
      <c r="AU65" t="s">
        <v>220</v>
      </c>
      <c r="AV65"/>
      <c r="AW65" s="313" t="s">
        <v>220</v>
      </c>
      <c r="AX65" t="s">
        <v>226</v>
      </c>
      <c r="AY65" s="313" t="s">
        <v>220</v>
      </c>
      <c r="AZ65" s="313">
        <v>0.29099999999999998</v>
      </c>
      <c r="BB65" s="313" t="s">
        <v>220</v>
      </c>
      <c r="BC65">
        <v>0.18</v>
      </c>
      <c r="BD65" t="s">
        <v>220</v>
      </c>
      <c r="BE65">
        <v>7.5300000000000006E-2</v>
      </c>
      <c r="BF65" s="2" t="s">
        <v>220</v>
      </c>
      <c r="BG65" s="2" t="s">
        <v>273</v>
      </c>
      <c r="BH65" s="2" t="s">
        <v>274</v>
      </c>
      <c r="BI65" s="2" t="s">
        <v>275</v>
      </c>
      <c r="BM65"/>
      <c r="BP65" s="8"/>
      <c r="BQ65" t="s">
        <v>230</v>
      </c>
      <c r="BR65" t="s">
        <v>230</v>
      </c>
      <c r="BU65" t="s">
        <v>293</v>
      </c>
      <c r="BV65" t="s">
        <v>236</v>
      </c>
      <c r="BW65" t="s">
        <v>232</v>
      </c>
      <c r="BX65" t="s">
        <v>500</v>
      </c>
      <c r="BY65" t="s">
        <v>257</v>
      </c>
      <c r="BZ65">
        <v>0.623</v>
      </c>
      <c r="CA65" t="s">
        <v>372</v>
      </c>
      <c r="CF65" t="s">
        <v>220</v>
      </c>
      <c r="CG65">
        <v>0.17399999999999999</v>
      </c>
      <c r="CH65" t="s">
        <v>257</v>
      </c>
      <c r="CI65">
        <v>0.56200000000000006</v>
      </c>
      <c r="CK65"/>
      <c r="CL65"/>
      <c r="CM65"/>
      <c r="CS65" s="8"/>
      <c r="CW65" t="s">
        <v>227</v>
      </c>
      <c r="CX65" t="s">
        <v>257</v>
      </c>
      <c r="CY65" t="s">
        <v>317</v>
      </c>
      <c r="CZ65" t="s">
        <v>227</v>
      </c>
      <c r="DA65" t="s">
        <v>227</v>
      </c>
      <c r="DB65" t="s">
        <v>227</v>
      </c>
      <c r="DC65"/>
      <c r="DD65"/>
      <c r="DE65"/>
      <c r="DF65"/>
      <c r="DG65"/>
      <c r="DH65" s="323"/>
      <c r="DI65" s="323"/>
      <c r="DJ65" s="323"/>
      <c r="DL65" t="s">
        <v>257</v>
      </c>
      <c r="DM65" t="s">
        <v>220</v>
      </c>
      <c r="DN65" t="s">
        <v>227</v>
      </c>
      <c r="DO65" t="s">
        <v>227</v>
      </c>
      <c r="DP65" t="s">
        <v>227</v>
      </c>
      <c r="DS65" s="338">
        <v>3.2000000000000001E-2</v>
      </c>
      <c r="DT65" s="8" t="s">
        <v>394</v>
      </c>
      <c r="DU65" s="338">
        <v>1853.037</v>
      </c>
      <c r="DV65" s="8" t="s">
        <v>394</v>
      </c>
      <c r="DW65"/>
      <c r="DX65" t="s">
        <v>235</v>
      </c>
      <c r="DY65"/>
      <c r="DZ65" t="s">
        <v>235</v>
      </c>
      <c r="EA65"/>
      <c r="EB65"/>
      <c r="ED65" s="410"/>
      <c r="EE65" s="1"/>
      <c r="EG65" s="410"/>
      <c r="EI65" s="410"/>
      <c r="EK65" s="1"/>
      <c r="EM65"/>
      <c r="EQ65" s="344"/>
      <c r="EU65" s="344"/>
      <c r="EW65" s="409"/>
      <c r="EY65" s="1"/>
      <c r="FA65">
        <v>135683.32999999999</v>
      </c>
      <c r="FB65" t="s">
        <v>236</v>
      </c>
      <c r="FC65" s="7">
        <v>1847.9916305785264</v>
      </c>
      <c r="FD65" s="357" t="s">
        <v>236</v>
      </c>
      <c r="FE65" s="8">
        <v>3132564.3416709313</v>
      </c>
      <c r="FF65" t="s">
        <v>237</v>
      </c>
      <c r="FH65" s="9">
        <v>13979769.153227817</v>
      </c>
      <c r="FI65" s="9" t="s">
        <v>236</v>
      </c>
      <c r="FK65" t="s">
        <v>235</v>
      </c>
      <c r="FL65">
        <v>2190</v>
      </c>
      <c r="FM65">
        <v>12181478.415073534</v>
      </c>
      <c r="FN65" s="5" t="s">
        <v>237</v>
      </c>
      <c r="FP65" s="6">
        <v>219</v>
      </c>
      <c r="FQ65" t="s">
        <v>239</v>
      </c>
      <c r="FS65" t="s">
        <v>240</v>
      </c>
      <c r="FU65" s="8">
        <v>1</v>
      </c>
      <c r="FV65" s="8">
        <v>10</v>
      </c>
      <c r="FW65" s="8">
        <v>10</v>
      </c>
      <c r="FX65" s="8">
        <v>10</v>
      </c>
      <c r="FY65" s="8">
        <v>3</v>
      </c>
      <c r="FZ65">
        <f t="shared" si="0"/>
        <v>3000</v>
      </c>
      <c r="GA65" s="7" t="s">
        <v>241</v>
      </c>
      <c r="GB65" s="7" t="s">
        <v>241</v>
      </c>
      <c r="GC65" s="6">
        <v>30</v>
      </c>
      <c r="GD65" s="348" t="s">
        <v>242</v>
      </c>
      <c r="GF65" s="6">
        <v>0.73</v>
      </c>
      <c r="GH65" s="7"/>
      <c r="GI65" s="441" t="s">
        <v>395</v>
      </c>
      <c r="GJ65" s="441" t="s">
        <v>395</v>
      </c>
      <c r="GK65" s="441" t="s">
        <v>395</v>
      </c>
      <c r="GL65" s="441" t="s">
        <v>395</v>
      </c>
      <c r="GM65" s="452" t="s">
        <v>552</v>
      </c>
      <c r="GN65" s="6">
        <v>0.2</v>
      </c>
      <c r="GO65" s="6">
        <v>0.375</v>
      </c>
      <c r="GP65" s="6">
        <v>0.6</v>
      </c>
      <c r="GQ65" s="6">
        <v>1.5</v>
      </c>
      <c r="GR65" s="6" t="s">
        <v>230</v>
      </c>
      <c r="GU65" t="s">
        <v>243</v>
      </c>
      <c r="GV65" t="s">
        <v>236</v>
      </c>
      <c r="GW65" t="s">
        <v>244</v>
      </c>
      <c r="GX65" t="s">
        <v>236</v>
      </c>
      <c r="GY65" t="s">
        <v>245</v>
      </c>
      <c r="HE65" t="s">
        <v>384</v>
      </c>
      <c r="HF65" t="s">
        <v>223</v>
      </c>
      <c r="HG65" t="s">
        <v>231</v>
      </c>
      <c r="HH65" t="s">
        <v>225</v>
      </c>
      <c r="HI65" t="s">
        <v>247</v>
      </c>
      <c r="HJ65" t="s">
        <v>225</v>
      </c>
      <c r="HK65" t="s">
        <v>568</v>
      </c>
      <c r="HO65" t="s">
        <v>231</v>
      </c>
      <c r="HP65" t="s">
        <v>223</v>
      </c>
      <c r="HQ65" t="s">
        <v>231</v>
      </c>
      <c r="HR65" t="s">
        <v>223</v>
      </c>
      <c r="HU65" t="s">
        <v>231</v>
      </c>
      <c r="HV65" t="s">
        <v>223</v>
      </c>
      <c r="HW65" t="s">
        <v>563</v>
      </c>
      <c r="HX65" t="s">
        <v>236</v>
      </c>
      <c r="IA65" t="s">
        <v>231</v>
      </c>
      <c r="IB65" t="s">
        <v>250</v>
      </c>
      <c r="IC65" t="s">
        <v>395</v>
      </c>
      <c r="ID65" t="s">
        <v>395</v>
      </c>
      <c r="IE65" t="s">
        <v>395</v>
      </c>
      <c r="IF65" t="s">
        <v>395</v>
      </c>
      <c r="IH65" t="s">
        <v>235</v>
      </c>
    </row>
    <row r="66" spans="1:242" x14ac:dyDescent="0.35">
      <c r="A66" s="310" t="s">
        <v>537</v>
      </c>
      <c r="B66" s="313" t="s">
        <v>649</v>
      </c>
      <c r="C66" s="310" t="s">
        <v>650</v>
      </c>
      <c r="D66" s="316"/>
      <c r="F66" t="s">
        <v>651</v>
      </c>
      <c r="I66" s="310" t="s">
        <v>652</v>
      </c>
      <c r="M66" s="313"/>
      <c r="O66"/>
      <c r="P66" s="381"/>
      <c r="Q66"/>
      <c r="T66" s="8"/>
      <c r="U66"/>
      <c r="V66" s="313"/>
      <c r="W66"/>
      <c r="X66"/>
      <c r="Z66"/>
      <c r="AB66"/>
      <c r="AD66" s="8" t="s">
        <v>230</v>
      </c>
      <c r="AF66" s="8" t="s">
        <v>230</v>
      </c>
      <c r="AG66"/>
      <c r="AH66"/>
      <c r="AI66"/>
      <c r="AJ66" t="s">
        <v>221</v>
      </c>
      <c r="AK66">
        <v>0.15</v>
      </c>
      <c r="AL66">
        <v>0.45</v>
      </c>
      <c r="AM66" t="s">
        <v>221</v>
      </c>
      <c r="AN66" t="s">
        <v>225</v>
      </c>
      <c r="AO66" t="s">
        <v>221</v>
      </c>
      <c r="AP66" t="s">
        <v>225</v>
      </c>
      <c r="AQ66" t="s">
        <v>221</v>
      </c>
      <c r="AR66" t="s">
        <v>225</v>
      </c>
      <c r="AS66" t="s">
        <v>414</v>
      </c>
      <c r="AT66" t="s">
        <v>225</v>
      </c>
      <c r="AU66" t="s">
        <v>220</v>
      </c>
      <c r="AV66"/>
      <c r="AW66" s="313" t="s">
        <v>220</v>
      </c>
      <c r="AX66" t="s">
        <v>226</v>
      </c>
      <c r="AY66" s="313" t="s">
        <v>220</v>
      </c>
      <c r="AZ66" s="313">
        <v>0.11700000000000001</v>
      </c>
      <c r="BB66" s="313" t="s">
        <v>220</v>
      </c>
      <c r="BC66">
        <v>6.25E-2</v>
      </c>
      <c r="BD66" t="s">
        <v>220</v>
      </c>
      <c r="BE66">
        <v>3.9199999999999999E-2</v>
      </c>
      <c r="BF66" s="2" t="s">
        <v>220</v>
      </c>
      <c r="BG66" s="2" t="s">
        <v>653</v>
      </c>
      <c r="BH66" s="2" t="s">
        <v>274</v>
      </c>
      <c r="BI66" s="2" t="s">
        <v>275</v>
      </c>
      <c r="BM66"/>
      <c r="BP66" s="8"/>
      <c r="BQ66" t="s">
        <v>230</v>
      </c>
      <c r="BR66" t="s">
        <v>230</v>
      </c>
      <c r="BU66" t="s">
        <v>293</v>
      </c>
      <c r="BV66" t="s">
        <v>236</v>
      </c>
      <c r="BW66" t="s">
        <v>232</v>
      </c>
      <c r="BX66" t="s">
        <v>276</v>
      </c>
      <c r="BY66" t="s">
        <v>220</v>
      </c>
      <c r="BZ66">
        <v>0.443</v>
      </c>
      <c r="CA66" t="s">
        <v>372</v>
      </c>
      <c r="CF66" t="s">
        <v>257</v>
      </c>
      <c r="CG66">
        <v>0.54600000000000004</v>
      </c>
      <c r="CH66" t="s">
        <v>257</v>
      </c>
      <c r="CI66">
        <v>0.86899999999999999</v>
      </c>
      <c r="CK66"/>
      <c r="CL66"/>
      <c r="CM66"/>
      <c r="CS66" s="8"/>
      <c r="CW66" t="s">
        <v>220</v>
      </c>
      <c r="CX66" t="s">
        <v>220</v>
      </c>
      <c r="CY66" t="s">
        <v>231</v>
      </c>
      <c r="CZ66" t="s">
        <v>227</v>
      </c>
      <c r="DA66" t="s">
        <v>227</v>
      </c>
      <c r="DB66" t="s">
        <v>227</v>
      </c>
      <c r="DC66"/>
      <c r="DD66"/>
      <c r="DE66"/>
      <c r="DF66"/>
      <c r="DG66"/>
      <c r="DH66" s="323"/>
      <c r="DI66" s="323"/>
      <c r="DJ66" s="323"/>
      <c r="DL66" t="s">
        <v>257</v>
      </c>
      <c r="DM66" t="s">
        <v>257</v>
      </c>
      <c r="DN66" t="s">
        <v>227</v>
      </c>
      <c r="DO66" t="s">
        <v>227</v>
      </c>
      <c r="DP66" t="s">
        <v>227</v>
      </c>
      <c r="DS66" s="309">
        <v>22.738</v>
      </c>
      <c r="DU66" s="309">
        <v>614.49300000000005</v>
      </c>
      <c r="DW66"/>
      <c r="DX66" t="s">
        <v>235</v>
      </c>
      <c r="DY66"/>
      <c r="DZ66" t="s">
        <v>235</v>
      </c>
      <c r="EA66"/>
      <c r="EB66"/>
      <c r="ED66" s="410"/>
      <c r="EE66" s="1"/>
      <c r="EG66" s="410"/>
      <c r="EI66" s="410"/>
      <c r="EK66" s="1"/>
      <c r="EM66"/>
      <c r="EQ66" s="344"/>
      <c r="EU66" s="344"/>
      <c r="EW66" s="409"/>
      <c r="EY66" s="1"/>
      <c r="FA66">
        <v>298.7</v>
      </c>
      <c r="FB66" t="s">
        <v>225</v>
      </c>
      <c r="FC66" s="7">
        <v>83.733645608365649</v>
      </c>
      <c r="FD66" s="357" t="s">
        <v>225</v>
      </c>
      <c r="FE66" s="8">
        <v>117.62509846847233</v>
      </c>
      <c r="FF66" t="s">
        <v>237</v>
      </c>
      <c r="FH66" s="9">
        <v>247.74220576332866</v>
      </c>
      <c r="FI66" s="9" t="s">
        <v>225</v>
      </c>
      <c r="FK66" t="s">
        <v>235</v>
      </c>
      <c r="FL66">
        <v>197</v>
      </c>
      <c r="FM66">
        <v>398.56577231340123</v>
      </c>
      <c r="FN66" s="5" t="s">
        <v>237</v>
      </c>
      <c r="FP66" s="6">
        <v>19.7</v>
      </c>
      <c r="FQ66" t="s">
        <v>239</v>
      </c>
      <c r="FS66" t="s">
        <v>240</v>
      </c>
      <c r="FU66" s="8">
        <v>1</v>
      </c>
      <c r="FV66" s="8">
        <v>10</v>
      </c>
      <c r="FW66" s="8">
        <v>10</v>
      </c>
      <c r="FX66" s="8">
        <v>10</v>
      </c>
      <c r="FY66" s="8">
        <v>3</v>
      </c>
      <c r="FZ66">
        <f t="shared" si="0"/>
        <v>3000</v>
      </c>
      <c r="GA66" s="7" t="s">
        <v>241</v>
      </c>
      <c r="GB66" s="7" t="s">
        <v>241</v>
      </c>
      <c r="GC66" s="6">
        <v>30</v>
      </c>
      <c r="GD66" s="348" t="s">
        <v>242</v>
      </c>
      <c r="GF66" s="6">
        <v>6.5666666666666665E-2</v>
      </c>
      <c r="GH66" s="7"/>
      <c r="GI66" s="441">
        <v>0.438</v>
      </c>
      <c r="GJ66" s="441">
        <v>0.82099999999999995</v>
      </c>
      <c r="GK66" s="441">
        <v>1.3129999999999999</v>
      </c>
      <c r="GL66" s="441">
        <v>3.2829999999999999</v>
      </c>
      <c r="GM66" s="452" t="s">
        <v>262</v>
      </c>
      <c r="GN66" s="6">
        <v>0.2</v>
      </c>
      <c r="GO66" s="6">
        <v>0.375</v>
      </c>
      <c r="GP66" s="6">
        <v>0.6</v>
      </c>
      <c r="GQ66" s="6">
        <v>1.5</v>
      </c>
      <c r="GR66" s="6" t="s">
        <v>230</v>
      </c>
      <c r="GU66" t="s">
        <v>243</v>
      </c>
      <c r="GV66" t="s">
        <v>223</v>
      </c>
      <c r="GW66" t="s">
        <v>359</v>
      </c>
      <c r="GX66" t="s">
        <v>225</v>
      </c>
      <c r="GY66" t="s">
        <v>245</v>
      </c>
      <c r="HE66" t="s">
        <v>384</v>
      </c>
      <c r="HF66" t="s">
        <v>223</v>
      </c>
      <c r="HG66" t="s">
        <v>231</v>
      </c>
      <c r="HH66" t="s">
        <v>225</v>
      </c>
      <c r="HI66" t="s">
        <v>247</v>
      </c>
      <c r="HJ66" t="s">
        <v>223</v>
      </c>
      <c r="HK66" t="s">
        <v>266</v>
      </c>
      <c r="HO66" t="s">
        <v>231</v>
      </c>
      <c r="HP66" t="s">
        <v>223</v>
      </c>
      <c r="HQ66" t="s">
        <v>231</v>
      </c>
      <c r="HR66" t="s">
        <v>223</v>
      </c>
      <c r="HU66" t="s">
        <v>231</v>
      </c>
      <c r="HV66" t="s">
        <v>223</v>
      </c>
      <c r="HW66" t="s">
        <v>563</v>
      </c>
      <c r="HX66" t="s">
        <v>236</v>
      </c>
      <c r="IA66" t="s">
        <v>231</v>
      </c>
      <c r="IB66" t="s">
        <v>250</v>
      </c>
      <c r="IC66">
        <v>0.438</v>
      </c>
      <c r="ID66">
        <v>0.82099999999999995</v>
      </c>
      <c r="IE66">
        <v>1.3129999999999999</v>
      </c>
      <c r="IF66">
        <v>3.2829999999999999</v>
      </c>
      <c r="IH66" t="s">
        <v>267</v>
      </c>
    </row>
    <row r="67" spans="1:242" x14ac:dyDescent="0.35">
      <c r="A67" s="310" t="s">
        <v>537</v>
      </c>
      <c r="B67" s="313" t="s">
        <v>654</v>
      </c>
      <c r="C67" s="310" t="s">
        <v>655</v>
      </c>
      <c r="D67" s="316"/>
      <c r="F67" t="s">
        <v>656</v>
      </c>
      <c r="I67" s="310" t="s">
        <v>657</v>
      </c>
      <c r="M67" s="313"/>
      <c r="O67"/>
      <c r="P67" s="381"/>
      <c r="Q67"/>
      <c r="T67" s="8"/>
      <c r="U67"/>
      <c r="V67" s="313"/>
      <c r="W67"/>
      <c r="X67"/>
      <c r="Z67"/>
      <c r="AB67"/>
      <c r="AD67" s="8" t="s">
        <v>230</v>
      </c>
      <c r="AF67" s="8" t="s">
        <v>230</v>
      </c>
      <c r="AG67"/>
      <c r="AH67"/>
      <c r="AI67"/>
      <c r="AJ67" t="s">
        <v>221</v>
      </c>
      <c r="AK67">
        <v>0.05</v>
      </c>
      <c r="AL67">
        <v>0.35</v>
      </c>
      <c r="AM67" t="s">
        <v>221</v>
      </c>
      <c r="AN67" t="s">
        <v>236</v>
      </c>
      <c r="AO67" t="s">
        <v>221</v>
      </c>
      <c r="AP67" t="s">
        <v>225</v>
      </c>
      <c r="AQ67" t="s">
        <v>221</v>
      </c>
      <c r="AR67" t="s">
        <v>225</v>
      </c>
      <c r="AS67" t="s">
        <v>414</v>
      </c>
      <c r="AT67" t="s">
        <v>236</v>
      </c>
      <c r="AU67" t="s">
        <v>220</v>
      </c>
      <c r="AV67"/>
      <c r="AW67" s="313" t="s">
        <v>220</v>
      </c>
      <c r="AX67" t="s">
        <v>226</v>
      </c>
      <c r="AY67" s="313" t="s">
        <v>220</v>
      </c>
      <c r="AZ67" s="313">
        <v>0.11600000000000001</v>
      </c>
      <c r="BB67" s="313" t="s">
        <v>220</v>
      </c>
      <c r="BC67">
        <v>6.4500000000000002E-2</v>
      </c>
      <c r="BD67" t="s">
        <v>220</v>
      </c>
      <c r="BE67">
        <v>3.9300000000000002E-2</v>
      </c>
      <c r="BF67" s="2" t="s">
        <v>220</v>
      </c>
      <c r="BG67" s="2" t="s">
        <v>653</v>
      </c>
      <c r="BH67" s="2" t="s">
        <v>274</v>
      </c>
      <c r="BI67" s="2" t="s">
        <v>275</v>
      </c>
      <c r="BM67"/>
      <c r="BP67" s="8"/>
      <c r="BQ67" t="s">
        <v>230</v>
      </c>
      <c r="BR67" t="s">
        <v>230</v>
      </c>
      <c r="BU67" t="s">
        <v>293</v>
      </c>
      <c r="BV67" t="s">
        <v>236</v>
      </c>
      <c r="BW67" t="s">
        <v>232</v>
      </c>
      <c r="BX67" t="s">
        <v>276</v>
      </c>
      <c r="BY67" t="s">
        <v>220</v>
      </c>
      <c r="BZ67">
        <v>0.439</v>
      </c>
      <c r="CA67" t="s">
        <v>372</v>
      </c>
      <c r="CF67" t="s">
        <v>257</v>
      </c>
      <c r="CG67">
        <v>0.75700000000000001</v>
      </c>
      <c r="CH67" t="s">
        <v>257</v>
      </c>
      <c r="CI67">
        <v>0.86299999999999999</v>
      </c>
      <c r="CK67"/>
      <c r="CL67"/>
      <c r="CM67"/>
      <c r="CS67" s="8"/>
      <c r="CW67" t="s">
        <v>220</v>
      </c>
      <c r="CX67" t="s">
        <v>220</v>
      </c>
      <c r="CY67" t="s">
        <v>231</v>
      </c>
      <c r="CZ67" t="s">
        <v>227</v>
      </c>
      <c r="DA67" t="s">
        <v>227</v>
      </c>
      <c r="DB67" t="s">
        <v>227</v>
      </c>
      <c r="DC67"/>
      <c r="DD67"/>
      <c r="DE67"/>
      <c r="DF67"/>
      <c r="DG67"/>
      <c r="DH67" s="323"/>
      <c r="DI67" s="323"/>
      <c r="DJ67" s="323"/>
      <c r="DL67" t="s">
        <v>257</v>
      </c>
      <c r="DM67" t="s">
        <v>220</v>
      </c>
      <c r="DN67" t="s">
        <v>227</v>
      </c>
      <c r="DO67" t="s">
        <v>227</v>
      </c>
      <c r="DP67" t="s">
        <v>227</v>
      </c>
      <c r="DS67" s="338">
        <v>7.3879999999999999</v>
      </c>
      <c r="DT67" s="8" t="s">
        <v>394</v>
      </c>
      <c r="DU67" s="309">
        <v>764.18899999999996</v>
      </c>
      <c r="DW67"/>
      <c r="DX67" t="s">
        <v>235</v>
      </c>
      <c r="DY67"/>
      <c r="DZ67" t="s">
        <v>235</v>
      </c>
      <c r="EA67"/>
      <c r="EB67"/>
      <c r="ED67" s="410"/>
      <c r="EE67" s="1"/>
      <c r="EG67" s="410"/>
      <c r="EI67" s="410"/>
      <c r="EK67" s="1"/>
      <c r="EM67"/>
      <c r="EQ67" s="344"/>
      <c r="EU67" s="344"/>
      <c r="EW67" s="409"/>
      <c r="EY67" s="1"/>
      <c r="FA67">
        <v>501.17</v>
      </c>
      <c r="FB67" t="s">
        <v>225</v>
      </c>
      <c r="FC67" s="7">
        <v>90.469043773811933</v>
      </c>
      <c r="FD67" s="357" t="s">
        <v>225</v>
      </c>
      <c r="FE67" s="8">
        <v>224.75015504212581</v>
      </c>
      <c r="FF67" t="s">
        <v>237</v>
      </c>
      <c r="FH67" s="9">
        <v>1316.7399127216206</v>
      </c>
      <c r="FI67" s="9" t="s">
        <v>225</v>
      </c>
      <c r="FK67" t="s">
        <v>235</v>
      </c>
      <c r="FL67">
        <v>349</v>
      </c>
      <c r="FM67">
        <v>807.97886368308855</v>
      </c>
      <c r="FN67" s="5" t="s">
        <v>237</v>
      </c>
      <c r="FP67" s="6">
        <v>34.9</v>
      </c>
      <c r="FQ67" t="s">
        <v>239</v>
      </c>
      <c r="FS67" t="s">
        <v>240</v>
      </c>
      <c r="FU67" s="8">
        <v>1</v>
      </c>
      <c r="FV67" s="8">
        <v>10</v>
      </c>
      <c r="FW67" s="8">
        <v>10</v>
      </c>
      <c r="FX67" s="8">
        <v>10</v>
      </c>
      <c r="FY67" s="8">
        <v>3</v>
      </c>
      <c r="FZ67">
        <f t="shared" si="0"/>
        <v>3000</v>
      </c>
      <c r="GA67" s="7" t="s">
        <v>241</v>
      </c>
      <c r="GB67" s="7" t="s">
        <v>241</v>
      </c>
      <c r="GC67" s="6">
        <v>30</v>
      </c>
      <c r="GD67" s="348" t="s">
        <v>242</v>
      </c>
      <c r="GF67" s="6">
        <v>0.11633333333333333</v>
      </c>
      <c r="GH67" s="7"/>
      <c r="GI67" s="441">
        <v>0.77600000000000002</v>
      </c>
      <c r="GJ67" s="441">
        <v>1.454</v>
      </c>
      <c r="GK67" s="441">
        <v>2.327</v>
      </c>
      <c r="GL67" s="441">
        <v>5.8170000000000002</v>
      </c>
      <c r="GM67" s="452" t="s">
        <v>262</v>
      </c>
      <c r="GN67" s="6">
        <v>0.2</v>
      </c>
      <c r="GO67" s="6">
        <v>0.375</v>
      </c>
      <c r="GP67" s="6">
        <v>0.6</v>
      </c>
      <c r="GQ67" s="6">
        <v>1.5</v>
      </c>
      <c r="GR67" s="6" t="s">
        <v>230</v>
      </c>
      <c r="GU67" t="s">
        <v>243</v>
      </c>
      <c r="GV67" t="s">
        <v>223</v>
      </c>
      <c r="GW67" t="s">
        <v>359</v>
      </c>
      <c r="GX67" t="s">
        <v>225</v>
      </c>
      <c r="GY67" t="s">
        <v>245</v>
      </c>
      <c r="HE67" t="s">
        <v>384</v>
      </c>
      <c r="HF67" t="s">
        <v>223</v>
      </c>
      <c r="HG67" t="s">
        <v>231</v>
      </c>
      <c r="HH67" t="s">
        <v>223</v>
      </c>
      <c r="HI67" t="s">
        <v>247</v>
      </c>
      <c r="HJ67" t="s">
        <v>223</v>
      </c>
      <c r="HK67" t="s">
        <v>266</v>
      </c>
      <c r="HO67" t="s">
        <v>231</v>
      </c>
      <c r="HP67" t="s">
        <v>223</v>
      </c>
      <c r="HQ67" t="s">
        <v>231</v>
      </c>
      <c r="HR67" t="s">
        <v>223</v>
      </c>
      <c r="HU67" t="s">
        <v>231</v>
      </c>
      <c r="HV67" t="s">
        <v>223</v>
      </c>
      <c r="HW67" t="s">
        <v>563</v>
      </c>
      <c r="HX67" t="s">
        <v>223</v>
      </c>
      <c r="IA67" t="s">
        <v>231</v>
      </c>
      <c r="IB67" t="s">
        <v>250</v>
      </c>
      <c r="IC67">
        <v>0.77600000000000002</v>
      </c>
      <c r="ID67">
        <v>1.454</v>
      </c>
      <c r="IE67">
        <v>2.327</v>
      </c>
      <c r="IF67">
        <v>5.8170000000000002</v>
      </c>
      <c r="IH67" t="s">
        <v>267</v>
      </c>
    </row>
    <row r="68" spans="1:242" x14ac:dyDescent="0.35">
      <c r="A68" s="310" t="s">
        <v>537</v>
      </c>
      <c r="B68" s="313" t="s">
        <v>658</v>
      </c>
      <c r="C68" s="310" t="s">
        <v>659</v>
      </c>
      <c r="D68" s="316"/>
      <c r="F68" t="s">
        <v>660</v>
      </c>
      <c r="I68" s="310" t="s">
        <v>661</v>
      </c>
      <c r="M68" s="313"/>
      <c r="O68"/>
      <c r="P68" s="381"/>
      <c r="Q68"/>
      <c r="T68" s="8"/>
      <c r="U68"/>
      <c r="V68" s="313"/>
      <c r="W68"/>
      <c r="X68"/>
      <c r="Z68"/>
      <c r="AB68"/>
      <c r="AD68" s="8" t="s">
        <v>230</v>
      </c>
      <c r="AF68" s="8" t="s">
        <v>230</v>
      </c>
      <c r="AG68"/>
      <c r="AH68"/>
      <c r="AI68"/>
      <c r="AJ68" t="s">
        <v>221</v>
      </c>
      <c r="AK68">
        <v>0</v>
      </c>
      <c r="AL68">
        <v>0.5</v>
      </c>
      <c r="AM68" t="s">
        <v>221</v>
      </c>
      <c r="AN68" t="s">
        <v>225</v>
      </c>
      <c r="AO68" t="s">
        <v>221</v>
      </c>
      <c r="AP68" t="s">
        <v>225</v>
      </c>
      <c r="AQ68" t="s">
        <v>221</v>
      </c>
      <c r="AR68" t="s">
        <v>225</v>
      </c>
      <c r="AS68" t="s">
        <v>221</v>
      </c>
      <c r="AT68" t="s">
        <v>236</v>
      </c>
      <c r="AU68" t="s">
        <v>220</v>
      </c>
      <c r="AV68"/>
      <c r="AW68" s="313" t="s">
        <v>220</v>
      </c>
      <c r="AX68" t="s">
        <v>226</v>
      </c>
      <c r="AY68" s="313" t="s">
        <v>220</v>
      </c>
      <c r="AZ68" s="313">
        <v>0.115</v>
      </c>
      <c r="BB68" s="313" t="s">
        <v>220</v>
      </c>
      <c r="BC68">
        <v>6.6500000000000004E-2</v>
      </c>
      <c r="BD68" t="s">
        <v>220</v>
      </c>
      <c r="BE68">
        <v>3.95E-2</v>
      </c>
      <c r="BF68" s="2" t="s">
        <v>220</v>
      </c>
      <c r="BG68" s="2" t="s">
        <v>273</v>
      </c>
      <c r="BH68" s="2" t="s">
        <v>274</v>
      </c>
      <c r="BI68" s="2" t="s">
        <v>275</v>
      </c>
      <c r="BM68"/>
      <c r="BP68" s="8"/>
      <c r="BQ68" t="s">
        <v>230</v>
      </c>
      <c r="BR68" t="s">
        <v>230</v>
      </c>
      <c r="BU68" t="s">
        <v>293</v>
      </c>
      <c r="BV68" t="s">
        <v>236</v>
      </c>
      <c r="BW68" t="s">
        <v>232</v>
      </c>
      <c r="BX68" t="s">
        <v>500</v>
      </c>
      <c r="BY68" t="s">
        <v>220</v>
      </c>
      <c r="BZ68">
        <v>0.436</v>
      </c>
      <c r="CA68" t="s">
        <v>372</v>
      </c>
      <c r="CF68" t="s">
        <v>257</v>
      </c>
      <c r="CG68">
        <v>0.72399999999999998</v>
      </c>
      <c r="CH68" t="s">
        <v>257</v>
      </c>
      <c r="CI68">
        <v>0.85799999999999998</v>
      </c>
      <c r="CK68"/>
      <c r="CL68"/>
      <c r="CM68"/>
      <c r="CS68" s="8"/>
      <c r="CW68" t="s">
        <v>220</v>
      </c>
      <c r="CX68" t="s">
        <v>257</v>
      </c>
      <c r="CY68" t="s">
        <v>231</v>
      </c>
      <c r="CZ68" t="s">
        <v>227</v>
      </c>
      <c r="DA68" t="s">
        <v>227</v>
      </c>
      <c r="DB68" t="s">
        <v>227</v>
      </c>
      <c r="DC68"/>
      <c r="DD68"/>
      <c r="DE68"/>
      <c r="DF68"/>
      <c r="DG68"/>
      <c r="DH68" s="323"/>
      <c r="DI68" s="323"/>
      <c r="DJ68" s="323"/>
      <c r="DL68" t="s">
        <v>257</v>
      </c>
      <c r="DM68" t="s">
        <v>220</v>
      </c>
      <c r="DN68" t="s">
        <v>227</v>
      </c>
      <c r="DO68" t="s">
        <v>227</v>
      </c>
      <c r="DP68" t="s">
        <v>227</v>
      </c>
      <c r="DS68" s="338">
        <v>2.6080000000000001</v>
      </c>
      <c r="DT68" s="8" t="s">
        <v>394</v>
      </c>
      <c r="DU68" s="338">
        <v>864.84199999999998</v>
      </c>
      <c r="DV68" s="8" t="s">
        <v>394</v>
      </c>
      <c r="DW68"/>
      <c r="DX68" t="s">
        <v>235</v>
      </c>
      <c r="DY68"/>
      <c r="DZ68" t="s">
        <v>235</v>
      </c>
      <c r="EA68"/>
      <c r="EB68"/>
      <c r="ED68" s="410"/>
      <c r="EE68" s="1"/>
      <c r="EG68" s="410"/>
      <c r="EI68" s="410"/>
      <c r="EK68" s="1"/>
      <c r="EM68"/>
      <c r="EQ68" s="344"/>
      <c r="EU68" s="344"/>
      <c r="EW68" s="409"/>
      <c r="EY68" s="1"/>
      <c r="FA68">
        <v>840.87</v>
      </c>
      <c r="FB68" t="s">
        <v>225</v>
      </c>
      <c r="FC68" s="7">
        <v>107.32477829171971</v>
      </c>
      <c r="FD68" s="357" t="s">
        <v>225</v>
      </c>
      <c r="FE68" s="8">
        <v>429.43753373348852</v>
      </c>
      <c r="FF68" t="s">
        <v>237</v>
      </c>
      <c r="FH68" s="9">
        <v>3088.8726265127548</v>
      </c>
      <c r="FI68" s="9" t="s">
        <v>225</v>
      </c>
      <c r="FK68" t="s">
        <v>235</v>
      </c>
      <c r="FL68">
        <v>620</v>
      </c>
      <c r="FM68">
        <v>1637.9475848349568</v>
      </c>
      <c r="FN68" s="5" t="s">
        <v>237</v>
      </c>
      <c r="FP68" s="6">
        <v>62</v>
      </c>
      <c r="FQ68" t="s">
        <v>239</v>
      </c>
      <c r="FS68" t="s">
        <v>240</v>
      </c>
      <c r="FU68" s="8">
        <v>1</v>
      </c>
      <c r="FV68" s="8">
        <v>10</v>
      </c>
      <c r="FW68" s="8">
        <v>10</v>
      </c>
      <c r="FX68" s="8">
        <v>10</v>
      </c>
      <c r="FY68" s="8">
        <v>3</v>
      </c>
      <c r="FZ68">
        <f t="shared" si="0"/>
        <v>3000</v>
      </c>
      <c r="GA68" s="7" t="s">
        <v>241</v>
      </c>
      <c r="GB68" s="7" t="s">
        <v>241</v>
      </c>
      <c r="GC68" s="6">
        <v>30</v>
      </c>
      <c r="GD68" s="348" t="s">
        <v>242</v>
      </c>
      <c r="GF68" s="6">
        <v>0.17887463048619953</v>
      </c>
      <c r="GH68" s="7"/>
      <c r="GI68" s="441">
        <v>1.3779999999999999</v>
      </c>
      <c r="GJ68" s="441">
        <v>2.5830000000000002</v>
      </c>
      <c r="GK68" s="441">
        <v>4.133</v>
      </c>
      <c r="GL68" s="441">
        <v>10.333</v>
      </c>
      <c r="GM68" s="452" t="s">
        <v>262</v>
      </c>
      <c r="GN68" s="6">
        <v>0.2</v>
      </c>
      <c r="GO68" s="6">
        <v>0.375</v>
      </c>
      <c r="GP68" s="6">
        <v>0.6</v>
      </c>
      <c r="GQ68" s="6">
        <v>1.5</v>
      </c>
      <c r="GR68" s="6" t="s">
        <v>230</v>
      </c>
      <c r="GU68" t="s">
        <v>243</v>
      </c>
      <c r="GV68" t="s">
        <v>223</v>
      </c>
      <c r="GW68" t="s">
        <v>244</v>
      </c>
      <c r="GX68" t="s">
        <v>236</v>
      </c>
      <c r="GY68" t="s">
        <v>245</v>
      </c>
      <c r="HE68" t="s">
        <v>384</v>
      </c>
      <c r="HF68" t="s">
        <v>223</v>
      </c>
      <c r="HG68" t="s">
        <v>231</v>
      </c>
      <c r="HH68" t="s">
        <v>223</v>
      </c>
      <c r="HI68" t="s">
        <v>247</v>
      </c>
      <c r="HJ68" t="s">
        <v>223</v>
      </c>
      <c r="HK68" t="s">
        <v>266</v>
      </c>
      <c r="HO68" t="s">
        <v>231</v>
      </c>
      <c r="HP68" t="s">
        <v>223</v>
      </c>
      <c r="HQ68" t="s">
        <v>231</v>
      </c>
      <c r="HR68" t="s">
        <v>223</v>
      </c>
      <c r="HU68" t="s">
        <v>231</v>
      </c>
      <c r="HV68" t="s">
        <v>223</v>
      </c>
      <c r="HW68" t="s">
        <v>563</v>
      </c>
      <c r="HX68" t="s">
        <v>236</v>
      </c>
      <c r="IA68" t="s">
        <v>231</v>
      </c>
      <c r="IB68" t="s">
        <v>250</v>
      </c>
      <c r="IC68">
        <v>1.3779999999999999</v>
      </c>
      <c r="ID68">
        <v>2.5830000000000002</v>
      </c>
      <c r="IE68">
        <v>4.133</v>
      </c>
      <c r="IF68">
        <v>10.333</v>
      </c>
      <c r="IH68" t="s">
        <v>267</v>
      </c>
    </row>
    <row r="69" spans="1:242" x14ac:dyDescent="0.35">
      <c r="A69" s="310" t="s">
        <v>537</v>
      </c>
      <c r="B69" s="313" t="s">
        <v>662</v>
      </c>
      <c r="C69" s="310" t="s">
        <v>663</v>
      </c>
      <c r="D69" s="316"/>
      <c r="F69" t="s">
        <v>664</v>
      </c>
      <c r="I69" s="310" t="s">
        <v>665</v>
      </c>
      <c r="M69" s="313"/>
      <c r="O69"/>
      <c r="P69" s="381"/>
      <c r="Q69"/>
      <c r="T69" s="8"/>
      <c r="U69"/>
      <c r="V69" s="313"/>
      <c r="W69"/>
      <c r="X69"/>
      <c r="Z69"/>
      <c r="AB69"/>
      <c r="AD69" s="8" t="s">
        <v>230</v>
      </c>
      <c r="AF69" s="8" t="s">
        <v>230</v>
      </c>
      <c r="AG69"/>
      <c r="AH69"/>
      <c r="AI69"/>
      <c r="AJ69" t="s">
        <v>221</v>
      </c>
      <c r="AK69">
        <v>0</v>
      </c>
      <c r="AL69">
        <v>0.5</v>
      </c>
      <c r="AM69" t="s">
        <v>221</v>
      </c>
      <c r="AN69" t="s">
        <v>225</v>
      </c>
      <c r="AO69" t="s">
        <v>221</v>
      </c>
      <c r="AP69" t="s">
        <v>225</v>
      </c>
      <c r="AQ69" t="s">
        <v>221</v>
      </c>
      <c r="AR69" t="s">
        <v>225</v>
      </c>
      <c r="AS69" t="s">
        <v>221</v>
      </c>
      <c r="AT69" t="s">
        <v>236</v>
      </c>
      <c r="AU69" t="s">
        <v>220</v>
      </c>
      <c r="AV69"/>
      <c r="AW69" s="313" t="s">
        <v>220</v>
      </c>
      <c r="AX69" t="s">
        <v>226</v>
      </c>
      <c r="AY69" s="313" t="s">
        <v>220</v>
      </c>
      <c r="AZ69" s="313">
        <v>0.114</v>
      </c>
      <c r="BB69" s="313" t="s">
        <v>220</v>
      </c>
      <c r="BC69">
        <v>6.8599999999999994E-2</v>
      </c>
      <c r="BD69" t="s">
        <v>220</v>
      </c>
      <c r="BE69">
        <v>3.9699999999999999E-2</v>
      </c>
      <c r="BF69" s="2" t="s">
        <v>220</v>
      </c>
      <c r="BG69" s="2" t="s">
        <v>273</v>
      </c>
      <c r="BH69" s="2" t="s">
        <v>274</v>
      </c>
      <c r="BI69" s="2" t="s">
        <v>275</v>
      </c>
      <c r="BM69"/>
      <c r="BP69" s="8"/>
      <c r="BQ69" t="s">
        <v>230</v>
      </c>
      <c r="BR69" t="s">
        <v>230</v>
      </c>
      <c r="BU69" t="s">
        <v>293</v>
      </c>
      <c r="BV69" t="s">
        <v>236</v>
      </c>
      <c r="BW69" t="s">
        <v>232</v>
      </c>
      <c r="BX69" t="s">
        <v>500</v>
      </c>
      <c r="BY69" t="s">
        <v>220</v>
      </c>
      <c r="BZ69">
        <v>0.438</v>
      </c>
      <c r="CA69" t="s">
        <v>372</v>
      </c>
      <c r="CF69" t="s">
        <v>257</v>
      </c>
      <c r="CG69">
        <v>0.68799999999999994</v>
      </c>
      <c r="CH69" t="s">
        <v>257</v>
      </c>
      <c r="CI69">
        <v>0.85299999999999998</v>
      </c>
      <c r="CK69"/>
      <c r="CL69"/>
      <c r="CM69"/>
      <c r="CS69" s="8"/>
      <c r="CW69" t="s">
        <v>220</v>
      </c>
      <c r="CX69" t="s">
        <v>220</v>
      </c>
      <c r="CY69" t="s">
        <v>231</v>
      </c>
      <c r="CZ69" t="s">
        <v>227</v>
      </c>
      <c r="DA69" t="s">
        <v>227</v>
      </c>
      <c r="DB69" t="s">
        <v>227</v>
      </c>
      <c r="DC69"/>
      <c r="DD69"/>
      <c r="DE69"/>
      <c r="DF69"/>
      <c r="DG69"/>
      <c r="DH69" s="323"/>
      <c r="DI69" s="323"/>
      <c r="DJ69" s="323"/>
      <c r="DL69" t="s">
        <v>257</v>
      </c>
      <c r="DM69" t="s">
        <v>220</v>
      </c>
      <c r="DN69" t="s">
        <v>227</v>
      </c>
      <c r="DO69" t="s">
        <v>227</v>
      </c>
      <c r="DP69" t="s">
        <v>227</v>
      </c>
      <c r="DS69" s="338">
        <v>1.1020000000000001</v>
      </c>
      <c r="DT69" s="8" t="s">
        <v>394</v>
      </c>
      <c r="DU69" s="338">
        <v>917.48199999999997</v>
      </c>
      <c r="DV69" s="8" t="s">
        <v>394</v>
      </c>
      <c r="DW69"/>
      <c r="DX69" t="s">
        <v>235</v>
      </c>
      <c r="DY69"/>
      <c r="DZ69" t="s">
        <v>235</v>
      </c>
      <c r="EA69"/>
      <c r="EB69"/>
      <c r="ED69" s="410"/>
      <c r="EE69" s="1"/>
      <c r="EG69" s="410"/>
      <c r="EI69" s="410"/>
      <c r="EK69" s="1"/>
      <c r="EM69"/>
      <c r="EQ69" s="344"/>
      <c r="EU69" s="344"/>
      <c r="EW69" s="409"/>
      <c r="EY69" s="1"/>
      <c r="FA69">
        <v>1410.85</v>
      </c>
      <c r="FB69" t="s">
        <v>225</v>
      </c>
      <c r="FC69" s="7">
        <v>127.3209879852967</v>
      </c>
      <c r="FD69" s="357" t="s">
        <v>225</v>
      </c>
      <c r="FE69" s="8">
        <v>820.54045900228857</v>
      </c>
      <c r="FF69" t="s">
        <v>237</v>
      </c>
      <c r="FH69" s="9">
        <v>7247.6965199299621</v>
      </c>
      <c r="FI69" s="9" t="s">
        <v>225</v>
      </c>
      <c r="FK69" t="s">
        <v>235</v>
      </c>
      <c r="FL69">
        <v>1110</v>
      </c>
      <c r="FM69">
        <v>3319.7088787467978</v>
      </c>
      <c r="FN69" s="5" t="s">
        <v>237</v>
      </c>
      <c r="FP69" s="6">
        <v>111</v>
      </c>
      <c r="FQ69" t="s">
        <v>239</v>
      </c>
      <c r="FS69" t="s">
        <v>240</v>
      </c>
      <c r="FU69" s="8">
        <v>1</v>
      </c>
      <c r="FV69" s="8">
        <v>10</v>
      </c>
      <c r="FW69" s="8">
        <v>10</v>
      </c>
      <c r="FX69" s="8">
        <v>10</v>
      </c>
      <c r="FY69" s="8">
        <v>3</v>
      </c>
      <c r="FZ69">
        <f t="shared" si="0"/>
        <v>3000</v>
      </c>
      <c r="GA69" s="7" t="s">
        <v>241</v>
      </c>
      <c r="GB69" s="7" t="s">
        <v>241</v>
      </c>
      <c r="GC69" s="6">
        <v>30</v>
      </c>
      <c r="GD69" s="348" t="s">
        <v>242</v>
      </c>
      <c r="GF69" s="6">
        <v>0.21220164664216118</v>
      </c>
      <c r="GH69" s="7"/>
      <c r="GI69" s="441">
        <v>2.4670000000000001</v>
      </c>
      <c r="GJ69" s="441">
        <v>4.625</v>
      </c>
      <c r="GK69" s="441">
        <v>7.4</v>
      </c>
      <c r="GL69" s="441">
        <v>18.5</v>
      </c>
      <c r="GM69" s="452" t="s">
        <v>262</v>
      </c>
      <c r="GN69" s="6">
        <v>0.2</v>
      </c>
      <c r="GO69" s="6">
        <v>0.375</v>
      </c>
      <c r="GP69" s="6">
        <v>0.6</v>
      </c>
      <c r="GQ69" s="6">
        <v>1.5</v>
      </c>
      <c r="GR69" s="6" t="s">
        <v>230</v>
      </c>
      <c r="GU69" t="s">
        <v>243</v>
      </c>
      <c r="GV69" t="s">
        <v>225</v>
      </c>
      <c r="GW69" t="s">
        <v>244</v>
      </c>
      <c r="GX69" t="s">
        <v>236</v>
      </c>
      <c r="GY69" t="s">
        <v>245</v>
      </c>
      <c r="HE69" t="s">
        <v>384</v>
      </c>
      <c r="HF69" t="s">
        <v>223</v>
      </c>
      <c r="HG69" t="s">
        <v>231</v>
      </c>
      <c r="HH69" t="s">
        <v>225</v>
      </c>
      <c r="HI69" t="s">
        <v>247</v>
      </c>
      <c r="HJ69" t="s">
        <v>223</v>
      </c>
      <c r="HK69" t="s">
        <v>266</v>
      </c>
      <c r="HO69" t="s">
        <v>231</v>
      </c>
      <c r="HP69" t="s">
        <v>223</v>
      </c>
      <c r="HQ69" t="s">
        <v>231</v>
      </c>
      <c r="HR69" t="s">
        <v>223</v>
      </c>
      <c r="HU69" t="s">
        <v>231</v>
      </c>
      <c r="HV69" t="s">
        <v>223</v>
      </c>
      <c r="HW69" t="s">
        <v>563</v>
      </c>
      <c r="HX69" t="s">
        <v>236</v>
      </c>
      <c r="IA69" t="s">
        <v>231</v>
      </c>
      <c r="IB69" t="s">
        <v>250</v>
      </c>
      <c r="IC69">
        <v>2.4670000000000001</v>
      </c>
      <c r="ID69">
        <v>4.625</v>
      </c>
      <c r="IE69">
        <v>7.4</v>
      </c>
      <c r="IF69">
        <v>18.5</v>
      </c>
      <c r="IH69" t="s">
        <v>267</v>
      </c>
    </row>
    <row r="70" spans="1:242" x14ac:dyDescent="0.35">
      <c r="A70" s="310" t="s">
        <v>537</v>
      </c>
      <c r="B70" s="313" t="s">
        <v>666</v>
      </c>
      <c r="C70" s="310" t="s">
        <v>667</v>
      </c>
      <c r="D70" s="316"/>
      <c r="F70" t="s">
        <v>668</v>
      </c>
      <c r="I70" s="310" t="s">
        <v>669</v>
      </c>
      <c r="M70" s="313"/>
      <c r="O70"/>
      <c r="P70" s="381"/>
      <c r="Q70"/>
      <c r="T70" s="8"/>
      <c r="U70"/>
      <c r="V70" s="313"/>
      <c r="W70"/>
      <c r="X70"/>
      <c r="Z70"/>
      <c r="AB70"/>
      <c r="AD70" s="8" t="s">
        <v>230</v>
      </c>
      <c r="AF70" s="8" t="s">
        <v>230</v>
      </c>
      <c r="AG70"/>
      <c r="AH70"/>
      <c r="AI70"/>
      <c r="AJ70" t="s">
        <v>221</v>
      </c>
      <c r="AK70">
        <v>0</v>
      </c>
      <c r="AL70">
        <v>0.5</v>
      </c>
      <c r="AM70" t="s">
        <v>221</v>
      </c>
      <c r="AN70" t="s">
        <v>225</v>
      </c>
      <c r="AO70" t="s">
        <v>221</v>
      </c>
      <c r="AP70" t="s">
        <v>225</v>
      </c>
      <c r="AQ70" t="s">
        <v>221</v>
      </c>
      <c r="AR70" t="s">
        <v>225</v>
      </c>
      <c r="AS70" t="s">
        <v>221</v>
      </c>
      <c r="AT70" t="s">
        <v>236</v>
      </c>
      <c r="AU70" t="s">
        <v>220</v>
      </c>
      <c r="AV70"/>
      <c r="AW70" s="313" t="s">
        <v>220</v>
      </c>
      <c r="AX70" t="s">
        <v>226</v>
      </c>
      <c r="AY70" s="313" t="s">
        <v>220</v>
      </c>
      <c r="AZ70" s="313">
        <v>0.113</v>
      </c>
      <c r="BB70" s="313" t="s">
        <v>220</v>
      </c>
      <c r="BC70">
        <v>7.0699999999999999E-2</v>
      </c>
      <c r="BD70" t="s">
        <v>220</v>
      </c>
      <c r="BE70">
        <v>3.9899999999999998E-2</v>
      </c>
      <c r="BF70" s="2" t="s">
        <v>220</v>
      </c>
      <c r="BG70" s="2" t="s">
        <v>273</v>
      </c>
      <c r="BH70" s="2" t="s">
        <v>274</v>
      </c>
      <c r="BI70" s="2" t="s">
        <v>275</v>
      </c>
      <c r="BM70"/>
      <c r="BP70" s="8"/>
      <c r="BQ70" t="s">
        <v>230</v>
      </c>
      <c r="BR70" t="s">
        <v>230</v>
      </c>
      <c r="BU70" t="s">
        <v>293</v>
      </c>
      <c r="BV70" t="s">
        <v>236</v>
      </c>
      <c r="BW70" t="s">
        <v>232</v>
      </c>
      <c r="BX70" t="s">
        <v>500</v>
      </c>
      <c r="BY70" t="s">
        <v>220</v>
      </c>
      <c r="BZ70">
        <v>0.435</v>
      </c>
      <c r="CA70" t="s">
        <v>372</v>
      </c>
      <c r="CF70" t="s">
        <v>257</v>
      </c>
      <c r="CG70">
        <v>0.64900000000000002</v>
      </c>
      <c r="CH70" t="s">
        <v>257</v>
      </c>
      <c r="CI70">
        <v>0.84699999999999998</v>
      </c>
      <c r="CK70"/>
      <c r="CL70"/>
      <c r="CM70"/>
      <c r="CS70" s="8"/>
      <c r="CW70" t="s">
        <v>220</v>
      </c>
      <c r="CX70" t="s">
        <v>257</v>
      </c>
      <c r="CY70" t="s">
        <v>317</v>
      </c>
      <c r="CZ70" t="s">
        <v>227</v>
      </c>
      <c r="DA70" t="s">
        <v>227</v>
      </c>
      <c r="DB70" t="s">
        <v>227</v>
      </c>
      <c r="DC70"/>
      <c r="DD70"/>
      <c r="DE70"/>
      <c r="DF70"/>
      <c r="DG70"/>
      <c r="DH70" s="323"/>
      <c r="DI70" s="323"/>
      <c r="DJ70" s="323"/>
      <c r="DL70" t="s">
        <v>257</v>
      </c>
      <c r="DM70" t="s">
        <v>220</v>
      </c>
      <c r="DN70" t="s">
        <v>227</v>
      </c>
      <c r="DO70" t="s">
        <v>227</v>
      </c>
      <c r="DP70" t="s">
        <v>227</v>
      </c>
      <c r="DS70" s="338">
        <v>0.55100000000000005</v>
      </c>
      <c r="DT70" s="8" t="s">
        <v>394</v>
      </c>
      <c r="DU70" s="338">
        <v>963.048</v>
      </c>
      <c r="DV70" s="8" t="s">
        <v>394</v>
      </c>
      <c r="DW70"/>
      <c r="DX70" t="s">
        <v>235</v>
      </c>
      <c r="DY70"/>
      <c r="DZ70" t="s">
        <v>235</v>
      </c>
      <c r="EA70"/>
      <c r="EB70"/>
      <c r="ED70" s="410"/>
      <c r="EE70" s="1"/>
      <c r="EG70" s="410"/>
      <c r="EI70" s="410"/>
      <c r="EK70" s="1"/>
      <c r="EM70"/>
      <c r="EQ70" s="344"/>
      <c r="EU70" s="344"/>
      <c r="EW70" s="409"/>
      <c r="EY70" s="1"/>
      <c r="FA70">
        <v>2367.17</v>
      </c>
      <c r="FB70" t="s">
        <v>225</v>
      </c>
      <c r="FC70" s="7">
        <v>151.04279030038981</v>
      </c>
      <c r="FD70" s="357" t="s">
        <v>225</v>
      </c>
      <c r="FE70" s="8">
        <v>1567.8337172957299</v>
      </c>
      <c r="FF70" t="s">
        <v>237</v>
      </c>
      <c r="FH70" s="9">
        <v>17001.999536423591</v>
      </c>
      <c r="FI70" s="9" t="s">
        <v>236</v>
      </c>
      <c r="FK70" t="s">
        <v>235</v>
      </c>
      <c r="FL70">
        <v>1970</v>
      </c>
      <c r="FM70">
        <v>6729.7665628431851</v>
      </c>
      <c r="FN70" s="5" t="s">
        <v>237</v>
      </c>
      <c r="FP70" s="6">
        <v>197</v>
      </c>
      <c r="FQ70" t="s">
        <v>239</v>
      </c>
      <c r="FS70" t="s">
        <v>240</v>
      </c>
      <c r="FU70" s="8">
        <v>1</v>
      </c>
      <c r="FV70" s="8">
        <v>10</v>
      </c>
      <c r="FW70" s="8">
        <v>10</v>
      </c>
      <c r="FX70" s="8">
        <v>10</v>
      </c>
      <c r="FY70" s="8">
        <v>3</v>
      </c>
      <c r="FZ70">
        <f t="shared" si="0"/>
        <v>3000</v>
      </c>
      <c r="GA70" s="7" t="s">
        <v>326</v>
      </c>
      <c r="GB70" s="7" t="s">
        <v>326</v>
      </c>
      <c r="GC70" s="6">
        <v>1.5</v>
      </c>
      <c r="GD70" s="348" t="s">
        <v>242</v>
      </c>
      <c r="GF70" s="6">
        <v>0.25173798383398305</v>
      </c>
      <c r="GH70" s="7"/>
      <c r="GI70" s="441">
        <v>4.3780000000000001</v>
      </c>
      <c r="GJ70" s="441">
        <v>8.2080000000000002</v>
      </c>
      <c r="GK70" s="441">
        <v>13.132999999999999</v>
      </c>
      <c r="GL70" s="441">
        <v>32.832999999999998</v>
      </c>
      <c r="GM70" s="452" t="s">
        <v>262</v>
      </c>
      <c r="GN70" s="6">
        <v>0.01</v>
      </c>
      <c r="GO70" s="6">
        <v>1.8749999999999999E-2</v>
      </c>
      <c r="GP70" s="6">
        <v>0.03</v>
      </c>
      <c r="GQ70" s="6">
        <v>7.4999999999999997E-2</v>
      </c>
      <c r="GR70" s="6" t="s">
        <v>230</v>
      </c>
      <c r="GU70" t="s">
        <v>243</v>
      </c>
      <c r="GV70" t="s">
        <v>236</v>
      </c>
      <c r="GW70" t="s">
        <v>244</v>
      </c>
      <c r="GX70" t="s">
        <v>236</v>
      </c>
      <c r="GY70" t="s">
        <v>245</v>
      </c>
      <c r="HE70" t="s">
        <v>384</v>
      </c>
      <c r="HF70" t="s">
        <v>223</v>
      </c>
      <c r="HG70" t="s">
        <v>231</v>
      </c>
      <c r="HH70" t="s">
        <v>225</v>
      </c>
      <c r="HI70" t="s">
        <v>247</v>
      </c>
      <c r="HJ70" t="s">
        <v>225</v>
      </c>
      <c r="HK70" t="s">
        <v>266</v>
      </c>
      <c r="HO70" t="s">
        <v>231</v>
      </c>
      <c r="HP70" t="s">
        <v>223</v>
      </c>
      <c r="HQ70" t="s">
        <v>231</v>
      </c>
      <c r="HR70" t="s">
        <v>223</v>
      </c>
      <c r="HU70" t="s">
        <v>231</v>
      </c>
      <c r="HV70" t="s">
        <v>223</v>
      </c>
      <c r="HW70" t="s">
        <v>563</v>
      </c>
      <c r="HX70" t="s">
        <v>236</v>
      </c>
      <c r="IA70" t="s">
        <v>231</v>
      </c>
      <c r="IB70" t="s">
        <v>250</v>
      </c>
      <c r="IC70">
        <v>4.3780000000000001</v>
      </c>
      <c r="ID70">
        <v>8.2080000000000002</v>
      </c>
      <c r="IE70">
        <v>13.132999999999999</v>
      </c>
      <c r="IF70">
        <v>32.832999999999998</v>
      </c>
      <c r="IH70" t="s">
        <v>267</v>
      </c>
    </row>
    <row r="71" spans="1:242" x14ac:dyDescent="0.35">
      <c r="A71" s="310" t="s">
        <v>537</v>
      </c>
      <c r="B71" s="313" t="s">
        <v>670</v>
      </c>
      <c r="C71" s="310" t="s">
        <v>671</v>
      </c>
      <c r="D71" s="316"/>
      <c r="F71" t="s">
        <v>672</v>
      </c>
      <c r="I71" s="310" t="s">
        <v>673</v>
      </c>
      <c r="M71" s="313"/>
      <c r="O71"/>
      <c r="P71" s="381"/>
      <c r="Q71"/>
      <c r="T71" s="8"/>
      <c r="U71"/>
      <c r="V71" s="313"/>
      <c r="W71"/>
      <c r="X71"/>
      <c r="Z71"/>
      <c r="AB71"/>
      <c r="AD71" s="8" t="s">
        <v>230</v>
      </c>
      <c r="AF71" s="8" t="s">
        <v>230</v>
      </c>
      <c r="AG71"/>
      <c r="AH71"/>
      <c r="AI71"/>
      <c r="AJ71" t="s">
        <v>221</v>
      </c>
      <c r="AK71">
        <v>0</v>
      </c>
      <c r="AL71">
        <v>0.6</v>
      </c>
      <c r="AM71" t="s">
        <v>221</v>
      </c>
      <c r="AN71" t="s">
        <v>225</v>
      </c>
      <c r="AO71" t="s">
        <v>221</v>
      </c>
      <c r="AP71" t="s">
        <v>225</v>
      </c>
      <c r="AQ71" t="s">
        <v>221</v>
      </c>
      <c r="AR71" t="s">
        <v>225</v>
      </c>
      <c r="AS71" t="s">
        <v>221</v>
      </c>
      <c r="AT71" t="s">
        <v>225</v>
      </c>
      <c r="AU71" t="s">
        <v>220</v>
      </c>
      <c r="AV71"/>
      <c r="AW71" s="313" t="s">
        <v>220</v>
      </c>
      <c r="AX71" t="s">
        <v>226</v>
      </c>
      <c r="AY71" s="313" t="s">
        <v>220</v>
      </c>
      <c r="AZ71" s="313">
        <v>0.112</v>
      </c>
      <c r="BB71" s="313" t="s">
        <v>220</v>
      </c>
      <c r="BC71">
        <v>7.2999999999999995E-2</v>
      </c>
      <c r="BD71" t="s">
        <v>220</v>
      </c>
      <c r="BE71">
        <v>0.04</v>
      </c>
      <c r="BF71" s="2" t="s">
        <v>220</v>
      </c>
      <c r="BG71" s="2" t="s">
        <v>273</v>
      </c>
      <c r="BH71" s="2" t="s">
        <v>274</v>
      </c>
      <c r="BI71" s="2" t="s">
        <v>275</v>
      </c>
      <c r="BM71"/>
      <c r="BP71" s="8"/>
      <c r="BQ71" t="s">
        <v>230</v>
      </c>
      <c r="BR71" t="s">
        <v>230</v>
      </c>
      <c r="BU71" t="s">
        <v>293</v>
      </c>
      <c r="BV71" t="s">
        <v>236</v>
      </c>
      <c r="BW71" t="s">
        <v>232</v>
      </c>
      <c r="BX71" t="s">
        <v>500</v>
      </c>
      <c r="BY71" t="s">
        <v>220</v>
      </c>
      <c r="BZ71">
        <v>0.438</v>
      </c>
      <c r="CA71" t="s">
        <v>372</v>
      </c>
      <c r="CF71" t="s">
        <v>257</v>
      </c>
      <c r="CG71">
        <v>0.60799999999999998</v>
      </c>
      <c r="CH71" t="s">
        <v>257</v>
      </c>
      <c r="CI71">
        <v>0.84099999999999997</v>
      </c>
      <c r="CK71"/>
      <c r="CL71"/>
      <c r="CM71"/>
      <c r="CS71" s="8"/>
      <c r="CW71" t="s">
        <v>220</v>
      </c>
      <c r="CX71" t="s">
        <v>257</v>
      </c>
      <c r="CY71" t="s">
        <v>317</v>
      </c>
      <c r="CZ71" t="s">
        <v>227</v>
      </c>
      <c r="DA71" t="s">
        <v>227</v>
      </c>
      <c r="DB71" t="s">
        <v>227</v>
      </c>
      <c r="DC71"/>
      <c r="DD71"/>
      <c r="DE71"/>
      <c r="DF71"/>
      <c r="DG71"/>
      <c r="DH71" s="323"/>
      <c r="DI71" s="323"/>
      <c r="DJ71" s="323"/>
      <c r="DL71" t="s">
        <v>257</v>
      </c>
      <c r="DM71" t="s">
        <v>220</v>
      </c>
      <c r="DN71" t="s">
        <v>227</v>
      </c>
      <c r="DO71" t="s">
        <v>227</v>
      </c>
      <c r="DP71" t="s">
        <v>227</v>
      </c>
      <c r="DS71" s="338">
        <v>0.317</v>
      </c>
      <c r="DT71" s="8" t="s">
        <v>394</v>
      </c>
      <c r="DU71" s="338">
        <v>1037.316</v>
      </c>
      <c r="DV71" s="8" t="s">
        <v>394</v>
      </c>
      <c r="DW71"/>
      <c r="DX71" t="s">
        <v>235</v>
      </c>
      <c r="DY71"/>
      <c r="DZ71" t="s">
        <v>235</v>
      </c>
      <c r="EA71"/>
      <c r="EB71"/>
      <c r="ED71" s="410"/>
      <c r="EE71" s="1"/>
      <c r="EG71" s="410"/>
      <c r="EI71" s="410"/>
      <c r="EK71" s="1"/>
      <c r="EM71"/>
      <c r="EQ71" s="344"/>
      <c r="EU71" s="344"/>
      <c r="EW71" s="409"/>
      <c r="EY71" s="1"/>
      <c r="FA71">
        <v>3971.72</v>
      </c>
      <c r="FB71" t="s">
        <v>225</v>
      </c>
      <c r="FC71" s="7">
        <v>179.18431880502007</v>
      </c>
      <c r="FD71" s="357" t="s">
        <v>225</v>
      </c>
      <c r="FE71" s="8">
        <v>2995.7115924280015</v>
      </c>
      <c r="FF71" t="s">
        <v>237</v>
      </c>
      <c r="FH71" s="9">
        <v>39893.303406008628</v>
      </c>
      <c r="FI71" s="9" t="s">
        <v>236</v>
      </c>
      <c r="FK71" t="s">
        <v>235</v>
      </c>
      <c r="FL71">
        <v>3510</v>
      </c>
      <c r="FM71">
        <v>13639.548675066397</v>
      </c>
      <c r="FN71" s="5" t="s">
        <v>237</v>
      </c>
      <c r="FP71" s="6">
        <v>351</v>
      </c>
      <c r="FQ71" t="s">
        <v>239</v>
      </c>
      <c r="FS71" t="s">
        <v>240</v>
      </c>
      <c r="FU71" s="8">
        <v>1</v>
      </c>
      <c r="FV71" s="8">
        <v>10</v>
      </c>
      <c r="FW71" s="8">
        <v>10</v>
      </c>
      <c r="FX71" s="8">
        <v>10</v>
      </c>
      <c r="FY71" s="8">
        <v>3</v>
      </c>
      <c r="FZ71">
        <f t="shared" ref="FZ71:FZ134" si="1">FU71*FV71*FW71*FX71*FY71</f>
        <v>3000</v>
      </c>
      <c r="GA71" s="7" t="s">
        <v>326</v>
      </c>
      <c r="GB71" s="7" t="s">
        <v>326</v>
      </c>
      <c r="GC71" s="6">
        <v>1.5</v>
      </c>
      <c r="GD71" s="348" t="s">
        <v>242</v>
      </c>
      <c r="GF71" s="6">
        <v>0.2986405313417001</v>
      </c>
      <c r="GH71" s="7"/>
      <c r="GI71" s="441">
        <v>7.8</v>
      </c>
      <c r="GJ71" s="441">
        <v>14.625</v>
      </c>
      <c r="GK71" s="441">
        <v>23.4</v>
      </c>
      <c r="GL71" s="441">
        <v>58.5</v>
      </c>
      <c r="GM71" s="452" t="s">
        <v>262</v>
      </c>
      <c r="GN71" s="6">
        <v>0.01</v>
      </c>
      <c r="GO71" s="6">
        <v>1.8749999999999999E-2</v>
      </c>
      <c r="GP71" s="6">
        <v>0.03</v>
      </c>
      <c r="GQ71" s="6">
        <v>7.4999999999999997E-2</v>
      </c>
      <c r="GR71" s="6" t="s">
        <v>230</v>
      </c>
      <c r="GU71" t="s">
        <v>243</v>
      </c>
      <c r="GV71" t="s">
        <v>236</v>
      </c>
      <c r="GW71" t="s">
        <v>244</v>
      </c>
      <c r="GX71" t="s">
        <v>236</v>
      </c>
      <c r="GY71" t="s">
        <v>245</v>
      </c>
      <c r="HE71" t="s">
        <v>384</v>
      </c>
      <c r="HF71" t="s">
        <v>223</v>
      </c>
      <c r="HG71" t="s">
        <v>231</v>
      </c>
      <c r="HH71" t="s">
        <v>225</v>
      </c>
      <c r="HI71" t="s">
        <v>247</v>
      </c>
      <c r="HJ71" t="s">
        <v>225</v>
      </c>
      <c r="HK71" t="s">
        <v>568</v>
      </c>
      <c r="HO71" t="s">
        <v>231</v>
      </c>
      <c r="HP71" t="s">
        <v>223</v>
      </c>
      <c r="HQ71" t="s">
        <v>231</v>
      </c>
      <c r="HR71" t="s">
        <v>223</v>
      </c>
      <c r="HU71" t="s">
        <v>231</v>
      </c>
      <c r="HV71" t="s">
        <v>225</v>
      </c>
      <c r="HW71" t="s">
        <v>563</v>
      </c>
      <c r="HX71" t="s">
        <v>236</v>
      </c>
      <c r="IA71" t="s">
        <v>231</v>
      </c>
      <c r="IB71" t="s">
        <v>250</v>
      </c>
      <c r="IC71">
        <v>7.8</v>
      </c>
      <c r="ID71">
        <v>14.625</v>
      </c>
      <c r="IE71">
        <v>23.4</v>
      </c>
      <c r="IF71">
        <v>58.5</v>
      </c>
      <c r="IH71" t="s">
        <v>267</v>
      </c>
    </row>
    <row r="72" spans="1:242" x14ac:dyDescent="0.35">
      <c r="A72" s="310" t="s">
        <v>537</v>
      </c>
      <c r="B72" s="313" t="s">
        <v>674</v>
      </c>
      <c r="C72" s="310" t="s">
        <v>675</v>
      </c>
      <c r="D72" s="316"/>
      <c r="F72" t="s">
        <v>676</v>
      </c>
      <c r="I72" s="310" t="s">
        <v>677</v>
      </c>
      <c r="M72" s="313"/>
      <c r="O72"/>
      <c r="P72" s="381"/>
      <c r="Q72"/>
      <c r="T72" s="8"/>
      <c r="U72"/>
      <c r="V72" s="313"/>
      <c r="W72"/>
      <c r="X72"/>
      <c r="Z72"/>
      <c r="AB72"/>
      <c r="AD72" s="8" t="s">
        <v>230</v>
      </c>
      <c r="AF72" s="8" t="s">
        <v>230</v>
      </c>
      <c r="AG72"/>
      <c r="AH72"/>
      <c r="AI72"/>
      <c r="AJ72" t="s">
        <v>221</v>
      </c>
      <c r="AK72">
        <v>0</v>
      </c>
      <c r="AL72">
        <v>0.6</v>
      </c>
      <c r="AM72" t="s">
        <v>221</v>
      </c>
      <c r="AN72" t="s">
        <v>225</v>
      </c>
      <c r="AO72" t="s">
        <v>221</v>
      </c>
      <c r="AP72" t="s">
        <v>225</v>
      </c>
      <c r="AQ72" t="s">
        <v>221</v>
      </c>
      <c r="AR72" t="s">
        <v>225</v>
      </c>
      <c r="AS72" t="s">
        <v>221</v>
      </c>
      <c r="AT72" t="s">
        <v>225</v>
      </c>
      <c r="AU72" t="s">
        <v>220</v>
      </c>
      <c r="AV72"/>
      <c r="AW72" s="313" t="s">
        <v>220</v>
      </c>
      <c r="AX72" t="s">
        <v>226</v>
      </c>
      <c r="AY72" s="313" t="s">
        <v>220</v>
      </c>
      <c r="AZ72" s="313">
        <v>0.111</v>
      </c>
      <c r="BB72" s="313" t="s">
        <v>220</v>
      </c>
      <c r="BC72">
        <v>7.5200000000000003E-2</v>
      </c>
      <c r="BD72" t="s">
        <v>220</v>
      </c>
      <c r="BE72">
        <v>4.02E-2</v>
      </c>
      <c r="BF72" s="2" t="s">
        <v>220</v>
      </c>
      <c r="BG72" s="2" t="s">
        <v>273</v>
      </c>
      <c r="BH72" s="2" t="s">
        <v>274</v>
      </c>
      <c r="BI72" s="2" t="s">
        <v>275</v>
      </c>
      <c r="BM72"/>
      <c r="BP72" s="8"/>
      <c r="BQ72" t="s">
        <v>230</v>
      </c>
      <c r="BR72" t="s">
        <v>230</v>
      </c>
      <c r="BU72" t="s">
        <v>293</v>
      </c>
      <c r="BV72" t="s">
        <v>236</v>
      </c>
      <c r="BW72" t="s">
        <v>232</v>
      </c>
      <c r="BX72" t="s">
        <v>500</v>
      </c>
      <c r="BY72" t="s">
        <v>220</v>
      </c>
      <c r="BZ72">
        <v>0.434</v>
      </c>
      <c r="CA72" t="s">
        <v>372</v>
      </c>
      <c r="CF72" t="s">
        <v>257</v>
      </c>
      <c r="CG72">
        <v>0.56599999999999995</v>
      </c>
      <c r="CH72" t="s">
        <v>257</v>
      </c>
      <c r="CI72">
        <v>0.83499999999999996</v>
      </c>
      <c r="CK72"/>
      <c r="CL72"/>
      <c r="CM72"/>
      <c r="CS72" s="8"/>
      <c r="CW72" t="s">
        <v>220</v>
      </c>
      <c r="CX72" t="s">
        <v>257</v>
      </c>
      <c r="CY72" t="s">
        <v>317</v>
      </c>
      <c r="CZ72" t="s">
        <v>227</v>
      </c>
      <c r="DA72" t="s">
        <v>227</v>
      </c>
      <c r="DB72" t="s">
        <v>227</v>
      </c>
      <c r="DC72"/>
      <c r="DD72"/>
      <c r="DE72"/>
      <c r="DF72"/>
      <c r="DG72"/>
      <c r="DH72" s="323"/>
      <c r="DI72" s="323"/>
      <c r="DJ72" s="323"/>
      <c r="DL72" t="s">
        <v>257</v>
      </c>
      <c r="DM72" t="s">
        <v>220</v>
      </c>
      <c r="DN72" t="s">
        <v>227</v>
      </c>
      <c r="DO72" t="s">
        <v>227</v>
      </c>
      <c r="DP72" t="s">
        <v>227</v>
      </c>
      <c r="DS72" s="338">
        <v>0.20300000000000001</v>
      </c>
      <c r="DT72" s="8" t="s">
        <v>394</v>
      </c>
      <c r="DU72" s="338">
        <v>1154.3810000000001</v>
      </c>
      <c r="DV72" s="8" t="s">
        <v>394</v>
      </c>
      <c r="DW72"/>
      <c r="DX72" t="s">
        <v>235</v>
      </c>
      <c r="DY72"/>
      <c r="DZ72" t="s">
        <v>235</v>
      </c>
      <c r="EA72"/>
      <c r="EB72"/>
      <c r="ED72" s="410"/>
      <c r="EE72" s="1"/>
      <c r="EG72" s="410"/>
      <c r="EI72" s="410"/>
      <c r="EK72" s="1"/>
      <c r="EM72"/>
      <c r="EQ72" s="344"/>
      <c r="EU72" s="344"/>
      <c r="EW72" s="409"/>
      <c r="EY72" s="1"/>
      <c r="FA72">
        <v>6663.9</v>
      </c>
      <c r="FB72" t="s">
        <v>225</v>
      </c>
      <c r="FC72" s="7">
        <v>212.56903452171088</v>
      </c>
      <c r="FD72" s="357" t="s">
        <v>225</v>
      </c>
      <c r="FE72" s="8">
        <v>5724.0049413446368</v>
      </c>
      <c r="FF72" t="s">
        <v>237</v>
      </c>
      <c r="FH72" s="9">
        <v>93583.654358352956</v>
      </c>
      <c r="FI72" s="9" t="s">
        <v>236</v>
      </c>
      <c r="FK72" t="s">
        <v>235</v>
      </c>
      <c r="FL72">
        <v>6250</v>
      </c>
      <c r="FM72">
        <v>27650.309698356843</v>
      </c>
      <c r="FN72" s="5" t="s">
        <v>237</v>
      </c>
      <c r="FP72" s="6">
        <v>625</v>
      </c>
      <c r="FQ72" t="s">
        <v>239</v>
      </c>
      <c r="FS72" t="s">
        <v>240</v>
      </c>
      <c r="FU72" s="8">
        <v>1</v>
      </c>
      <c r="FV72" s="8">
        <v>10</v>
      </c>
      <c r="FW72" s="8">
        <v>10</v>
      </c>
      <c r="FX72" s="8">
        <v>10</v>
      </c>
      <c r="FY72" s="8">
        <v>3</v>
      </c>
      <c r="FZ72">
        <f t="shared" si="1"/>
        <v>3000</v>
      </c>
      <c r="GA72" s="7" t="s">
        <v>326</v>
      </c>
      <c r="GB72" s="7" t="s">
        <v>326</v>
      </c>
      <c r="GC72" s="6">
        <v>1.5</v>
      </c>
      <c r="GD72" s="348" t="s">
        <v>242</v>
      </c>
      <c r="GF72" s="6">
        <v>0.35428172420285142</v>
      </c>
      <c r="GH72" s="7"/>
      <c r="GI72" s="441">
        <v>13.888999999999999</v>
      </c>
      <c r="GJ72" s="441">
        <v>26.042000000000002</v>
      </c>
      <c r="GK72" s="441">
        <v>41.667000000000002</v>
      </c>
      <c r="GL72" s="441">
        <v>104.167</v>
      </c>
      <c r="GM72" s="452" t="s">
        <v>262</v>
      </c>
      <c r="GN72" s="6">
        <v>0.01</v>
      </c>
      <c r="GO72" s="6">
        <v>1.8749999999999999E-2</v>
      </c>
      <c r="GP72" s="6">
        <v>0.03</v>
      </c>
      <c r="GQ72" s="6">
        <v>7.4999999999999997E-2</v>
      </c>
      <c r="GR72" s="6" t="s">
        <v>230</v>
      </c>
      <c r="GU72" t="s">
        <v>243</v>
      </c>
      <c r="GV72" t="s">
        <v>236</v>
      </c>
      <c r="GW72" t="s">
        <v>244</v>
      </c>
      <c r="GX72" t="s">
        <v>236</v>
      </c>
      <c r="GY72" t="s">
        <v>245</v>
      </c>
      <c r="HE72" t="s">
        <v>384</v>
      </c>
      <c r="HF72" t="s">
        <v>223</v>
      </c>
      <c r="HG72" t="s">
        <v>231</v>
      </c>
      <c r="HH72" t="s">
        <v>225</v>
      </c>
      <c r="HI72" t="s">
        <v>247</v>
      </c>
      <c r="HJ72" t="s">
        <v>225</v>
      </c>
      <c r="HK72" t="s">
        <v>568</v>
      </c>
      <c r="HO72" t="s">
        <v>231</v>
      </c>
      <c r="HP72" t="s">
        <v>223</v>
      </c>
      <c r="HQ72" t="s">
        <v>231</v>
      </c>
      <c r="HR72" t="s">
        <v>223</v>
      </c>
      <c r="HU72" t="s">
        <v>231</v>
      </c>
      <c r="HV72" t="s">
        <v>225</v>
      </c>
      <c r="HW72" t="s">
        <v>563</v>
      </c>
      <c r="HX72" t="s">
        <v>236</v>
      </c>
      <c r="IA72" t="s">
        <v>231</v>
      </c>
      <c r="IB72" t="s">
        <v>250</v>
      </c>
      <c r="IC72">
        <v>13.888999999999999</v>
      </c>
      <c r="ID72">
        <v>26.042000000000002</v>
      </c>
      <c r="IE72">
        <v>41.667000000000002</v>
      </c>
      <c r="IF72">
        <v>104.167</v>
      </c>
      <c r="IH72" t="s">
        <v>267</v>
      </c>
    </row>
    <row r="73" spans="1:242" x14ac:dyDescent="0.35">
      <c r="A73" s="310" t="s">
        <v>537</v>
      </c>
      <c r="B73" s="313" t="s">
        <v>678</v>
      </c>
      <c r="C73" s="310" t="s">
        <v>679</v>
      </c>
      <c r="D73" s="316"/>
      <c r="F73" t="s">
        <v>680</v>
      </c>
      <c r="I73" s="310" t="s">
        <v>681</v>
      </c>
      <c r="M73" s="313"/>
      <c r="O73"/>
      <c r="P73" s="381"/>
      <c r="Q73"/>
      <c r="T73" s="8"/>
      <c r="U73"/>
      <c r="V73" s="313"/>
      <c r="W73"/>
      <c r="X73"/>
      <c r="Z73"/>
      <c r="AB73"/>
      <c r="AD73" s="8" t="s">
        <v>230</v>
      </c>
      <c r="AF73" s="8" t="s">
        <v>230</v>
      </c>
      <c r="AG73"/>
      <c r="AH73"/>
      <c r="AI73"/>
      <c r="AJ73" t="s">
        <v>221</v>
      </c>
      <c r="AK73">
        <v>0</v>
      </c>
      <c r="AL73">
        <v>0.6</v>
      </c>
      <c r="AM73" t="s">
        <v>221</v>
      </c>
      <c r="AN73" t="s">
        <v>225</v>
      </c>
      <c r="AO73" t="s">
        <v>221</v>
      </c>
      <c r="AP73" t="s">
        <v>225</v>
      </c>
      <c r="AQ73" t="s">
        <v>221</v>
      </c>
      <c r="AR73" t="s">
        <v>225</v>
      </c>
      <c r="AS73" t="s">
        <v>221</v>
      </c>
      <c r="AT73" t="s">
        <v>225</v>
      </c>
      <c r="AU73" t="s">
        <v>220</v>
      </c>
      <c r="AV73"/>
      <c r="AW73" s="313" t="s">
        <v>220</v>
      </c>
      <c r="AX73" t="s">
        <v>226</v>
      </c>
      <c r="AY73" s="313" t="s">
        <v>220</v>
      </c>
      <c r="AZ73" s="313">
        <v>0.111</v>
      </c>
      <c r="BB73" s="313" t="s">
        <v>220</v>
      </c>
      <c r="BC73">
        <v>7.7600000000000002E-2</v>
      </c>
      <c r="BD73" t="s">
        <v>220</v>
      </c>
      <c r="BE73">
        <v>4.0399999999999998E-2</v>
      </c>
      <c r="BF73" s="2" t="s">
        <v>220</v>
      </c>
      <c r="BG73" s="2" t="s">
        <v>273</v>
      </c>
      <c r="BH73" s="2" t="s">
        <v>274</v>
      </c>
      <c r="BI73" s="2" t="s">
        <v>275</v>
      </c>
      <c r="BM73"/>
      <c r="BP73" s="8"/>
      <c r="BQ73" t="s">
        <v>230</v>
      </c>
      <c r="BR73" t="s">
        <v>230</v>
      </c>
      <c r="BU73" t="s">
        <v>293</v>
      </c>
      <c r="BV73" t="s">
        <v>236</v>
      </c>
      <c r="BW73" t="s">
        <v>232</v>
      </c>
      <c r="BX73" t="s">
        <v>500</v>
      </c>
      <c r="BY73" t="s">
        <v>220</v>
      </c>
      <c r="BZ73">
        <v>0.43</v>
      </c>
      <c r="CA73" t="s">
        <v>372</v>
      </c>
      <c r="CF73" t="s">
        <v>257</v>
      </c>
      <c r="CG73">
        <v>0.52300000000000002</v>
      </c>
      <c r="CH73" t="s">
        <v>257</v>
      </c>
      <c r="CI73">
        <v>0.82899999999999996</v>
      </c>
      <c r="CK73"/>
      <c r="CL73"/>
      <c r="CM73"/>
      <c r="CS73" s="8"/>
      <c r="CW73" t="s">
        <v>220</v>
      </c>
      <c r="CX73" t="s">
        <v>257</v>
      </c>
      <c r="CY73" t="s">
        <v>317</v>
      </c>
      <c r="CZ73" t="s">
        <v>227</v>
      </c>
      <c r="DA73" t="s">
        <v>227</v>
      </c>
      <c r="DB73" t="s">
        <v>227</v>
      </c>
      <c r="DC73"/>
      <c r="DD73"/>
      <c r="DE73"/>
      <c r="DF73"/>
      <c r="DG73"/>
      <c r="DH73" s="323"/>
      <c r="DI73" s="323"/>
      <c r="DJ73" s="323"/>
      <c r="DL73" t="s">
        <v>257</v>
      </c>
      <c r="DM73" t="s">
        <v>220</v>
      </c>
      <c r="DN73" t="s">
        <v>227</v>
      </c>
      <c r="DO73" t="s">
        <v>227</v>
      </c>
      <c r="DP73" t="s">
        <v>227</v>
      </c>
      <c r="DS73" s="338">
        <v>0.14199999999999999</v>
      </c>
      <c r="DT73" s="8" t="s">
        <v>394</v>
      </c>
      <c r="DU73" s="338">
        <v>1312.931</v>
      </c>
      <c r="DV73" s="8" t="s">
        <v>394</v>
      </c>
      <c r="DW73"/>
      <c r="DX73" t="s">
        <v>235</v>
      </c>
      <c r="DY73"/>
      <c r="DZ73" t="s">
        <v>235</v>
      </c>
      <c r="EA73"/>
      <c r="EB73"/>
      <c r="ED73" s="410"/>
      <c r="EE73" s="1"/>
      <c r="EG73" s="410"/>
      <c r="EI73" s="410"/>
      <c r="EK73" s="1"/>
      <c r="EM73"/>
      <c r="EQ73" s="344"/>
      <c r="EU73" s="344"/>
      <c r="EW73" s="409"/>
      <c r="EY73" s="1"/>
      <c r="FA73">
        <v>11180.92</v>
      </c>
      <c r="FB73" t="s">
        <v>225</v>
      </c>
      <c r="FC73" s="7">
        <v>252.1738215644925</v>
      </c>
      <c r="FD73" s="357" t="s">
        <v>225</v>
      </c>
      <c r="FE73" s="8">
        <v>10937.045025079593</v>
      </c>
      <c r="FF73" t="s">
        <v>237</v>
      </c>
      <c r="FH73" s="9">
        <v>219583.65009731892</v>
      </c>
      <c r="FI73" s="9" t="s">
        <v>236</v>
      </c>
      <c r="FK73" t="s">
        <v>235</v>
      </c>
      <c r="FL73">
        <v>11100</v>
      </c>
      <c r="FM73">
        <v>56040.241736418546</v>
      </c>
      <c r="FN73" s="5" t="s">
        <v>237</v>
      </c>
      <c r="FP73" s="6">
        <v>1110</v>
      </c>
      <c r="FQ73" t="s">
        <v>239</v>
      </c>
      <c r="FS73" t="s">
        <v>240</v>
      </c>
      <c r="FU73" s="8">
        <v>1</v>
      </c>
      <c r="FV73" s="8">
        <v>10</v>
      </c>
      <c r="FW73" s="8">
        <v>10</v>
      </c>
      <c r="FX73" s="8">
        <v>10</v>
      </c>
      <c r="FY73" s="8">
        <v>3</v>
      </c>
      <c r="FZ73">
        <f t="shared" si="1"/>
        <v>3000</v>
      </c>
      <c r="GA73" s="7" t="s">
        <v>326</v>
      </c>
      <c r="GB73" s="7" t="s">
        <v>326</v>
      </c>
      <c r="GC73" s="6">
        <v>1.5</v>
      </c>
      <c r="GD73" s="348" t="s">
        <v>242</v>
      </c>
      <c r="GF73" s="6">
        <v>0.42028970260748749</v>
      </c>
      <c r="GH73" s="7"/>
      <c r="GI73" s="441">
        <v>24.667000000000002</v>
      </c>
      <c r="GJ73" s="441">
        <v>46.25</v>
      </c>
      <c r="GK73" s="441">
        <v>74</v>
      </c>
      <c r="GL73" s="441">
        <v>185</v>
      </c>
      <c r="GM73" s="452" t="s">
        <v>262</v>
      </c>
      <c r="GN73" s="6">
        <v>0.01</v>
      </c>
      <c r="GO73" s="6">
        <v>1.8749999999999999E-2</v>
      </c>
      <c r="GP73" s="6">
        <v>0.03</v>
      </c>
      <c r="GQ73" s="6">
        <v>7.4999999999999997E-2</v>
      </c>
      <c r="GR73" s="6" t="s">
        <v>230</v>
      </c>
      <c r="GU73" t="s">
        <v>243</v>
      </c>
      <c r="GV73" t="s">
        <v>236</v>
      </c>
      <c r="GW73" t="s">
        <v>244</v>
      </c>
      <c r="GX73" t="s">
        <v>236</v>
      </c>
      <c r="GY73" t="s">
        <v>245</v>
      </c>
      <c r="HE73" t="s">
        <v>384</v>
      </c>
      <c r="HF73" t="s">
        <v>223</v>
      </c>
      <c r="HG73" t="s">
        <v>231</v>
      </c>
      <c r="HH73" t="s">
        <v>225</v>
      </c>
      <c r="HI73" t="s">
        <v>247</v>
      </c>
      <c r="HJ73" t="s">
        <v>225</v>
      </c>
      <c r="HK73" t="s">
        <v>568</v>
      </c>
      <c r="HO73" t="s">
        <v>231</v>
      </c>
      <c r="HP73" t="s">
        <v>223</v>
      </c>
      <c r="HQ73" t="s">
        <v>231</v>
      </c>
      <c r="HR73" t="s">
        <v>223</v>
      </c>
      <c r="HU73" t="s">
        <v>231</v>
      </c>
      <c r="HV73" t="s">
        <v>225</v>
      </c>
      <c r="HW73" t="s">
        <v>563</v>
      </c>
      <c r="HX73" t="s">
        <v>236</v>
      </c>
      <c r="IA73" t="s">
        <v>231</v>
      </c>
      <c r="IB73" t="s">
        <v>250</v>
      </c>
      <c r="IC73">
        <v>24.667000000000002</v>
      </c>
      <c r="ID73">
        <v>46.25</v>
      </c>
      <c r="IE73">
        <v>74</v>
      </c>
      <c r="IF73">
        <v>185</v>
      </c>
      <c r="IH73" t="s">
        <v>267</v>
      </c>
    </row>
    <row r="74" spans="1:242" x14ac:dyDescent="0.35">
      <c r="A74" s="310" t="s">
        <v>537</v>
      </c>
      <c r="B74" s="313" t="s">
        <v>682</v>
      </c>
      <c r="C74" s="310" t="s">
        <v>683</v>
      </c>
      <c r="D74" s="316"/>
      <c r="F74" t="s">
        <v>684</v>
      </c>
      <c r="I74" s="310" t="s">
        <v>685</v>
      </c>
      <c r="M74" s="313"/>
      <c r="O74"/>
      <c r="P74" s="381"/>
      <c r="Q74"/>
      <c r="T74" s="8"/>
      <c r="U74"/>
      <c r="V74" s="313"/>
      <c r="W74"/>
      <c r="X74"/>
      <c r="Z74"/>
      <c r="AB74"/>
      <c r="AD74" s="8" t="s">
        <v>230</v>
      </c>
      <c r="AF74" s="8" t="s">
        <v>230</v>
      </c>
      <c r="AG74"/>
      <c r="AH74"/>
      <c r="AI74"/>
      <c r="AJ74" t="s">
        <v>221</v>
      </c>
      <c r="AK74">
        <v>0</v>
      </c>
      <c r="AL74">
        <v>0.6</v>
      </c>
      <c r="AM74" t="s">
        <v>221</v>
      </c>
      <c r="AN74" t="s">
        <v>225</v>
      </c>
      <c r="AO74" t="s">
        <v>221</v>
      </c>
      <c r="AP74" t="s">
        <v>225</v>
      </c>
      <c r="AQ74" t="s">
        <v>221</v>
      </c>
      <c r="AR74" t="s">
        <v>225</v>
      </c>
      <c r="AS74" t="s">
        <v>221</v>
      </c>
      <c r="AT74" t="s">
        <v>225</v>
      </c>
      <c r="AU74" t="s">
        <v>220</v>
      </c>
      <c r="AV74"/>
      <c r="AW74" s="313" t="s">
        <v>220</v>
      </c>
      <c r="AX74" t="s">
        <v>226</v>
      </c>
      <c r="AY74" s="313" t="s">
        <v>220</v>
      </c>
      <c r="AZ74" s="313">
        <v>0.109</v>
      </c>
      <c r="BB74" s="313" t="s">
        <v>220</v>
      </c>
      <c r="BC74">
        <v>8.2500000000000004E-2</v>
      </c>
      <c r="BD74" t="s">
        <v>220</v>
      </c>
      <c r="BE74">
        <v>4.0800000000000003E-2</v>
      </c>
      <c r="BF74" s="2" t="s">
        <v>220</v>
      </c>
      <c r="BG74" s="2" t="s">
        <v>273</v>
      </c>
      <c r="BH74" s="2" t="s">
        <v>274</v>
      </c>
      <c r="BI74" s="2" t="s">
        <v>275</v>
      </c>
      <c r="BM74"/>
      <c r="BP74" s="8"/>
      <c r="BQ74" t="s">
        <v>230</v>
      </c>
      <c r="BR74" t="s">
        <v>230</v>
      </c>
      <c r="BU74" t="s">
        <v>293</v>
      </c>
      <c r="BV74" t="s">
        <v>236</v>
      </c>
      <c r="BW74" t="s">
        <v>232</v>
      </c>
      <c r="BX74" t="s">
        <v>500</v>
      </c>
      <c r="BY74" t="s">
        <v>220</v>
      </c>
      <c r="BZ74">
        <v>0.42399999999999999</v>
      </c>
      <c r="CA74" t="s">
        <v>372</v>
      </c>
      <c r="CF74" t="s">
        <v>220</v>
      </c>
      <c r="CG74">
        <v>0.436</v>
      </c>
      <c r="CH74" t="s">
        <v>257</v>
      </c>
      <c r="CI74">
        <v>0.81599999999999995</v>
      </c>
      <c r="CK74"/>
      <c r="CL74"/>
      <c r="CM74"/>
      <c r="CS74" s="8"/>
      <c r="CW74" t="s">
        <v>220</v>
      </c>
      <c r="CX74" t="s">
        <v>257</v>
      </c>
      <c r="CY74" t="s">
        <v>317</v>
      </c>
      <c r="CZ74" t="s">
        <v>227</v>
      </c>
      <c r="DA74" t="s">
        <v>227</v>
      </c>
      <c r="DB74" t="s">
        <v>227</v>
      </c>
      <c r="DC74"/>
      <c r="DD74"/>
      <c r="DE74"/>
      <c r="DF74"/>
      <c r="DG74"/>
      <c r="DH74" s="323"/>
      <c r="DI74" s="323"/>
      <c r="DJ74" s="323"/>
      <c r="DL74" t="s">
        <v>257</v>
      </c>
      <c r="DM74" t="s">
        <v>220</v>
      </c>
      <c r="DN74" t="s">
        <v>227</v>
      </c>
      <c r="DO74" t="s">
        <v>227</v>
      </c>
      <c r="DP74" t="s">
        <v>227</v>
      </c>
      <c r="DS74" s="338">
        <v>8.6999999999999994E-2</v>
      </c>
      <c r="DT74" s="8" t="s">
        <v>394</v>
      </c>
      <c r="DU74" s="338">
        <v>1701.848</v>
      </c>
      <c r="DV74" s="8" t="s">
        <v>394</v>
      </c>
      <c r="DW74"/>
      <c r="DX74" t="s">
        <v>235</v>
      </c>
      <c r="DY74"/>
      <c r="DZ74" t="s">
        <v>235</v>
      </c>
      <c r="EA74"/>
      <c r="EB74"/>
      <c r="ED74" s="410"/>
      <c r="EE74" s="1"/>
      <c r="EG74" s="410"/>
      <c r="EI74" s="410"/>
      <c r="EK74" s="1"/>
      <c r="EM74"/>
      <c r="EQ74" s="344"/>
      <c r="EU74" s="344"/>
      <c r="EW74" s="409"/>
      <c r="EY74" s="1"/>
      <c r="FA74">
        <v>31475.75</v>
      </c>
      <c r="FB74" t="s">
        <v>236</v>
      </c>
      <c r="FC74" s="7">
        <v>354.89509744230423</v>
      </c>
      <c r="FD74" s="357" t="s">
        <v>225</v>
      </c>
      <c r="FE74" s="8">
        <v>39930.0634223163</v>
      </c>
      <c r="FF74" t="s">
        <v>237</v>
      </c>
      <c r="FH74" s="9">
        <v>1208370.1820269288</v>
      </c>
      <c r="FI74" s="9" t="s">
        <v>236</v>
      </c>
      <c r="FK74" t="s">
        <v>235</v>
      </c>
      <c r="FL74">
        <v>35200</v>
      </c>
      <c r="FM74">
        <v>230250.19146104067</v>
      </c>
      <c r="FN74" s="5" t="s">
        <v>237</v>
      </c>
      <c r="FP74" s="6">
        <v>3520</v>
      </c>
      <c r="FQ74" t="s">
        <v>239</v>
      </c>
      <c r="FS74" t="s">
        <v>240</v>
      </c>
      <c r="FU74" s="8">
        <v>1</v>
      </c>
      <c r="FV74" s="8">
        <v>10</v>
      </c>
      <c r="FW74" s="8">
        <v>10</v>
      </c>
      <c r="FX74" s="8">
        <v>10</v>
      </c>
      <c r="FY74" s="8">
        <v>3</v>
      </c>
      <c r="FZ74">
        <f t="shared" si="1"/>
        <v>3000</v>
      </c>
      <c r="GA74" s="7" t="s">
        <v>326</v>
      </c>
      <c r="GB74" s="7" t="s">
        <v>326</v>
      </c>
      <c r="GC74" s="6">
        <v>1.5</v>
      </c>
      <c r="GD74" s="348" t="s">
        <v>242</v>
      </c>
      <c r="GF74" s="6">
        <v>0.59149182907050712</v>
      </c>
      <c r="GH74" s="7"/>
      <c r="GI74" s="441">
        <v>78.221999999999994</v>
      </c>
      <c r="GJ74" s="441">
        <v>146.667</v>
      </c>
      <c r="GK74" s="441">
        <v>234.667</v>
      </c>
      <c r="GL74" s="441">
        <v>586.66700000000003</v>
      </c>
      <c r="GM74" s="452" t="s">
        <v>262</v>
      </c>
      <c r="GN74" s="6">
        <v>0.01</v>
      </c>
      <c r="GO74" s="6">
        <v>1.8749999999999999E-2</v>
      </c>
      <c r="GP74" s="6">
        <v>0.03</v>
      </c>
      <c r="GQ74" s="6">
        <v>7.4999999999999997E-2</v>
      </c>
      <c r="GR74" s="6" t="s">
        <v>230</v>
      </c>
      <c r="GU74" t="s">
        <v>243</v>
      </c>
      <c r="GV74" t="s">
        <v>236</v>
      </c>
      <c r="GW74" t="s">
        <v>244</v>
      </c>
      <c r="GX74" t="s">
        <v>236</v>
      </c>
      <c r="GY74" t="s">
        <v>245</v>
      </c>
      <c r="HE74" t="s">
        <v>384</v>
      </c>
      <c r="HF74" t="s">
        <v>223</v>
      </c>
      <c r="HG74" t="s">
        <v>231</v>
      </c>
      <c r="HH74" t="s">
        <v>225</v>
      </c>
      <c r="HI74" t="s">
        <v>247</v>
      </c>
      <c r="HJ74" t="s">
        <v>225</v>
      </c>
      <c r="HK74" t="s">
        <v>568</v>
      </c>
      <c r="HO74" t="s">
        <v>231</v>
      </c>
      <c r="HP74" t="s">
        <v>223</v>
      </c>
      <c r="HQ74" t="s">
        <v>231</v>
      </c>
      <c r="HR74" t="s">
        <v>223</v>
      </c>
      <c r="HU74" t="s">
        <v>231</v>
      </c>
      <c r="HV74" t="s">
        <v>223</v>
      </c>
      <c r="HW74" t="s">
        <v>563</v>
      </c>
      <c r="HX74" t="s">
        <v>236</v>
      </c>
      <c r="IA74" t="s">
        <v>231</v>
      </c>
      <c r="IB74" t="s">
        <v>250</v>
      </c>
      <c r="IC74">
        <v>78.221999999999994</v>
      </c>
      <c r="ID74">
        <v>146.667</v>
      </c>
      <c r="IE74">
        <v>234.667</v>
      </c>
      <c r="IF74">
        <v>586.66700000000003</v>
      </c>
      <c r="IH74" t="s">
        <v>267</v>
      </c>
    </row>
    <row r="75" spans="1:242" x14ac:dyDescent="0.35">
      <c r="A75" s="310" t="s">
        <v>537</v>
      </c>
      <c r="B75" s="313" t="s">
        <v>686</v>
      </c>
      <c r="C75" s="310" t="s">
        <v>687</v>
      </c>
      <c r="D75" s="316"/>
      <c r="F75" t="s">
        <v>688</v>
      </c>
      <c r="I75" s="310" t="s">
        <v>689</v>
      </c>
      <c r="M75" s="313"/>
      <c r="O75"/>
      <c r="P75" s="381"/>
      <c r="Q75"/>
      <c r="T75" s="8"/>
      <c r="U75"/>
      <c r="V75" s="313"/>
      <c r="W75"/>
      <c r="X75"/>
      <c r="Z75"/>
      <c r="AB75"/>
      <c r="AD75" s="8" t="s">
        <v>230</v>
      </c>
      <c r="AF75" s="8" t="s">
        <v>230</v>
      </c>
      <c r="AG75"/>
      <c r="AH75"/>
      <c r="AI75"/>
      <c r="AJ75" t="s">
        <v>221</v>
      </c>
      <c r="AK75">
        <v>0</v>
      </c>
      <c r="AL75">
        <v>0.6</v>
      </c>
      <c r="AM75" t="s">
        <v>221</v>
      </c>
      <c r="AN75" t="s">
        <v>225</v>
      </c>
      <c r="AO75" t="s">
        <v>221</v>
      </c>
      <c r="AP75" t="s">
        <v>225</v>
      </c>
      <c r="AQ75" t="s">
        <v>221</v>
      </c>
      <c r="AR75" t="s">
        <v>225</v>
      </c>
      <c r="AS75" t="s">
        <v>221</v>
      </c>
      <c r="AT75" t="s">
        <v>225</v>
      </c>
      <c r="AU75" t="s">
        <v>220</v>
      </c>
      <c r="AV75"/>
      <c r="AW75" s="313" t="s">
        <v>220</v>
      </c>
      <c r="AX75" t="s">
        <v>226</v>
      </c>
      <c r="AY75" s="313" t="s">
        <v>220</v>
      </c>
      <c r="AZ75" s="313">
        <v>0.108</v>
      </c>
      <c r="BB75" s="313" t="s">
        <v>220</v>
      </c>
      <c r="BC75">
        <v>8.5000000000000006E-2</v>
      </c>
      <c r="BD75" t="s">
        <v>220</v>
      </c>
      <c r="BE75">
        <v>4.0899999999999999E-2</v>
      </c>
      <c r="BF75" s="2" t="s">
        <v>220</v>
      </c>
      <c r="BG75" s="2" t="s">
        <v>273</v>
      </c>
      <c r="BH75" s="2" t="s">
        <v>274</v>
      </c>
      <c r="BI75" s="2" t="s">
        <v>275</v>
      </c>
      <c r="BM75"/>
      <c r="BP75" s="8"/>
      <c r="BQ75" t="s">
        <v>230</v>
      </c>
      <c r="BR75" t="s">
        <v>230</v>
      </c>
      <c r="BU75" t="s">
        <v>293</v>
      </c>
      <c r="BV75" t="s">
        <v>236</v>
      </c>
      <c r="BW75" t="s">
        <v>232</v>
      </c>
      <c r="BX75" t="s">
        <v>500</v>
      </c>
      <c r="BY75" t="s">
        <v>220</v>
      </c>
      <c r="BZ75">
        <v>0.42099999999999999</v>
      </c>
      <c r="CA75" t="s">
        <v>372</v>
      </c>
      <c r="CF75" t="s">
        <v>220</v>
      </c>
      <c r="CG75">
        <v>0.39300000000000002</v>
      </c>
      <c r="CH75" t="s">
        <v>257</v>
      </c>
      <c r="CI75">
        <v>0.81</v>
      </c>
      <c r="CK75"/>
      <c r="CL75"/>
      <c r="CM75"/>
      <c r="CS75" s="8"/>
      <c r="CW75" t="s">
        <v>220</v>
      </c>
      <c r="CX75" t="s">
        <v>257</v>
      </c>
      <c r="CY75" t="s">
        <v>317</v>
      </c>
      <c r="CZ75" t="s">
        <v>227</v>
      </c>
      <c r="DA75" t="s">
        <v>227</v>
      </c>
      <c r="DB75" t="s">
        <v>227</v>
      </c>
      <c r="DC75"/>
      <c r="DD75"/>
      <c r="DE75"/>
      <c r="DF75"/>
      <c r="DG75"/>
      <c r="DH75" s="323"/>
      <c r="DI75" s="323"/>
      <c r="DJ75" s="323"/>
      <c r="DL75" t="s">
        <v>220</v>
      </c>
      <c r="DM75" t="s">
        <v>220</v>
      </c>
      <c r="DN75" t="s">
        <v>227</v>
      </c>
      <c r="DO75" t="s">
        <v>227</v>
      </c>
      <c r="DP75" t="s">
        <v>227</v>
      </c>
      <c r="DS75" s="338">
        <v>7.2999999999999995E-2</v>
      </c>
      <c r="DT75" s="8" t="s">
        <v>394</v>
      </c>
      <c r="DU75" s="338">
        <v>1900.1990000000001</v>
      </c>
      <c r="DV75" s="8" t="s">
        <v>394</v>
      </c>
      <c r="DW75"/>
      <c r="DX75" t="s">
        <v>235</v>
      </c>
      <c r="DY75"/>
      <c r="DZ75" t="s">
        <v>235</v>
      </c>
      <c r="EA75"/>
      <c r="EB75"/>
      <c r="ED75" s="410"/>
      <c r="EE75" s="1"/>
      <c r="EG75" s="410"/>
      <c r="EI75" s="410"/>
      <c r="EK75" s="1"/>
      <c r="EM75"/>
      <c r="EQ75" s="344"/>
      <c r="EU75" s="344"/>
      <c r="EW75" s="409"/>
      <c r="EY75" s="1"/>
      <c r="FA75">
        <v>52811.11</v>
      </c>
      <c r="FB75" t="s">
        <v>236</v>
      </c>
      <c r="FC75" s="7">
        <v>421.01735644562166</v>
      </c>
      <c r="FD75" s="357" t="s">
        <v>236</v>
      </c>
      <c r="FE75" s="8">
        <v>76295.6891161534</v>
      </c>
      <c r="FF75" t="s">
        <v>237</v>
      </c>
      <c r="FH75" s="9">
        <v>2835306.411760693</v>
      </c>
      <c r="FI75" s="9" t="s">
        <v>236</v>
      </c>
      <c r="FK75" t="s">
        <v>235</v>
      </c>
      <c r="FL75">
        <v>62500</v>
      </c>
      <c r="FM75">
        <v>466766.84497940331</v>
      </c>
      <c r="FN75" s="5" t="s">
        <v>237</v>
      </c>
      <c r="FP75" s="6">
        <v>6250</v>
      </c>
      <c r="FQ75" t="s">
        <v>239</v>
      </c>
      <c r="FS75" t="s">
        <v>240</v>
      </c>
      <c r="FU75" s="8">
        <v>1</v>
      </c>
      <c r="FV75" s="8">
        <v>10</v>
      </c>
      <c r="FW75" s="8">
        <v>10</v>
      </c>
      <c r="FX75" s="8">
        <v>10</v>
      </c>
      <c r="FY75" s="8">
        <v>3</v>
      </c>
      <c r="FZ75">
        <f t="shared" si="1"/>
        <v>3000</v>
      </c>
      <c r="GA75" s="7" t="s">
        <v>326</v>
      </c>
      <c r="GB75" s="7" t="s">
        <v>326</v>
      </c>
      <c r="GC75" s="6">
        <v>1.5</v>
      </c>
      <c r="GD75" s="348" t="s">
        <v>242</v>
      </c>
      <c r="GF75" s="6">
        <v>0.7016955940760361</v>
      </c>
      <c r="GH75" s="7"/>
      <c r="GI75" s="441">
        <v>138.88900000000001</v>
      </c>
      <c r="GJ75" s="441">
        <v>260.41699999999997</v>
      </c>
      <c r="GK75" s="441">
        <v>416.66699999999997</v>
      </c>
      <c r="GL75" s="441">
        <v>1041.6669999999999</v>
      </c>
      <c r="GM75" s="452" t="s">
        <v>262</v>
      </c>
      <c r="GN75" s="6">
        <v>0.01</v>
      </c>
      <c r="GO75" s="6">
        <v>1.8749999999999999E-2</v>
      </c>
      <c r="GP75" s="6">
        <v>0.03</v>
      </c>
      <c r="GQ75" s="6">
        <v>7.4999999999999997E-2</v>
      </c>
      <c r="GR75" s="6" t="s">
        <v>230</v>
      </c>
      <c r="GU75" t="s">
        <v>243</v>
      </c>
      <c r="GV75" t="s">
        <v>236</v>
      </c>
      <c r="GW75" t="s">
        <v>244</v>
      </c>
      <c r="GX75" t="s">
        <v>236</v>
      </c>
      <c r="GY75" t="s">
        <v>245</v>
      </c>
      <c r="HE75" t="s">
        <v>384</v>
      </c>
      <c r="HF75" t="s">
        <v>223</v>
      </c>
      <c r="HG75" t="s">
        <v>231</v>
      </c>
      <c r="HH75" t="s">
        <v>225</v>
      </c>
      <c r="HI75" t="s">
        <v>247</v>
      </c>
      <c r="HJ75" t="s">
        <v>225</v>
      </c>
      <c r="HK75" t="s">
        <v>568</v>
      </c>
      <c r="HO75" t="s">
        <v>231</v>
      </c>
      <c r="HP75" t="s">
        <v>223</v>
      </c>
      <c r="HQ75" t="s">
        <v>231</v>
      </c>
      <c r="HR75" t="s">
        <v>223</v>
      </c>
      <c r="HU75" t="s">
        <v>231</v>
      </c>
      <c r="HV75" t="s">
        <v>223</v>
      </c>
      <c r="HW75" t="s">
        <v>563</v>
      </c>
      <c r="HX75" t="s">
        <v>236</v>
      </c>
      <c r="IA75" t="s">
        <v>231</v>
      </c>
      <c r="IB75" t="s">
        <v>250</v>
      </c>
      <c r="IC75">
        <v>138.88900000000001</v>
      </c>
      <c r="ID75">
        <v>260.41699999999997</v>
      </c>
      <c r="IE75">
        <v>416.66699999999997</v>
      </c>
      <c r="IF75">
        <v>1041.6669999999999</v>
      </c>
      <c r="IH75" t="s">
        <v>267</v>
      </c>
    </row>
    <row r="76" spans="1:242" x14ac:dyDescent="0.35">
      <c r="A76" s="310" t="s">
        <v>537</v>
      </c>
      <c r="B76" s="313" t="s">
        <v>690</v>
      </c>
      <c r="C76" s="310" t="s">
        <v>691</v>
      </c>
      <c r="D76" s="316"/>
      <c r="F76" t="s">
        <v>692</v>
      </c>
      <c r="I76" s="310" t="s">
        <v>693</v>
      </c>
      <c r="M76" s="313"/>
      <c r="O76"/>
      <c r="P76" s="381"/>
      <c r="Q76"/>
      <c r="T76" s="8"/>
      <c r="U76"/>
      <c r="V76" s="313"/>
      <c r="W76"/>
      <c r="X76"/>
      <c r="Z76"/>
      <c r="AB76"/>
      <c r="AD76" s="8" t="s">
        <v>230</v>
      </c>
      <c r="AF76" s="8" t="s">
        <v>230</v>
      </c>
      <c r="AG76"/>
      <c r="AH76"/>
      <c r="AI76"/>
      <c r="AJ76" t="s">
        <v>221</v>
      </c>
      <c r="AK76">
        <v>0</v>
      </c>
      <c r="AL76">
        <v>0.6</v>
      </c>
      <c r="AM76" t="s">
        <v>221</v>
      </c>
      <c r="AN76" t="s">
        <v>225</v>
      </c>
      <c r="AO76" t="s">
        <v>221</v>
      </c>
      <c r="AP76" t="s">
        <v>225</v>
      </c>
      <c r="AQ76" t="s">
        <v>221</v>
      </c>
      <c r="AR76" t="s">
        <v>225</v>
      </c>
      <c r="AS76" t="s">
        <v>221</v>
      </c>
      <c r="AT76" t="s">
        <v>225</v>
      </c>
      <c r="AU76" t="s">
        <v>220</v>
      </c>
      <c r="AV76"/>
      <c r="AW76" s="313" t="s">
        <v>220</v>
      </c>
      <c r="AX76" t="s">
        <v>226</v>
      </c>
      <c r="AY76" s="313" t="s">
        <v>220</v>
      </c>
      <c r="AZ76" s="313">
        <v>0.107</v>
      </c>
      <c r="BB76" s="313" t="s">
        <v>220</v>
      </c>
      <c r="BC76">
        <v>8.7599999999999997E-2</v>
      </c>
      <c r="BD76" t="s">
        <v>220</v>
      </c>
      <c r="BE76">
        <v>4.1099999999999998E-2</v>
      </c>
      <c r="BF76" s="2" t="s">
        <v>220</v>
      </c>
      <c r="BG76" s="2" t="s">
        <v>273</v>
      </c>
      <c r="BH76" s="2" t="s">
        <v>274</v>
      </c>
      <c r="BI76" s="2" t="s">
        <v>275</v>
      </c>
      <c r="BM76"/>
      <c r="BP76" s="8"/>
      <c r="BQ76" t="s">
        <v>230</v>
      </c>
      <c r="BR76" t="s">
        <v>230</v>
      </c>
      <c r="BU76" t="s">
        <v>293</v>
      </c>
      <c r="BV76" t="s">
        <v>236</v>
      </c>
      <c r="BW76" t="s">
        <v>232</v>
      </c>
      <c r="BX76" t="s">
        <v>500</v>
      </c>
      <c r="BY76" t="s">
        <v>220</v>
      </c>
      <c r="BZ76">
        <v>0.41699999999999998</v>
      </c>
      <c r="CA76" t="s">
        <v>372</v>
      </c>
      <c r="CF76" t="s">
        <v>220</v>
      </c>
      <c r="CG76">
        <v>0.35299999999999998</v>
      </c>
      <c r="CH76" t="s">
        <v>257</v>
      </c>
      <c r="CI76">
        <v>0.80300000000000005</v>
      </c>
      <c r="CK76"/>
      <c r="CL76"/>
      <c r="CM76"/>
      <c r="CS76" s="8"/>
      <c r="CW76" t="s">
        <v>220</v>
      </c>
      <c r="CX76" t="s">
        <v>257</v>
      </c>
      <c r="CY76" t="s">
        <v>317</v>
      </c>
      <c r="CZ76" t="s">
        <v>227</v>
      </c>
      <c r="DA76" t="s">
        <v>227</v>
      </c>
      <c r="DB76" t="s">
        <v>227</v>
      </c>
      <c r="DC76"/>
      <c r="DD76"/>
      <c r="DE76"/>
      <c r="DF76"/>
      <c r="DG76"/>
      <c r="DH76" s="323"/>
      <c r="DI76" s="323"/>
      <c r="DJ76" s="323"/>
      <c r="DL76" t="s">
        <v>220</v>
      </c>
      <c r="DM76" t="s">
        <v>220</v>
      </c>
      <c r="DN76" t="s">
        <v>227</v>
      </c>
      <c r="DO76" t="s">
        <v>227</v>
      </c>
      <c r="DP76" t="s">
        <v>227</v>
      </c>
      <c r="DS76" s="338">
        <v>6.3E-2</v>
      </c>
      <c r="DT76" s="8" t="s">
        <v>394</v>
      </c>
      <c r="DU76" s="338">
        <v>2087.64</v>
      </c>
      <c r="DV76" s="8" t="s">
        <v>394</v>
      </c>
      <c r="DW76"/>
      <c r="DX76" t="s">
        <v>235</v>
      </c>
      <c r="DY76"/>
      <c r="DZ76" t="s">
        <v>235</v>
      </c>
      <c r="EA76"/>
      <c r="EB76"/>
      <c r="ED76" s="410"/>
      <c r="EE76" s="1"/>
      <c r="EG76" s="410"/>
      <c r="EI76" s="410"/>
      <c r="EK76" s="1"/>
      <c r="EM76"/>
      <c r="EQ76" s="344"/>
      <c r="EU76" s="344"/>
      <c r="EW76" s="409"/>
      <c r="EY76" s="1"/>
      <c r="FA76">
        <v>88608.34</v>
      </c>
      <c r="FB76" t="s">
        <v>236</v>
      </c>
      <c r="FC76" s="7">
        <v>499.45918020824865</v>
      </c>
      <c r="FD76" s="357" t="s">
        <v>236</v>
      </c>
      <c r="FE76" s="8">
        <v>145780.68950562808</v>
      </c>
      <c r="FF76" t="s">
        <v>237</v>
      </c>
      <c r="FH76" s="9">
        <v>6651199.8903121687</v>
      </c>
      <c r="FI76" s="9" t="s">
        <v>236</v>
      </c>
      <c r="FK76" t="s">
        <v>235</v>
      </c>
      <c r="FL76">
        <v>111000</v>
      </c>
      <c r="FM76">
        <v>946019.30728991516</v>
      </c>
      <c r="FN76" s="5" t="s">
        <v>237</v>
      </c>
      <c r="FP76" s="6">
        <v>11100</v>
      </c>
      <c r="FQ76" t="s">
        <v>239</v>
      </c>
      <c r="FS76" t="s">
        <v>240</v>
      </c>
      <c r="FU76" s="8">
        <v>1</v>
      </c>
      <c r="FV76" s="8">
        <v>10</v>
      </c>
      <c r="FW76" s="8">
        <v>10</v>
      </c>
      <c r="FX76" s="8">
        <v>10</v>
      </c>
      <c r="FY76" s="8">
        <v>3</v>
      </c>
      <c r="FZ76">
        <f t="shared" si="1"/>
        <v>3000</v>
      </c>
      <c r="GA76" s="7" t="s">
        <v>326</v>
      </c>
      <c r="GB76" s="7" t="s">
        <v>326</v>
      </c>
      <c r="GC76" s="6">
        <v>1.5</v>
      </c>
      <c r="GD76" s="348" t="s">
        <v>242</v>
      </c>
      <c r="GF76" s="6">
        <v>0.83243196701374766</v>
      </c>
      <c r="GH76" s="7"/>
      <c r="GI76" s="441">
        <v>246.667</v>
      </c>
      <c r="GJ76" s="441">
        <v>462.5</v>
      </c>
      <c r="GK76" s="441">
        <v>740</v>
      </c>
      <c r="GL76" s="441">
        <v>1850</v>
      </c>
      <c r="GM76" s="452" t="s">
        <v>262</v>
      </c>
      <c r="GN76" s="6">
        <v>0.01</v>
      </c>
      <c r="GO76" s="6">
        <v>1.8749999999999999E-2</v>
      </c>
      <c r="GP76" s="6">
        <v>0.03</v>
      </c>
      <c r="GQ76" s="6">
        <v>7.4999999999999997E-2</v>
      </c>
      <c r="GR76" s="6" t="s">
        <v>230</v>
      </c>
      <c r="GU76" t="s">
        <v>243</v>
      </c>
      <c r="GV76" t="s">
        <v>236</v>
      </c>
      <c r="GW76" t="s">
        <v>244</v>
      </c>
      <c r="GX76" t="s">
        <v>236</v>
      </c>
      <c r="GY76" t="s">
        <v>245</v>
      </c>
      <c r="HE76" t="s">
        <v>384</v>
      </c>
      <c r="HF76" t="s">
        <v>223</v>
      </c>
      <c r="HG76" t="s">
        <v>231</v>
      </c>
      <c r="HH76" t="s">
        <v>225</v>
      </c>
      <c r="HI76" t="s">
        <v>247</v>
      </c>
      <c r="HJ76" t="s">
        <v>225</v>
      </c>
      <c r="HK76" t="s">
        <v>568</v>
      </c>
      <c r="HO76" t="s">
        <v>231</v>
      </c>
      <c r="HP76" t="s">
        <v>223</v>
      </c>
      <c r="HQ76" t="s">
        <v>231</v>
      </c>
      <c r="HR76" t="s">
        <v>223</v>
      </c>
      <c r="HU76" t="s">
        <v>231</v>
      </c>
      <c r="HV76" t="s">
        <v>223</v>
      </c>
      <c r="HW76" t="s">
        <v>563</v>
      </c>
      <c r="HX76" t="s">
        <v>236</v>
      </c>
      <c r="IA76" t="s">
        <v>231</v>
      </c>
      <c r="IB76" t="s">
        <v>250</v>
      </c>
      <c r="IC76">
        <v>246.667</v>
      </c>
      <c r="ID76">
        <v>462.5</v>
      </c>
      <c r="IE76">
        <v>740</v>
      </c>
      <c r="IF76">
        <v>1850</v>
      </c>
      <c r="IH76" t="s">
        <v>267</v>
      </c>
    </row>
    <row r="77" spans="1:242" ht="19" hidden="1" x14ac:dyDescent="0.35">
      <c r="A77" s="310" t="s">
        <v>694</v>
      </c>
      <c r="B77" s="313" t="s">
        <v>695</v>
      </c>
      <c r="C77" s="310" t="s">
        <v>696</v>
      </c>
      <c r="D77" s="316"/>
      <c r="F77" t="s">
        <v>697</v>
      </c>
      <c r="I77" s="310" t="s">
        <v>698</v>
      </c>
      <c r="M77" s="313" t="s">
        <v>207</v>
      </c>
      <c r="O77" t="s">
        <v>221</v>
      </c>
      <c r="P77" s="381"/>
      <c r="Q77" t="s">
        <v>221</v>
      </c>
      <c r="S77" t="s">
        <v>221</v>
      </c>
      <c r="T77" s="8"/>
      <c r="U77" t="s">
        <v>221</v>
      </c>
      <c r="V77" s="313"/>
      <c r="W77" t="s">
        <v>220</v>
      </c>
      <c r="X77" t="s">
        <v>220</v>
      </c>
      <c r="Z77" t="s">
        <v>220</v>
      </c>
      <c r="AB77" t="s">
        <v>220</v>
      </c>
      <c r="AD77" s="8" t="s">
        <v>699</v>
      </c>
      <c r="AF77" s="8" t="s">
        <v>222</v>
      </c>
      <c r="AG77"/>
      <c r="AH77" t="s">
        <v>312</v>
      </c>
      <c r="AI77"/>
      <c r="AJ77" t="s">
        <v>221</v>
      </c>
      <c r="AK77">
        <v>0</v>
      </c>
      <c r="AL77">
        <v>1</v>
      </c>
      <c r="AM77" t="s">
        <v>221</v>
      </c>
      <c r="AN77" t="s">
        <v>249</v>
      </c>
      <c r="AO77" t="s">
        <v>224</v>
      </c>
      <c r="AP77"/>
      <c r="AQ77" t="s">
        <v>414</v>
      </c>
      <c r="AR77"/>
      <c r="AS77" t="s">
        <v>221</v>
      </c>
      <c r="AT77"/>
      <c r="AU77" t="s">
        <v>220</v>
      </c>
      <c r="AV77"/>
      <c r="AW77" s="313" t="s">
        <v>220</v>
      </c>
      <c r="AX77" t="s">
        <v>226</v>
      </c>
      <c r="AY77" s="313" t="s">
        <v>220</v>
      </c>
      <c r="AZ77" s="313">
        <v>0.38700000000000001</v>
      </c>
      <c r="BB77" s="313" t="s">
        <v>220</v>
      </c>
      <c r="BC77">
        <v>0.27700000000000002</v>
      </c>
      <c r="BD77" t="s">
        <v>220</v>
      </c>
      <c r="BE77">
        <v>0.60899999999999999</v>
      </c>
      <c r="BF77" s="2" t="s">
        <v>257</v>
      </c>
      <c r="BH77" s="2" t="s">
        <v>228</v>
      </c>
      <c r="BI77" s="2" t="s">
        <v>314</v>
      </c>
      <c r="BK77" s="412" t="s">
        <v>315</v>
      </c>
      <c r="BL77" s="2" t="s">
        <v>316</v>
      </c>
      <c r="BM77"/>
      <c r="BO77" t="s">
        <v>257</v>
      </c>
      <c r="BP77" s="8" t="s">
        <v>316</v>
      </c>
      <c r="BQ77" t="s">
        <v>230</v>
      </c>
      <c r="BR77" t="s">
        <v>230</v>
      </c>
      <c r="BS77" t="s">
        <v>320</v>
      </c>
      <c r="BU77" t="s">
        <v>293</v>
      </c>
      <c r="BV77" t="s">
        <v>236</v>
      </c>
      <c r="BW77" t="s">
        <v>321</v>
      </c>
      <c r="BX77" t="s">
        <v>700</v>
      </c>
      <c r="BY77" t="s">
        <v>257</v>
      </c>
      <c r="BZ77">
        <v>0.64200000000000002</v>
      </c>
      <c r="CA77" t="s">
        <v>372</v>
      </c>
      <c r="CD77" t="s">
        <v>257</v>
      </c>
      <c r="CF77" t="s">
        <v>227</v>
      </c>
      <c r="CG77">
        <v>0.60699999999999998</v>
      </c>
      <c r="CH77" t="s">
        <v>257</v>
      </c>
      <c r="CI77">
        <v>0.93600000000000005</v>
      </c>
      <c r="CK77" t="s">
        <v>257</v>
      </c>
      <c r="CL77" t="s">
        <v>257</v>
      </c>
      <c r="CM77"/>
      <c r="CN77" s="2" t="s">
        <v>316</v>
      </c>
      <c r="CS77" s="8" t="s">
        <v>316</v>
      </c>
      <c r="CW77" t="s">
        <v>257</v>
      </c>
      <c r="CX77" t="s">
        <v>257</v>
      </c>
      <c r="CY77" t="s">
        <v>231</v>
      </c>
      <c r="CZ77" t="s">
        <v>220</v>
      </c>
      <c r="DA77" t="s">
        <v>227</v>
      </c>
      <c r="DB77" t="s">
        <v>220</v>
      </c>
      <c r="DC77"/>
      <c r="DD77"/>
      <c r="DE77"/>
      <c r="DF77"/>
      <c r="DG77"/>
      <c r="DH77" s="323"/>
      <c r="DI77" s="323"/>
      <c r="DJ77" s="323" t="s">
        <v>316</v>
      </c>
      <c r="DL77" t="s">
        <v>227</v>
      </c>
      <c r="DM77" t="s">
        <v>257</v>
      </c>
      <c r="DN77" t="s">
        <v>257</v>
      </c>
      <c r="DO77" t="s">
        <v>227</v>
      </c>
      <c r="DP77" t="s">
        <v>227</v>
      </c>
      <c r="DQ77" s="327" t="s">
        <v>701</v>
      </c>
      <c r="DR77" s="327" t="s">
        <v>702</v>
      </c>
      <c r="DS77" s="309">
        <v>39.033999999999999</v>
      </c>
      <c r="DU77" s="338">
        <v>304.25599999999997</v>
      </c>
      <c r="DV77" s="8" t="s">
        <v>394</v>
      </c>
      <c r="DW77"/>
      <c r="DX77" t="s">
        <v>235</v>
      </c>
      <c r="DY77"/>
      <c r="DZ77" t="s">
        <v>235</v>
      </c>
      <c r="EA77"/>
      <c r="EB77"/>
      <c r="ED77" s="410">
        <v>125</v>
      </c>
      <c r="EE77" s="1">
        <v>120</v>
      </c>
      <c r="EF77" s="8" t="s">
        <v>703</v>
      </c>
      <c r="EG77" s="410">
        <v>120</v>
      </c>
      <c r="EH77" s="8" t="s">
        <v>259</v>
      </c>
      <c r="EI77" s="410"/>
      <c r="EK77" s="1"/>
      <c r="EM77"/>
      <c r="EQ77" s="344"/>
      <c r="EU77" s="344"/>
      <c r="EW77" s="409"/>
      <c r="EY77" s="1"/>
      <c r="FA77">
        <v>62.2</v>
      </c>
      <c r="FB77" t="s">
        <v>236</v>
      </c>
      <c r="FC77" s="7">
        <v>68.580397814592615</v>
      </c>
      <c r="FD77" s="357" t="s">
        <v>236</v>
      </c>
      <c r="FE77" s="8">
        <v>80.593496911274585</v>
      </c>
      <c r="FF77" t="s">
        <v>237</v>
      </c>
      <c r="FH77" s="9">
        <v>71.088606313049084</v>
      </c>
      <c r="FI77" s="9" t="s">
        <v>236</v>
      </c>
      <c r="FK77" t="s">
        <v>235</v>
      </c>
      <c r="FL77">
        <v>76.8</v>
      </c>
      <c r="FM77">
        <v>170.56895942393945</v>
      </c>
      <c r="FN77" s="419" t="s">
        <v>237</v>
      </c>
      <c r="FV77" s="8"/>
      <c r="FW77" s="8"/>
      <c r="FX77" s="8"/>
      <c r="GC77" s="7">
        <v>2.5000000000000001E-3</v>
      </c>
      <c r="GH77" s="7"/>
      <c r="GI77" s="441" t="s">
        <v>395</v>
      </c>
      <c r="GJ77" s="441" t="s">
        <v>395</v>
      </c>
      <c r="GK77" s="441" t="s">
        <v>395</v>
      </c>
      <c r="GL77" s="441" t="s">
        <v>395</v>
      </c>
      <c r="GM77" s="452" t="s">
        <v>230</v>
      </c>
      <c r="GN77" s="6" t="s">
        <v>395</v>
      </c>
      <c r="GO77" s="6" t="s">
        <v>395</v>
      </c>
      <c r="GP77" s="6" t="s">
        <v>395</v>
      </c>
      <c r="GQ77" s="6" t="s">
        <v>395</v>
      </c>
      <c r="GR77" s="6" t="s">
        <v>230</v>
      </c>
      <c r="GS77" t="s">
        <v>243</v>
      </c>
      <c r="GU77" t="s">
        <v>243</v>
      </c>
      <c r="GV77" t="s">
        <v>249</v>
      </c>
      <c r="GW77" t="s">
        <v>244</v>
      </c>
      <c r="GX77" t="s">
        <v>236</v>
      </c>
      <c r="GY77" t="s">
        <v>245</v>
      </c>
      <c r="HE77" t="s">
        <v>384</v>
      </c>
      <c r="HF77" t="s">
        <v>223</v>
      </c>
      <c r="HG77" t="s">
        <v>231</v>
      </c>
      <c r="HH77" t="s">
        <v>236</v>
      </c>
      <c r="HI77" t="s">
        <v>247</v>
      </c>
      <c r="HJ77" t="s">
        <v>223</v>
      </c>
      <c r="HK77" t="s">
        <v>266</v>
      </c>
      <c r="HO77" t="s">
        <v>231</v>
      </c>
      <c r="HP77" t="s">
        <v>223</v>
      </c>
      <c r="HQ77" t="s">
        <v>231</v>
      </c>
      <c r="HR77" t="s">
        <v>223</v>
      </c>
      <c r="HU77" t="s">
        <v>231</v>
      </c>
      <c r="HV77" t="s">
        <v>223</v>
      </c>
      <c r="HW77" t="s">
        <v>246</v>
      </c>
      <c r="HX77" t="s">
        <v>236</v>
      </c>
      <c r="IA77" t="s">
        <v>231</v>
      </c>
      <c r="IB77" t="s">
        <v>250</v>
      </c>
      <c r="IC77" t="s">
        <v>395</v>
      </c>
      <c r="ID77" t="s">
        <v>395</v>
      </c>
      <c r="IE77" t="s">
        <v>395</v>
      </c>
      <c r="IF77" t="s">
        <v>395</v>
      </c>
      <c r="IH77" t="s">
        <v>235</v>
      </c>
    </row>
    <row r="78" spans="1:242" x14ac:dyDescent="0.35">
      <c r="A78" s="310" t="s">
        <v>704</v>
      </c>
      <c r="B78" s="313" t="s">
        <v>705</v>
      </c>
      <c r="C78" s="310" t="s">
        <v>706</v>
      </c>
      <c r="D78" s="316"/>
      <c r="F78" t="s">
        <v>707</v>
      </c>
      <c r="I78" s="310" t="s">
        <v>708</v>
      </c>
      <c r="M78" s="313" t="s">
        <v>220</v>
      </c>
      <c r="O78" t="s">
        <v>221</v>
      </c>
      <c r="P78" s="381"/>
      <c r="Q78" t="s">
        <v>221</v>
      </c>
      <c r="S78" t="s">
        <v>221</v>
      </c>
      <c r="T78" s="8"/>
      <c r="U78" t="s">
        <v>221</v>
      </c>
      <c r="V78" s="313"/>
      <c r="W78" t="s">
        <v>220</v>
      </c>
      <c r="X78" t="s">
        <v>220</v>
      </c>
      <c r="Z78" t="s">
        <v>220</v>
      </c>
      <c r="AB78"/>
      <c r="AD78" s="8" t="s">
        <v>291</v>
      </c>
      <c r="AF78" s="8" t="s">
        <v>222</v>
      </c>
      <c r="AG78"/>
      <c r="AH78"/>
      <c r="AI78"/>
      <c r="AJ78" t="s">
        <v>221</v>
      </c>
      <c r="AK78">
        <v>0</v>
      </c>
      <c r="AL78">
        <v>1</v>
      </c>
      <c r="AM78" t="s">
        <v>221</v>
      </c>
      <c r="AN78" t="s">
        <v>249</v>
      </c>
      <c r="AO78" t="s">
        <v>224</v>
      </c>
      <c r="AP78"/>
      <c r="AQ78" t="s">
        <v>221</v>
      </c>
      <c r="AR78"/>
      <c r="AS78" t="s">
        <v>221</v>
      </c>
      <c r="AT78"/>
      <c r="AU78" t="s">
        <v>220</v>
      </c>
      <c r="AV78"/>
      <c r="AW78" s="313" t="s">
        <v>220</v>
      </c>
      <c r="AX78" t="s">
        <v>226</v>
      </c>
      <c r="AY78" s="313" t="s">
        <v>220</v>
      </c>
      <c r="AZ78" s="313">
        <v>0.38200000000000001</v>
      </c>
      <c r="BB78" s="313" t="s">
        <v>220</v>
      </c>
      <c r="BC78">
        <v>0.29499999999999998</v>
      </c>
      <c r="BD78" t="s">
        <v>227</v>
      </c>
      <c r="BE78">
        <v>0.33900000000000002</v>
      </c>
      <c r="BF78" s="2" t="s">
        <v>220</v>
      </c>
      <c r="BH78" s="2" t="s">
        <v>228</v>
      </c>
      <c r="BI78" s="2" t="s">
        <v>292</v>
      </c>
      <c r="BM78"/>
      <c r="BO78" t="s">
        <v>220</v>
      </c>
      <c r="BP78" s="8"/>
      <c r="BQ78" t="s">
        <v>230</v>
      </c>
      <c r="BR78" t="s">
        <v>709</v>
      </c>
      <c r="BS78" t="s">
        <v>255</v>
      </c>
      <c r="BU78" t="s">
        <v>293</v>
      </c>
      <c r="BV78" t="s">
        <v>236</v>
      </c>
      <c r="BW78" t="s">
        <v>232</v>
      </c>
      <c r="BX78" t="s">
        <v>256</v>
      </c>
      <c r="BY78" t="s">
        <v>220</v>
      </c>
      <c r="BZ78">
        <v>0.63100000000000001</v>
      </c>
      <c r="CA78" t="s">
        <v>234</v>
      </c>
      <c r="CC78" t="s">
        <v>220</v>
      </c>
      <c r="CD78" t="s">
        <v>220</v>
      </c>
      <c r="CF78" t="s">
        <v>220</v>
      </c>
      <c r="CG78">
        <v>0.61399999999999999</v>
      </c>
      <c r="CH78" t="s">
        <v>220</v>
      </c>
      <c r="CI78">
        <v>0.7</v>
      </c>
      <c r="CK78"/>
      <c r="CL78"/>
      <c r="CM78"/>
      <c r="CS78" s="8"/>
      <c r="CW78" t="s">
        <v>227</v>
      </c>
      <c r="CX78" t="s">
        <v>227</v>
      </c>
      <c r="CY78" t="s">
        <v>231</v>
      </c>
      <c r="CZ78" t="s">
        <v>227</v>
      </c>
      <c r="DA78" t="s">
        <v>227</v>
      </c>
      <c r="DB78" t="s">
        <v>227</v>
      </c>
      <c r="DC78"/>
      <c r="DD78" t="s">
        <v>257</v>
      </c>
      <c r="DE78" t="s">
        <v>257</v>
      </c>
      <c r="DF78" t="s">
        <v>257</v>
      </c>
      <c r="DG78" t="s">
        <v>257</v>
      </c>
      <c r="DH78" s="323"/>
      <c r="DI78" s="323"/>
      <c r="DJ78" s="323"/>
      <c r="DL78" t="s">
        <v>227</v>
      </c>
      <c r="DM78" t="s">
        <v>257</v>
      </c>
      <c r="DN78" t="s">
        <v>257</v>
      </c>
      <c r="DO78" t="s">
        <v>257</v>
      </c>
      <c r="DP78" t="s">
        <v>257</v>
      </c>
      <c r="DQ78" s="327">
        <v>9110</v>
      </c>
      <c r="DR78" s="336" t="s">
        <v>258</v>
      </c>
      <c r="DS78" s="309">
        <v>91.167000000000002</v>
      </c>
      <c r="DU78" s="338">
        <v>161.71799999999999</v>
      </c>
      <c r="DV78" s="8" t="s">
        <v>394</v>
      </c>
      <c r="DW78"/>
      <c r="DX78" t="s">
        <v>235</v>
      </c>
      <c r="DY78"/>
      <c r="DZ78" t="s">
        <v>235</v>
      </c>
      <c r="EA78"/>
      <c r="EB78"/>
      <c r="ED78" s="410"/>
      <c r="EE78" s="1">
        <v>1730</v>
      </c>
      <c r="EF78" s="8" t="s">
        <v>259</v>
      </c>
      <c r="EG78" s="410">
        <v>1730</v>
      </c>
      <c r="EH78" s="8" t="s">
        <v>259</v>
      </c>
      <c r="EI78" s="410">
        <v>5241</v>
      </c>
      <c r="EJ78" s="8" t="s">
        <v>259</v>
      </c>
      <c r="EK78" s="1">
        <v>1730</v>
      </c>
      <c r="EL78" s="8" t="s">
        <v>259</v>
      </c>
      <c r="EM78"/>
      <c r="EQ78" s="344"/>
      <c r="EU78" s="344"/>
      <c r="EW78" s="409"/>
      <c r="EY78" s="1"/>
      <c r="FA78">
        <v>82.08</v>
      </c>
      <c r="FB78" t="s">
        <v>236</v>
      </c>
      <c r="FC78" s="7">
        <v>69.374521394212337</v>
      </c>
      <c r="FD78" s="357" t="s">
        <v>225</v>
      </c>
      <c r="FE78" s="8">
        <v>144.97729754221368</v>
      </c>
      <c r="FF78" t="s">
        <v>237</v>
      </c>
      <c r="FH78" s="9">
        <v>92.235902168824637</v>
      </c>
      <c r="FI78" s="9" t="s">
        <v>225</v>
      </c>
      <c r="FJ78">
        <v>529</v>
      </c>
      <c r="FK78" t="s">
        <v>238</v>
      </c>
      <c r="FL78">
        <v>176</v>
      </c>
      <c r="FM78">
        <v>426.87429129297402</v>
      </c>
      <c r="FN78" s="5" t="s">
        <v>237</v>
      </c>
      <c r="FP78" s="6">
        <v>865</v>
      </c>
      <c r="FQ78" t="s">
        <v>615</v>
      </c>
      <c r="FS78" t="s">
        <v>261</v>
      </c>
      <c r="FU78" s="8">
        <v>2</v>
      </c>
      <c r="FV78" s="8">
        <v>10</v>
      </c>
      <c r="FW78" s="8">
        <v>10</v>
      </c>
      <c r="FX78" s="8">
        <v>1</v>
      </c>
      <c r="FY78" s="8">
        <v>3</v>
      </c>
      <c r="FZ78">
        <f t="shared" si="1"/>
        <v>600</v>
      </c>
      <c r="GA78" s="7" t="s">
        <v>241</v>
      </c>
      <c r="GB78" s="7" t="s">
        <v>241</v>
      </c>
      <c r="GC78" s="6">
        <v>30</v>
      </c>
      <c r="GD78" s="348" t="s">
        <v>242</v>
      </c>
      <c r="GF78" s="6">
        <v>1.5372650361470772E-2</v>
      </c>
      <c r="GH78" s="7"/>
      <c r="GI78" s="441"/>
      <c r="GJ78" s="441"/>
      <c r="GK78" s="441"/>
      <c r="GL78" s="441"/>
      <c r="GM78" s="454"/>
      <c r="GN78" s="441"/>
      <c r="GO78" s="441"/>
      <c r="GP78" s="441"/>
      <c r="GQ78" s="441"/>
      <c r="GR78" s="441"/>
      <c r="GS78" s="441"/>
      <c r="GT78" s="441"/>
      <c r="GU78" s="441"/>
      <c r="GV78" s="441"/>
      <c r="GW78" s="441"/>
      <c r="GX78" s="441"/>
      <c r="GY78" s="441"/>
      <c r="GZ78" s="441"/>
      <c r="HA78" s="441"/>
      <c r="HB78" s="441"/>
      <c r="HC78" s="441"/>
      <c r="HD78" s="441"/>
      <c r="HE78" s="441"/>
      <c r="HF78" s="441"/>
      <c r="HG78" s="441"/>
      <c r="HH78" s="441"/>
      <c r="HI78" s="441"/>
      <c r="HJ78" s="441"/>
      <c r="HK78" s="441"/>
      <c r="HL78" s="441"/>
      <c r="HM78" s="441"/>
      <c r="HN78" s="441"/>
      <c r="HO78" s="441"/>
      <c r="HP78" s="441"/>
      <c r="HQ78" s="441"/>
      <c r="HR78" s="441"/>
      <c r="HS78" s="441"/>
      <c r="HT78" s="441"/>
      <c r="HU78" s="441"/>
      <c r="HV78" s="441"/>
      <c r="HW78" s="441"/>
      <c r="HX78" s="441"/>
      <c r="HY78" s="441"/>
      <c r="HZ78" s="441"/>
      <c r="IA78" s="441"/>
      <c r="IB78" s="441"/>
      <c r="IC78" s="441"/>
      <c r="ID78" s="441"/>
      <c r="IE78" s="441"/>
      <c r="IF78" s="441"/>
      <c r="IH78" t="s">
        <v>235</v>
      </c>
    </row>
    <row r="79" spans="1:242" x14ac:dyDescent="0.35">
      <c r="A79" s="310" t="s">
        <v>710</v>
      </c>
      <c r="B79" s="313" t="s">
        <v>711</v>
      </c>
      <c r="C79" s="310" t="s">
        <v>712</v>
      </c>
      <c r="D79" s="316"/>
      <c r="F79" t="s">
        <v>713</v>
      </c>
      <c r="I79" s="310" t="s">
        <v>714</v>
      </c>
      <c r="M79" s="313" t="s">
        <v>220</v>
      </c>
      <c r="O79" t="s">
        <v>221</v>
      </c>
      <c r="P79" s="381"/>
      <c r="Q79" t="s">
        <v>221</v>
      </c>
      <c r="T79" s="8"/>
      <c r="U79" t="s">
        <v>221</v>
      </c>
      <c r="V79" s="313"/>
      <c r="W79" t="s">
        <v>220</v>
      </c>
      <c r="X79" t="s">
        <v>220</v>
      </c>
      <c r="Z79" t="s">
        <v>220</v>
      </c>
      <c r="AB79" t="s">
        <v>220</v>
      </c>
      <c r="AD79" s="8" t="s">
        <v>291</v>
      </c>
      <c r="AF79" s="8" t="s">
        <v>291</v>
      </c>
      <c r="AG79"/>
      <c r="AH79"/>
      <c r="AI79"/>
      <c r="AJ79" t="s">
        <v>221</v>
      </c>
      <c r="AK79">
        <v>0</v>
      </c>
      <c r="AL79">
        <v>1</v>
      </c>
      <c r="AM79" t="s">
        <v>221</v>
      </c>
      <c r="AN79" t="s">
        <v>249</v>
      </c>
      <c r="AO79" t="s">
        <v>224</v>
      </c>
      <c r="AP79"/>
      <c r="AQ79" t="s">
        <v>221</v>
      </c>
      <c r="AR79" t="s">
        <v>223</v>
      </c>
      <c r="AS79" t="s">
        <v>221</v>
      </c>
      <c r="AT79"/>
      <c r="AU79" t="s">
        <v>220</v>
      </c>
      <c r="AV79"/>
      <c r="AW79" s="313" t="s">
        <v>220</v>
      </c>
      <c r="AX79" t="s">
        <v>226</v>
      </c>
      <c r="AY79" s="313" t="s">
        <v>220</v>
      </c>
      <c r="AZ79" s="313">
        <v>0.34300000000000003</v>
      </c>
      <c r="BB79" s="313" t="s">
        <v>220</v>
      </c>
      <c r="BC79">
        <v>0.23</v>
      </c>
      <c r="BD79" t="s">
        <v>220</v>
      </c>
      <c r="BE79">
        <v>0.34699999999999998</v>
      </c>
      <c r="BF79" s="2" t="s">
        <v>220</v>
      </c>
      <c r="BH79" s="2" t="s">
        <v>228</v>
      </c>
      <c r="BI79" s="2" t="s">
        <v>715</v>
      </c>
      <c r="BK79" s="2" t="s">
        <v>352</v>
      </c>
      <c r="BM79"/>
      <c r="BP79" s="8"/>
      <c r="BQ79" t="s">
        <v>230</v>
      </c>
      <c r="BR79" t="s">
        <v>222</v>
      </c>
      <c r="BU79" t="s">
        <v>293</v>
      </c>
      <c r="BV79" t="s">
        <v>236</v>
      </c>
      <c r="BW79" t="s">
        <v>232</v>
      </c>
      <c r="BX79" t="s">
        <v>284</v>
      </c>
      <c r="BY79" t="s">
        <v>227</v>
      </c>
      <c r="BZ79">
        <v>0.63600000000000001</v>
      </c>
      <c r="CA79" t="s">
        <v>234</v>
      </c>
      <c r="CF79" t="s">
        <v>227</v>
      </c>
      <c r="CG79">
        <v>0.626</v>
      </c>
      <c r="CH79" t="s">
        <v>227</v>
      </c>
      <c r="CI79">
        <v>0.71199999999999997</v>
      </c>
      <c r="CK79"/>
      <c r="CL79"/>
      <c r="CM79"/>
      <c r="CS79" s="8"/>
      <c r="CW79" t="s">
        <v>227</v>
      </c>
      <c r="CX79" t="s">
        <v>227</v>
      </c>
      <c r="CY79" t="s">
        <v>231</v>
      </c>
      <c r="CZ79" t="s">
        <v>227</v>
      </c>
      <c r="DA79" t="s">
        <v>227</v>
      </c>
      <c r="DB79" t="s">
        <v>227</v>
      </c>
      <c r="DC79"/>
      <c r="DD79"/>
      <c r="DE79"/>
      <c r="DF79" t="s">
        <v>220</v>
      </c>
      <c r="DG79"/>
      <c r="DH79" s="323"/>
      <c r="DI79" s="323"/>
      <c r="DJ79" s="323"/>
      <c r="DL79" t="s">
        <v>227</v>
      </c>
      <c r="DM79" t="s">
        <v>227</v>
      </c>
      <c r="DN79" t="s">
        <v>227</v>
      </c>
      <c r="DO79" t="s">
        <v>220</v>
      </c>
      <c r="DP79" t="s">
        <v>227</v>
      </c>
      <c r="DS79" s="338">
        <v>97.352000000000004</v>
      </c>
      <c r="DT79" s="8" t="s">
        <v>394</v>
      </c>
      <c r="DU79" s="338">
        <v>188.18</v>
      </c>
      <c r="DV79" s="8" t="s">
        <v>394</v>
      </c>
      <c r="DW79"/>
      <c r="DX79" t="s">
        <v>235</v>
      </c>
      <c r="DY79"/>
      <c r="DZ79" t="s">
        <v>235</v>
      </c>
      <c r="EA79"/>
      <c r="EB79"/>
      <c r="ED79" s="410"/>
      <c r="EE79" s="1">
        <v>500</v>
      </c>
      <c r="EF79" s="8" t="s">
        <v>259</v>
      </c>
      <c r="EG79" s="410">
        <v>500</v>
      </c>
      <c r="EH79" s="8" t="s">
        <v>259</v>
      </c>
      <c r="EI79" s="410">
        <v>500</v>
      </c>
      <c r="EJ79" s="8" t="s">
        <v>259</v>
      </c>
      <c r="EK79" s="1">
        <v>1000</v>
      </c>
      <c r="EL79" s="8" t="s">
        <v>323</v>
      </c>
      <c r="EM79"/>
      <c r="EQ79" s="344"/>
      <c r="EU79" s="344"/>
      <c r="EW79" s="409"/>
      <c r="EY79" s="1"/>
      <c r="FA79">
        <v>77.92</v>
      </c>
      <c r="FB79" t="s">
        <v>236</v>
      </c>
      <c r="FC79" s="7">
        <v>61.616922020027893</v>
      </c>
      <c r="FD79" s="357" t="s">
        <v>236</v>
      </c>
      <c r="FE79" s="8">
        <v>154.20554834704723</v>
      </c>
      <c r="FF79" t="s">
        <v>237</v>
      </c>
      <c r="FH79" s="9">
        <v>64.253975003730204</v>
      </c>
      <c r="FI79" s="9" t="s">
        <v>236</v>
      </c>
      <c r="FK79" t="s">
        <v>235</v>
      </c>
      <c r="FL79">
        <v>72.2</v>
      </c>
      <c r="FM79">
        <v>430.03123363054493</v>
      </c>
      <c r="FN79" s="5" t="s">
        <v>237</v>
      </c>
      <c r="FP79" s="6">
        <v>250</v>
      </c>
      <c r="FQ79" t="s">
        <v>615</v>
      </c>
      <c r="FS79" t="s">
        <v>261</v>
      </c>
      <c r="FU79" s="8">
        <v>2</v>
      </c>
      <c r="FV79" s="8">
        <v>10</v>
      </c>
      <c r="FW79" s="8">
        <v>10</v>
      </c>
      <c r="FX79" s="8">
        <v>1</v>
      </c>
      <c r="FY79" s="8">
        <v>3</v>
      </c>
      <c r="FZ79">
        <f t="shared" si="1"/>
        <v>600</v>
      </c>
      <c r="GA79" s="7" t="s">
        <v>241</v>
      </c>
      <c r="GB79" s="7" t="s">
        <v>241</v>
      </c>
      <c r="GC79" s="6">
        <v>30</v>
      </c>
      <c r="GD79" s="348" t="s">
        <v>242</v>
      </c>
      <c r="GF79" s="6">
        <v>2.4066666666666667E-2</v>
      </c>
      <c r="GH79" s="7"/>
      <c r="GI79" s="441"/>
      <c r="GJ79" s="441"/>
      <c r="GK79" s="441"/>
      <c r="GL79" s="441"/>
      <c r="GM79" s="454"/>
      <c r="GN79" s="441"/>
      <c r="GO79" s="441"/>
      <c r="GP79" s="441"/>
      <c r="GQ79" s="441"/>
      <c r="GR79" s="441"/>
      <c r="GS79" s="441"/>
      <c r="GT79" s="441"/>
      <c r="GU79" s="441"/>
      <c r="GV79" s="441"/>
      <c r="GW79" s="441"/>
      <c r="GX79" s="441"/>
      <c r="GY79" s="441"/>
      <c r="GZ79" s="441"/>
      <c r="HA79" s="441"/>
      <c r="HB79" s="441"/>
      <c r="HC79" s="441"/>
      <c r="HD79" s="441"/>
      <c r="HE79" s="441"/>
      <c r="HF79" s="441"/>
      <c r="HG79" s="441"/>
      <c r="HH79" s="441"/>
      <c r="HI79" s="441"/>
      <c r="HJ79" s="441"/>
      <c r="HK79" s="441"/>
      <c r="HL79" s="441"/>
      <c r="HM79" s="441"/>
      <c r="HN79" s="441"/>
      <c r="HO79" s="441"/>
      <c r="HP79" s="441"/>
      <c r="HQ79" s="441"/>
      <c r="HR79" s="441"/>
      <c r="HS79" s="441"/>
      <c r="HT79" s="441"/>
      <c r="HU79" s="441"/>
      <c r="HV79" s="441"/>
      <c r="HW79" s="441"/>
      <c r="HX79" s="441"/>
      <c r="HY79" s="441"/>
      <c r="HZ79" s="441"/>
      <c r="IA79" s="441"/>
      <c r="IB79" s="441"/>
      <c r="IC79" s="441"/>
      <c r="ID79" s="441"/>
      <c r="IE79" s="441"/>
      <c r="IF79" s="441"/>
      <c r="IH79" t="s">
        <v>235</v>
      </c>
    </row>
    <row r="80" spans="1:242" x14ac:dyDescent="0.35">
      <c r="A80" s="310" t="s">
        <v>716</v>
      </c>
      <c r="B80" s="313" t="s">
        <v>717</v>
      </c>
      <c r="C80" s="310" t="s">
        <v>718</v>
      </c>
      <c r="D80" s="316"/>
      <c r="F80" t="s">
        <v>719</v>
      </c>
      <c r="I80" s="310" t="s">
        <v>720</v>
      </c>
      <c r="M80" s="313"/>
      <c r="O80"/>
      <c r="P80" s="381"/>
      <c r="Q80"/>
      <c r="T80" s="8"/>
      <c r="U80" t="s">
        <v>221</v>
      </c>
      <c r="V80" s="313"/>
      <c r="W80" t="s">
        <v>220</v>
      </c>
      <c r="X80" t="s">
        <v>220</v>
      </c>
      <c r="Z80" t="s">
        <v>220</v>
      </c>
      <c r="AB80"/>
      <c r="AD80" s="8" t="s">
        <v>222</v>
      </c>
      <c r="AF80" s="8" t="s">
        <v>222</v>
      </c>
      <c r="AG80"/>
      <c r="AH80"/>
      <c r="AI80"/>
      <c r="AJ80" t="s">
        <v>221</v>
      </c>
      <c r="AK80">
        <v>0</v>
      </c>
      <c r="AL80">
        <v>1</v>
      </c>
      <c r="AM80" t="s">
        <v>221</v>
      </c>
      <c r="AN80" t="s">
        <v>223</v>
      </c>
      <c r="AO80" t="s">
        <v>221</v>
      </c>
      <c r="AP80" t="s">
        <v>223</v>
      </c>
      <c r="AQ80" t="s">
        <v>221</v>
      </c>
      <c r="AR80" t="s">
        <v>223</v>
      </c>
      <c r="AS80" t="s">
        <v>221</v>
      </c>
      <c r="AT80"/>
      <c r="AU80" t="s">
        <v>220</v>
      </c>
      <c r="AV80"/>
      <c r="AW80" s="313" t="s">
        <v>220</v>
      </c>
      <c r="AX80" t="s">
        <v>226</v>
      </c>
      <c r="AY80" s="313" t="s">
        <v>220</v>
      </c>
      <c r="AZ80" s="313">
        <v>0.155</v>
      </c>
      <c r="BB80" s="313" t="s">
        <v>220</v>
      </c>
      <c r="BC80">
        <v>9.3899999999999997E-2</v>
      </c>
      <c r="BD80" t="s">
        <v>220</v>
      </c>
      <c r="BE80">
        <v>0.161</v>
      </c>
      <c r="BF80" s="2" t="s">
        <v>220</v>
      </c>
      <c r="BH80" s="2" t="s">
        <v>228</v>
      </c>
      <c r="BI80" s="2" t="s">
        <v>229</v>
      </c>
      <c r="BM80"/>
      <c r="BP80" s="8"/>
      <c r="BQ80" t="s">
        <v>230</v>
      </c>
      <c r="BR80" t="s">
        <v>709</v>
      </c>
      <c r="BU80" t="s">
        <v>231</v>
      </c>
      <c r="BV80" t="s">
        <v>223</v>
      </c>
      <c r="BW80" t="s">
        <v>232</v>
      </c>
      <c r="BX80" t="s">
        <v>276</v>
      </c>
      <c r="BY80" t="s">
        <v>220</v>
      </c>
      <c r="BZ80">
        <v>0.36099999999999999</v>
      </c>
      <c r="CA80" t="s">
        <v>234</v>
      </c>
      <c r="CF80" t="s">
        <v>220</v>
      </c>
      <c r="CG80">
        <v>0.25</v>
      </c>
      <c r="CH80" t="s">
        <v>220</v>
      </c>
      <c r="CI80">
        <v>0.19600000000000001</v>
      </c>
      <c r="CK80"/>
      <c r="CL80"/>
      <c r="CM80"/>
      <c r="CS80" s="8"/>
      <c r="CW80" t="s">
        <v>220</v>
      </c>
      <c r="CX80" t="s">
        <v>220</v>
      </c>
      <c r="CY80" t="s">
        <v>231</v>
      </c>
      <c r="CZ80" t="s">
        <v>220</v>
      </c>
      <c r="DA80" t="s">
        <v>220</v>
      </c>
      <c r="DB80" t="s">
        <v>220</v>
      </c>
      <c r="DC80"/>
      <c r="DD80"/>
      <c r="DE80"/>
      <c r="DF80"/>
      <c r="DG80"/>
      <c r="DH80" s="323"/>
      <c r="DI80" s="323"/>
      <c r="DJ80" s="323"/>
      <c r="DL80" t="s">
        <v>257</v>
      </c>
      <c r="DM80" t="s">
        <v>220</v>
      </c>
      <c r="DN80" t="s">
        <v>257</v>
      </c>
      <c r="DO80" t="s">
        <v>220</v>
      </c>
      <c r="DP80" t="s">
        <v>220</v>
      </c>
      <c r="DS80" s="309">
        <v>133.73599999999999</v>
      </c>
      <c r="DU80" s="309">
        <v>186.989</v>
      </c>
      <c r="DW80">
        <v>4.92</v>
      </c>
      <c r="DX80" t="s">
        <v>238</v>
      </c>
      <c r="DY80">
        <v>384</v>
      </c>
      <c r="DZ80" t="s">
        <v>238</v>
      </c>
      <c r="EA80"/>
      <c r="EB80"/>
      <c r="ED80" s="410"/>
      <c r="EE80" s="1"/>
      <c r="EG80" s="410"/>
      <c r="EI80" s="410"/>
      <c r="EK80" s="1">
        <v>1000</v>
      </c>
      <c r="EL80" s="8" t="s">
        <v>323</v>
      </c>
      <c r="EM80"/>
      <c r="EQ80" s="344"/>
      <c r="EU80" s="344"/>
      <c r="EW80" s="409"/>
      <c r="EY80" s="1"/>
      <c r="FA80">
        <v>26.74</v>
      </c>
      <c r="FB80" t="s">
        <v>225</v>
      </c>
      <c r="FC80" s="7">
        <v>111.60920123869212</v>
      </c>
      <c r="FD80" s="357" t="s">
        <v>236</v>
      </c>
      <c r="FE80" s="8">
        <v>50.61741940112131</v>
      </c>
      <c r="FF80" t="s">
        <v>237</v>
      </c>
      <c r="FH80" s="9">
        <v>61.475207031931134</v>
      </c>
      <c r="FI80" s="9" t="s">
        <v>236</v>
      </c>
      <c r="FJ80">
        <v>152</v>
      </c>
      <c r="FK80" t="s">
        <v>238</v>
      </c>
      <c r="FL80">
        <v>91.7</v>
      </c>
      <c r="FM80">
        <v>172.62353266051016</v>
      </c>
      <c r="FN80" s="5" t="s">
        <v>237</v>
      </c>
      <c r="FP80" s="6">
        <v>1000</v>
      </c>
      <c r="FQ80" t="s">
        <v>260</v>
      </c>
      <c r="FS80" t="s">
        <v>261</v>
      </c>
      <c r="FU80" s="8">
        <v>1</v>
      </c>
      <c r="FV80" s="8">
        <v>10</v>
      </c>
      <c r="FW80" s="8">
        <v>10</v>
      </c>
      <c r="FX80" s="8">
        <v>1</v>
      </c>
      <c r="FY80" s="8">
        <v>1</v>
      </c>
      <c r="FZ80">
        <f t="shared" si="1"/>
        <v>100</v>
      </c>
      <c r="GA80" s="7" t="s">
        <v>241</v>
      </c>
      <c r="GB80" s="7" t="s">
        <v>241</v>
      </c>
      <c r="GC80" s="6">
        <v>30</v>
      </c>
      <c r="GD80" s="348" t="s">
        <v>242</v>
      </c>
      <c r="GF80" s="6">
        <v>9.1700000000000004E-2</v>
      </c>
      <c r="GH80" s="7"/>
      <c r="GI80" s="441"/>
      <c r="GJ80" s="441"/>
      <c r="GK80" s="441"/>
      <c r="GL80" s="441"/>
      <c r="GM80" s="454"/>
      <c r="GN80" s="441"/>
      <c r="GO80" s="441"/>
      <c r="GP80" s="441"/>
      <c r="GQ80" s="441"/>
      <c r="GR80" s="441"/>
      <c r="GS80" s="441"/>
      <c r="GT80" s="441"/>
      <c r="GU80" s="441"/>
      <c r="GV80" s="441"/>
      <c r="GW80" s="441"/>
      <c r="GX80" s="441"/>
      <c r="GY80" s="441"/>
      <c r="GZ80" s="441"/>
      <c r="HA80" s="441"/>
      <c r="HB80" s="441"/>
      <c r="HC80" s="441"/>
      <c r="HD80" s="441"/>
      <c r="HE80" s="441"/>
      <c r="HF80" s="441"/>
      <c r="HG80" s="441"/>
      <c r="HH80" s="441"/>
      <c r="HI80" s="441"/>
      <c r="HJ80" s="441"/>
      <c r="HK80" s="441"/>
      <c r="HL80" s="441"/>
      <c r="HM80" s="441"/>
      <c r="HN80" s="441"/>
      <c r="HO80" s="441"/>
      <c r="HP80" s="441"/>
      <c r="HQ80" s="441"/>
      <c r="HR80" s="441"/>
      <c r="HS80" s="441"/>
      <c r="HT80" s="441"/>
      <c r="HU80" s="441"/>
      <c r="HV80" s="441"/>
      <c r="HW80" s="441"/>
      <c r="HX80" s="441"/>
      <c r="HY80" s="441"/>
      <c r="HZ80" s="441"/>
      <c r="IA80" s="441"/>
      <c r="IB80" s="441"/>
      <c r="IC80" s="441"/>
      <c r="ID80" s="441"/>
      <c r="IE80" s="441"/>
      <c r="IF80" s="441"/>
      <c r="IH80" t="s">
        <v>235</v>
      </c>
    </row>
    <row r="81" spans="1:242" hidden="1" x14ac:dyDescent="0.35">
      <c r="A81" s="310" t="s">
        <v>721</v>
      </c>
      <c r="B81" s="313" t="s">
        <v>722</v>
      </c>
      <c r="C81" s="310" t="s">
        <v>723</v>
      </c>
      <c r="D81" s="316"/>
      <c r="F81" t="s">
        <v>724</v>
      </c>
      <c r="I81" s="310" t="s">
        <v>725</v>
      </c>
      <c r="M81" s="313"/>
      <c r="O81" t="s">
        <v>414</v>
      </c>
      <c r="P81" s="381"/>
      <c r="Q81" t="s">
        <v>414</v>
      </c>
      <c r="T81" s="8"/>
      <c r="U81" t="s">
        <v>414</v>
      </c>
      <c r="V81" s="313"/>
      <c r="W81" t="s">
        <v>257</v>
      </c>
      <c r="X81"/>
      <c r="Z81"/>
      <c r="AB81"/>
      <c r="AD81" s="8" t="s">
        <v>230</v>
      </c>
      <c r="AF81" s="8" t="s">
        <v>726</v>
      </c>
      <c r="AG81"/>
      <c r="AH81"/>
      <c r="AI81"/>
      <c r="AJ81" t="s">
        <v>414</v>
      </c>
      <c r="AK81">
        <v>1</v>
      </c>
      <c r="AL81">
        <v>0</v>
      </c>
      <c r="AM81" t="s">
        <v>221</v>
      </c>
      <c r="AN81" t="s">
        <v>249</v>
      </c>
      <c r="AO81" t="s">
        <v>224</v>
      </c>
      <c r="AP81"/>
      <c r="AQ81" t="s">
        <v>221</v>
      </c>
      <c r="AR81" t="s">
        <v>225</v>
      </c>
      <c r="AS81" t="s">
        <v>414</v>
      </c>
      <c r="AT81"/>
      <c r="AU81" t="s">
        <v>257</v>
      </c>
      <c r="AV81"/>
      <c r="AW81" s="313" t="s">
        <v>257</v>
      </c>
      <c r="AX81" t="s">
        <v>226</v>
      </c>
      <c r="AY81" s="313" t="s">
        <v>220</v>
      </c>
      <c r="AZ81" s="313">
        <v>0.28100000000000003</v>
      </c>
      <c r="BB81" s="313" t="s">
        <v>220</v>
      </c>
      <c r="BC81">
        <v>0.17599999999999999</v>
      </c>
      <c r="BD81" t="s">
        <v>431</v>
      </c>
      <c r="BE81">
        <v>0.52700000000000002</v>
      </c>
      <c r="BF81" s="2" t="s">
        <v>257</v>
      </c>
      <c r="BH81" s="2" t="s">
        <v>228</v>
      </c>
      <c r="BI81" s="2" t="s">
        <v>292</v>
      </c>
      <c r="BM81"/>
      <c r="BO81" t="s">
        <v>220</v>
      </c>
      <c r="BP81" s="8"/>
      <c r="BQ81" t="s">
        <v>222</v>
      </c>
      <c r="BR81" t="s">
        <v>230</v>
      </c>
      <c r="BS81" t="s">
        <v>255</v>
      </c>
      <c r="BU81" t="s">
        <v>293</v>
      </c>
      <c r="BV81" t="s">
        <v>236</v>
      </c>
      <c r="BW81" t="s">
        <v>232</v>
      </c>
      <c r="BX81" t="s">
        <v>256</v>
      </c>
      <c r="BY81" t="s">
        <v>220</v>
      </c>
      <c r="BZ81">
        <v>0.26100000000000001</v>
      </c>
      <c r="CA81" t="s">
        <v>372</v>
      </c>
      <c r="CF81" t="s">
        <v>220</v>
      </c>
      <c r="CG81">
        <v>0.42399999999999999</v>
      </c>
      <c r="CH81" t="s">
        <v>257</v>
      </c>
      <c r="CI81">
        <v>0.69199999999999995</v>
      </c>
      <c r="CK81"/>
      <c r="CL81"/>
      <c r="CM81"/>
      <c r="CS81" s="8"/>
      <c r="CW81" t="s">
        <v>227</v>
      </c>
      <c r="CX81" t="s">
        <v>220</v>
      </c>
      <c r="CY81" t="s">
        <v>231</v>
      </c>
      <c r="CZ81" t="s">
        <v>257</v>
      </c>
      <c r="DA81" t="s">
        <v>227</v>
      </c>
      <c r="DB81" t="s">
        <v>220</v>
      </c>
      <c r="DC81"/>
      <c r="DD81"/>
      <c r="DE81"/>
      <c r="DF81"/>
      <c r="DG81"/>
      <c r="DH81" s="323"/>
      <c r="DI81" s="323"/>
      <c r="DJ81" s="323"/>
      <c r="DL81" t="s">
        <v>257</v>
      </c>
      <c r="DM81" t="s">
        <v>220</v>
      </c>
      <c r="DN81" t="s">
        <v>227</v>
      </c>
      <c r="DO81" t="s">
        <v>220</v>
      </c>
      <c r="DP81" t="s">
        <v>257</v>
      </c>
      <c r="DS81" s="309">
        <v>37.927999999999997</v>
      </c>
      <c r="DU81" s="309">
        <v>482.03100000000001</v>
      </c>
      <c r="DW81"/>
      <c r="DX81" t="s">
        <v>235</v>
      </c>
      <c r="DY81"/>
      <c r="DZ81" t="s">
        <v>235</v>
      </c>
      <c r="EA81">
        <v>89.95</v>
      </c>
      <c r="EB81">
        <v>2.7320000000000002</v>
      </c>
      <c r="ED81" s="410"/>
      <c r="EE81" s="1">
        <v>90</v>
      </c>
      <c r="EF81" s="8" t="s">
        <v>259</v>
      </c>
      <c r="EG81" s="410">
        <v>90</v>
      </c>
      <c r="EH81" s="8" t="s">
        <v>259</v>
      </c>
      <c r="EI81" s="410">
        <v>90</v>
      </c>
      <c r="EJ81" s="8" t="s">
        <v>259</v>
      </c>
      <c r="EK81" s="1"/>
      <c r="EM81">
        <v>2.7320000000000002</v>
      </c>
      <c r="EQ81" s="344"/>
      <c r="EU81" s="344"/>
      <c r="EW81" s="409"/>
      <c r="EY81" s="1"/>
      <c r="FA81">
        <v>103.55</v>
      </c>
      <c r="FB81"/>
      <c r="FC81" s="7">
        <v>89.949758153003529</v>
      </c>
      <c r="FD81" s="357"/>
      <c r="FE81" s="8">
        <v>100.27669229965875</v>
      </c>
      <c r="FF81" t="s">
        <v>237</v>
      </c>
      <c r="FH81" s="9">
        <v>539.51062251512826</v>
      </c>
      <c r="FI81" s="9" t="s">
        <v>249</v>
      </c>
      <c r="FK81" t="s">
        <v>235</v>
      </c>
      <c r="FL81">
        <v>126</v>
      </c>
      <c r="FM81">
        <v>199.66410694979172</v>
      </c>
      <c r="FN81" s="419" t="s">
        <v>237</v>
      </c>
      <c r="FV81" s="8"/>
      <c r="FW81" s="8"/>
      <c r="FX81" s="8"/>
      <c r="GC81" s="7">
        <v>2.5000000000000001E-3</v>
      </c>
      <c r="GH81" s="7"/>
      <c r="GI81" s="441" t="s">
        <v>395</v>
      </c>
      <c r="GJ81" s="441" t="s">
        <v>395</v>
      </c>
      <c r="GK81" s="441" t="s">
        <v>395</v>
      </c>
      <c r="GL81" s="441" t="s">
        <v>395</v>
      </c>
      <c r="GM81" s="452" t="s">
        <v>230</v>
      </c>
      <c r="GN81" s="6" t="s">
        <v>395</v>
      </c>
      <c r="GO81" s="6" t="s">
        <v>395</v>
      </c>
      <c r="GP81" s="6" t="s">
        <v>395</v>
      </c>
      <c r="GQ81" s="6" t="s">
        <v>395</v>
      </c>
      <c r="GR81" s="6" t="s">
        <v>230</v>
      </c>
      <c r="GU81" t="s">
        <v>243</v>
      </c>
      <c r="GV81" t="s">
        <v>225</v>
      </c>
      <c r="GW81" t="s">
        <v>244</v>
      </c>
      <c r="GX81" t="s">
        <v>236</v>
      </c>
      <c r="GY81" t="s">
        <v>245</v>
      </c>
      <c r="HE81" t="s">
        <v>384</v>
      </c>
      <c r="HF81" t="s">
        <v>223</v>
      </c>
      <c r="HG81" t="s">
        <v>231</v>
      </c>
      <c r="HH81" t="s">
        <v>223</v>
      </c>
      <c r="HI81" t="s">
        <v>247</v>
      </c>
      <c r="HJ81" t="s">
        <v>223</v>
      </c>
      <c r="HK81" t="s">
        <v>266</v>
      </c>
      <c r="HL81" t="s">
        <v>231</v>
      </c>
      <c r="HM81" t="s">
        <v>231</v>
      </c>
      <c r="HO81" t="s">
        <v>231</v>
      </c>
      <c r="HP81" t="s">
        <v>249</v>
      </c>
      <c r="HQ81" t="s">
        <v>231</v>
      </c>
      <c r="HR81" t="s">
        <v>249</v>
      </c>
      <c r="HU81" t="s">
        <v>231</v>
      </c>
      <c r="HV81" t="s">
        <v>223</v>
      </c>
      <c r="HW81" t="s">
        <v>246</v>
      </c>
      <c r="HX81" t="s">
        <v>236</v>
      </c>
      <c r="IA81" t="s">
        <v>231</v>
      </c>
      <c r="IB81" t="s">
        <v>250</v>
      </c>
      <c r="IC81" t="s">
        <v>395</v>
      </c>
      <c r="ID81" t="s">
        <v>395</v>
      </c>
      <c r="IE81" t="s">
        <v>395</v>
      </c>
      <c r="IF81" t="s">
        <v>395</v>
      </c>
      <c r="IH81" t="s">
        <v>235</v>
      </c>
    </row>
    <row r="82" spans="1:242" x14ac:dyDescent="0.35">
      <c r="A82" s="310" t="s">
        <v>727</v>
      </c>
      <c r="B82" s="313" t="s">
        <v>728</v>
      </c>
      <c r="C82" s="310" t="s">
        <v>729</v>
      </c>
      <c r="D82" s="316"/>
      <c r="F82" t="s">
        <v>730</v>
      </c>
      <c r="I82" s="310" t="s">
        <v>731</v>
      </c>
      <c r="M82" s="313"/>
      <c r="O82"/>
      <c r="P82" s="381"/>
      <c r="Q82"/>
      <c r="T82" s="8"/>
      <c r="U82"/>
      <c r="V82" s="313"/>
      <c r="W82"/>
      <c r="X82"/>
      <c r="Z82"/>
      <c r="AB82"/>
      <c r="AD82" s="8" t="s">
        <v>230</v>
      </c>
      <c r="AF82" s="8" t="s">
        <v>230</v>
      </c>
      <c r="AG82"/>
      <c r="AH82"/>
      <c r="AI82"/>
      <c r="AJ82" t="s">
        <v>221</v>
      </c>
      <c r="AK82">
        <v>0</v>
      </c>
      <c r="AL82">
        <v>0.72499999999999998</v>
      </c>
      <c r="AM82" t="s">
        <v>221</v>
      </c>
      <c r="AN82" t="s">
        <v>223</v>
      </c>
      <c r="AO82" t="s">
        <v>224</v>
      </c>
      <c r="AP82" t="s">
        <v>223</v>
      </c>
      <c r="AQ82" t="s">
        <v>221</v>
      </c>
      <c r="AR82" t="s">
        <v>236</v>
      </c>
      <c r="AS82" t="s">
        <v>221</v>
      </c>
      <c r="AT82" t="s">
        <v>223</v>
      </c>
      <c r="AU82" t="s">
        <v>220</v>
      </c>
      <c r="AV82"/>
      <c r="AW82" s="313" t="s">
        <v>220</v>
      </c>
      <c r="AX82" t="s">
        <v>226</v>
      </c>
      <c r="AY82" s="313" t="s">
        <v>220</v>
      </c>
      <c r="AZ82" s="313">
        <v>0.20899999999999999</v>
      </c>
      <c r="BB82" s="313" t="s">
        <v>220</v>
      </c>
      <c r="BC82">
        <v>0.14799999999999999</v>
      </c>
      <c r="BD82" t="s">
        <v>220</v>
      </c>
      <c r="BE82">
        <v>0.222</v>
      </c>
      <c r="BF82" s="2" t="s">
        <v>220</v>
      </c>
      <c r="BG82" s="2" t="s">
        <v>273</v>
      </c>
      <c r="BH82" s="2" t="s">
        <v>274</v>
      </c>
      <c r="BI82" s="2" t="s">
        <v>275</v>
      </c>
      <c r="BM82"/>
      <c r="BP82" s="8"/>
      <c r="BQ82" t="s">
        <v>230</v>
      </c>
      <c r="BR82" t="s">
        <v>230</v>
      </c>
      <c r="BU82" t="s">
        <v>317</v>
      </c>
      <c r="BV82" t="s">
        <v>236</v>
      </c>
      <c r="BW82" t="s">
        <v>232</v>
      </c>
      <c r="BX82" t="s">
        <v>284</v>
      </c>
      <c r="BY82" t="s">
        <v>220</v>
      </c>
      <c r="BZ82">
        <v>0.45500000000000002</v>
      </c>
      <c r="CA82" t="s">
        <v>234</v>
      </c>
      <c r="CF82" t="s">
        <v>227</v>
      </c>
      <c r="CG82">
        <v>0.56100000000000005</v>
      </c>
      <c r="CH82" t="s">
        <v>220</v>
      </c>
      <c r="CI82">
        <v>0.44700000000000001</v>
      </c>
      <c r="CK82"/>
      <c r="CL82"/>
      <c r="CM82"/>
      <c r="CS82" s="8"/>
      <c r="CW82" t="s">
        <v>227</v>
      </c>
      <c r="CX82" t="s">
        <v>220</v>
      </c>
      <c r="CY82" t="s">
        <v>231</v>
      </c>
      <c r="CZ82" t="s">
        <v>220</v>
      </c>
      <c r="DA82" t="s">
        <v>227</v>
      </c>
      <c r="DB82" t="s">
        <v>227</v>
      </c>
      <c r="DC82"/>
      <c r="DD82"/>
      <c r="DE82"/>
      <c r="DF82"/>
      <c r="DG82"/>
      <c r="DH82" s="323"/>
      <c r="DI82" s="323"/>
      <c r="DJ82" s="323"/>
      <c r="DL82" t="s">
        <v>257</v>
      </c>
      <c r="DM82" t="s">
        <v>220</v>
      </c>
      <c r="DN82" t="s">
        <v>257</v>
      </c>
      <c r="DO82" t="s">
        <v>227</v>
      </c>
      <c r="DP82" t="s">
        <v>227</v>
      </c>
      <c r="DS82" s="309">
        <v>78.484999999999999</v>
      </c>
      <c r="DU82" s="309">
        <v>175.262</v>
      </c>
      <c r="DW82"/>
      <c r="DX82" t="s">
        <v>235</v>
      </c>
      <c r="DY82"/>
      <c r="DZ82" t="s">
        <v>235</v>
      </c>
      <c r="EA82"/>
      <c r="EB82"/>
      <c r="ED82" s="410"/>
      <c r="EE82" s="1"/>
      <c r="EG82" s="410"/>
      <c r="EI82" s="410"/>
      <c r="EK82" s="1"/>
      <c r="EM82"/>
      <c r="EQ82" s="344"/>
      <c r="EU82" s="344"/>
      <c r="EW82" s="409"/>
      <c r="EY82" s="1"/>
      <c r="FA82">
        <v>22.88</v>
      </c>
      <c r="FB82" t="s">
        <v>225</v>
      </c>
      <c r="FC82" s="7">
        <v>79.049658847648587</v>
      </c>
      <c r="FD82" s="357" t="s">
        <v>236</v>
      </c>
      <c r="FE82" s="8">
        <v>63.037647882948754</v>
      </c>
      <c r="FF82" t="s">
        <v>237</v>
      </c>
      <c r="FH82" s="9">
        <v>67.748549284984563</v>
      </c>
      <c r="FI82" s="9" t="s">
        <v>236</v>
      </c>
      <c r="FK82" t="s">
        <v>235</v>
      </c>
      <c r="FL82">
        <v>63.5</v>
      </c>
      <c r="FM82">
        <v>187.11129304414516</v>
      </c>
      <c r="FN82" s="5" t="s">
        <v>237</v>
      </c>
      <c r="FP82" s="6">
        <v>6.35</v>
      </c>
      <c r="FQ82" t="s">
        <v>239</v>
      </c>
      <c r="FS82" t="s">
        <v>240</v>
      </c>
      <c r="FU82" s="8">
        <v>1</v>
      </c>
      <c r="FV82" s="8">
        <v>10</v>
      </c>
      <c r="FW82" s="8">
        <v>10</v>
      </c>
      <c r="FX82" s="8">
        <v>10</v>
      </c>
      <c r="FY82" s="8">
        <v>3</v>
      </c>
      <c r="FZ82">
        <f t="shared" si="1"/>
        <v>3000</v>
      </c>
      <c r="GA82" s="7" t="s">
        <v>241</v>
      </c>
      <c r="GB82" s="7" t="s">
        <v>241</v>
      </c>
      <c r="GC82" s="6">
        <v>30</v>
      </c>
      <c r="GD82" s="348" t="s">
        <v>242</v>
      </c>
      <c r="GF82" s="6">
        <v>2.1166666666666667E-2</v>
      </c>
      <c r="GH82" s="7"/>
      <c r="GI82" s="445"/>
      <c r="GJ82" s="445"/>
      <c r="GK82" s="445"/>
      <c r="GL82" s="445"/>
      <c r="GM82" s="453"/>
      <c r="GN82" s="6">
        <v>0.2</v>
      </c>
      <c r="GO82" s="6">
        <v>0.375</v>
      </c>
      <c r="GP82" s="6">
        <v>0.6</v>
      </c>
      <c r="GQ82" s="6">
        <v>1.5</v>
      </c>
      <c r="GR82" s="6" t="s">
        <v>230</v>
      </c>
      <c r="GU82" t="s">
        <v>243</v>
      </c>
      <c r="GV82" t="s">
        <v>236</v>
      </c>
      <c r="GW82" t="s">
        <v>244</v>
      </c>
      <c r="GX82" t="s">
        <v>236</v>
      </c>
      <c r="GY82" t="s">
        <v>245</v>
      </c>
      <c r="HE82" t="s">
        <v>246</v>
      </c>
      <c r="HF82" t="s">
        <v>236</v>
      </c>
      <c r="HG82" t="s">
        <v>231</v>
      </c>
      <c r="HH82" t="s">
        <v>225</v>
      </c>
      <c r="HI82" t="s">
        <v>247</v>
      </c>
      <c r="HJ82" t="s">
        <v>225</v>
      </c>
      <c r="HK82" t="s">
        <v>266</v>
      </c>
      <c r="HO82" t="s">
        <v>231</v>
      </c>
      <c r="HP82" t="s">
        <v>223</v>
      </c>
      <c r="HQ82" t="s">
        <v>231</v>
      </c>
      <c r="HR82" t="s">
        <v>223</v>
      </c>
      <c r="HU82" t="s">
        <v>231</v>
      </c>
      <c r="HV82" t="s">
        <v>223</v>
      </c>
      <c r="HW82" t="s">
        <v>246</v>
      </c>
      <c r="HX82" t="s">
        <v>236</v>
      </c>
      <c r="IA82" t="s">
        <v>231</v>
      </c>
      <c r="IB82" t="s">
        <v>250</v>
      </c>
      <c r="IC82" s="447"/>
      <c r="ID82" s="447"/>
      <c r="IE82" s="447"/>
      <c r="IF82" s="447"/>
      <c r="IH82" t="s">
        <v>235</v>
      </c>
    </row>
    <row r="83" spans="1:242" x14ac:dyDescent="0.35">
      <c r="A83" s="310" t="s">
        <v>732</v>
      </c>
      <c r="B83" s="313" t="s">
        <v>733</v>
      </c>
      <c r="C83" s="310" t="s">
        <v>734</v>
      </c>
      <c r="D83" s="316"/>
      <c r="F83" t="s">
        <v>735</v>
      </c>
      <c r="I83" s="310" t="s">
        <v>736</v>
      </c>
      <c r="M83" s="313"/>
      <c r="O83" t="s">
        <v>221</v>
      </c>
      <c r="P83" s="381"/>
      <c r="Q83" t="s">
        <v>221</v>
      </c>
      <c r="T83" s="8"/>
      <c r="U83" t="s">
        <v>221</v>
      </c>
      <c r="V83" s="313"/>
      <c r="W83" t="s">
        <v>220</v>
      </c>
      <c r="X83" t="s">
        <v>220</v>
      </c>
      <c r="Z83" t="s">
        <v>220</v>
      </c>
      <c r="AB83"/>
      <c r="AD83" s="8" t="s">
        <v>230</v>
      </c>
      <c r="AF83" s="8" t="s">
        <v>230</v>
      </c>
      <c r="AG83"/>
      <c r="AH83"/>
      <c r="AI83"/>
      <c r="AJ83" t="s">
        <v>221</v>
      </c>
      <c r="AK83">
        <v>0</v>
      </c>
      <c r="AL83">
        <v>1</v>
      </c>
      <c r="AM83" t="s">
        <v>221</v>
      </c>
      <c r="AN83" t="s">
        <v>249</v>
      </c>
      <c r="AO83" t="s">
        <v>224</v>
      </c>
      <c r="AP83"/>
      <c r="AQ83" t="s">
        <v>221</v>
      </c>
      <c r="AR83" t="s">
        <v>225</v>
      </c>
      <c r="AS83" t="s">
        <v>221</v>
      </c>
      <c r="AT83"/>
      <c r="AU83" t="s">
        <v>220</v>
      </c>
      <c r="AV83"/>
      <c r="AW83" s="313" t="s">
        <v>220</v>
      </c>
      <c r="AX83" t="s">
        <v>226</v>
      </c>
      <c r="AY83" s="313" t="s">
        <v>220</v>
      </c>
      <c r="AZ83" s="313">
        <v>0.23200000000000001</v>
      </c>
      <c r="BB83" s="313" t="s">
        <v>220</v>
      </c>
      <c r="BC83">
        <v>0.155</v>
      </c>
      <c r="BD83" t="s">
        <v>431</v>
      </c>
      <c r="BE83">
        <v>0.51900000000000002</v>
      </c>
      <c r="BF83" s="2" t="s">
        <v>220</v>
      </c>
      <c r="BH83" s="2" t="s">
        <v>228</v>
      </c>
      <c r="BI83" s="2" t="s">
        <v>424</v>
      </c>
      <c r="BM83"/>
      <c r="BO83" t="s">
        <v>220</v>
      </c>
      <c r="BP83" s="8"/>
      <c r="BQ83" t="s">
        <v>222</v>
      </c>
      <c r="BR83" t="s">
        <v>230</v>
      </c>
      <c r="BS83" t="s">
        <v>255</v>
      </c>
      <c r="BU83" t="s">
        <v>231</v>
      </c>
      <c r="BV83" t="s">
        <v>236</v>
      </c>
      <c r="BW83" t="s">
        <v>232</v>
      </c>
      <c r="BX83" t="s">
        <v>256</v>
      </c>
      <c r="BY83" t="s">
        <v>220</v>
      </c>
      <c r="BZ83">
        <v>0.25600000000000001</v>
      </c>
      <c r="CA83" t="s">
        <v>372</v>
      </c>
      <c r="CF83" t="s">
        <v>220</v>
      </c>
      <c r="CG83">
        <v>0.376</v>
      </c>
      <c r="CH83" t="s">
        <v>257</v>
      </c>
      <c r="CI83">
        <v>0.66800000000000004</v>
      </c>
      <c r="CK83"/>
      <c r="CL83"/>
      <c r="CM83"/>
      <c r="CS83" s="8"/>
      <c r="CW83" t="s">
        <v>227</v>
      </c>
      <c r="CX83" t="s">
        <v>220</v>
      </c>
      <c r="CY83" t="s">
        <v>231</v>
      </c>
      <c r="CZ83" t="s">
        <v>257</v>
      </c>
      <c r="DA83" t="s">
        <v>227</v>
      </c>
      <c r="DB83" t="s">
        <v>220</v>
      </c>
      <c r="DC83"/>
      <c r="DD83"/>
      <c r="DE83"/>
      <c r="DF83"/>
      <c r="DG83"/>
      <c r="DH83" s="323"/>
      <c r="DI83" s="323"/>
      <c r="DJ83" s="323"/>
      <c r="DL83" t="s">
        <v>257</v>
      </c>
      <c r="DM83" t="s">
        <v>220</v>
      </c>
      <c r="DN83" t="s">
        <v>227</v>
      </c>
      <c r="DO83" t="s">
        <v>220</v>
      </c>
      <c r="DP83" t="s">
        <v>257</v>
      </c>
      <c r="DS83" s="309">
        <v>38.055999999999997</v>
      </c>
      <c r="DU83" s="309">
        <v>549.10400000000004</v>
      </c>
      <c r="DW83"/>
      <c r="DX83" t="s">
        <v>235</v>
      </c>
      <c r="DY83"/>
      <c r="DZ83" t="s">
        <v>235</v>
      </c>
      <c r="EA83"/>
      <c r="EB83"/>
      <c r="ED83" s="410"/>
      <c r="EE83" s="1"/>
      <c r="EG83" s="410"/>
      <c r="EI83" s="410"/>
      <c r="EK83" s="1"/>
      <c r="EM83"/>
      <c r="EQ83" s="344"/>
      <c r="EU83" s="344"/>
      <c r="EW83" s="409"/>
      <c r="EY83" s="1"/>
      <c r="FA83">
        <v>109.07</v>
      </c>
      <c r="FB83" t="s">
        <v>223</v>
      </c>
      <c r="FC83" s="7">
        <v>103.5857464582682</v>
      </c>
      <c r="FD83" s="357" t="s">
        <v>225</v>
      </c>
      <c r="FE83" s="8">
        <v>94.297461145989985</v>
      </c>
      <c r="FF83" t="s">
        <v>237</v>
      </c>
      <c r="FH83" s="9">
        <v>254.44856151466368</v>
      </c>
      <c r="FI83" s="9" t="s">
        <v>225</v>
      </c>
      <c r="FK83" t="s">
        <v>235</v>
      </c>
      <c r="FL83">
        <v>152</v>
      </c>
      <c r="FM83">
        <v>198.19833417975005</v>
      </c>
      <c r="FN83" s="5" t="s">
        <v>237</v>
      </c>
      <c r="FP83" s="6">
        <v>9.9099167089875024</v>
      </c>
      <c r="FQ83" t="s">
        <v>277</v>
      </c>
      <c r="FS83" t="s">
        <v>240</v>
      </c>
      <c r="FU83" s="8">
        <v>2</v>
      </c>
      <c r="FV83" s="8">
        <v>10</v>
      </c>
      <c r="FW83" s="8">
        <v>10</v>
      </c>
      <c r="FX83" s="8">
        <v>10</v>
      </c>
      <c r="FY83" s="8">
        <v>3</v>
      </c>
      <c r="FZ83">
        <f t="shared" si="1"/>
        <v>6000</v>
      </c>
      <c r="GA83" s="7" t="s">
        <v>326</v>
      </c>
      <c r="GB83" s="7" t="s">
        <v>326</v>
      </c>
      <c r="GC83" s="6">
        <v>1.5</v>
      </c>
      <c r="GD83" s="348" t="s">
        <v>242</v>
      </c>
      <c r="GF83" s="6">
        <v>5.0666666666666665E-2</v>
      </c>
      <c r="GH83" s="7"/>
      <c r="GI83" s="441">
        <v>0.22</v>
      </c>
      <c r="GJ83" s="441">
        <v>0.41299999999999998</v>
      </c>
      <c r="GK83" s="441">
        <v>0.66100000000000003</v>
      </c>
      <c r="GL83" s="441">
        <v>1.6519999999999999</v>
      </c>
      <c r="GM83" s="452" t="s">
        <v>262</v>
      </c>
      <c r="GN83" s="6">
        <v>0.01</v>
      </c>
      <c r="GO83" s="6">
        <v>1.8749999999999999E-2</v>
      </c>
      <c r="GP83" s="6">
        <v>0.03</v>
      </c>
      <c r="GQ83" s="6">
        <v>7.4999999999999997E-2</v>
      </c>
      <c r="GR83" s="6" t="s">
        <v>230</v>
      </c>
      <c r="GU83" t="s">
        <v>243</v>
      </c>
      <c r="GV83" t="s">
        <v>236</v>
      </c>
      <c r="GW83" t="s">
        <v>244</v>
      </c>
      <c r="GX83" t="s">
        <v>236</v>
      </c>
      <c r="GY83" t="s">
        <v>245</v>
      </c>
      <c r="HE83" t="s">
        <v>384</v>
      </c>
      <c r="HF83" t="s">
        <v>223</v>
      </c>
      <c r="HG83" t="s">
        <v>231</v>
      </c>
      <c r="HH83" t="s">
        <v>223</v>
      </c>
      <c r="HI83" t="s">
        <v>247</v>
      </c>
      <c r="HJ83" t="s">
        <v>223</v>
      </c>
      <c r="HK83" t="s">
        <v>266</v>
      </c>
      <c r="HO83" t="s">
        <v>231</v>
      </c>
      <c r="HP83" t="s">
        <v>223</v>
      </c>
      <c r="HQ83" t="s">
        <v>231</v>
      </c>
      <c r="HR83" t="s">
        <v>223</v>
      </c>
      <c r="HU83" t="s">
        <v>231</v>
      </c>
      <c r="HV83" t="s">
        <v>223</v>
      </c>
      <c r="HW83" t="s">
        <v>246</v>
      </c>
      <c r="HX83" t="s">
        <v>236</v>
      </c>
      <c r="IA83" t="s">
        <v>231</v>
      </c>
      <c r="IB83" t="s">
        <v>250</v>
      </c>
      <c r="IC83">
        <v>0.22</v>
      </c>
      <c r="ID83">
        <v>0.41299999999999998</v>
      </c>
      <c r="IE83">
        <v>0.66100000000000003</v>
      </c>
      <c r="IF83">
        <v>1.6519999999999999</v>
      </c>
      <c r="IH83" t="s">
        <v>267</v>
      </c>
    </row>
    <row r="84" spans="1:242" x14ac:dyDescent="0.35">
      <c r="A84" s="310" t="s">
        <v>737</v>
      </c>
      <c r="B84" s="313" t="s">
        <v>738</v>
      </c>
      <c r="C84" s="310" t="s">
        <v>739</v>
      </c>
      <c r="D84" s="316"/>
      <c r="F84" t="s">
        <v>739</v>
      </c>
      <c r="I84" s="310" t="s">
        <v>740</v>
      </c>
      <c r="M84" s="313"/>
      <c r="O84"/>
      <c r="P84" s="381"/>
      <c r="Q84"/>
      <c r="T84" s="8"/>
      <c r="U84"/>
      <c r="V84" s="313"/>
      <c r="W84" t="s">
        <v>301</v>
      </c>
      <c r="X84"/>
      <c r="Z84"/>
      <c r="AB84"/>
      <c r="AD84" s="8" t="s">
        <v>230</v>
      </c>
      <c r="AF84" s="8" t="s">
        <v>230</v>
      </c>
      <c r="AG84"/>
      <c r="AH84"/>
      <c r="AI84"/>
      <c r="AJ84" t="s">
        <v>221</v>
      </c>
      <c r="AK84">
        <v>0</v>
      </c>
      <c r="AL84">
        <v>0.82499999999999996</v>
      </c>
      <c r="AM84" t="s">
        <v>221</v>
      </c>
      <c r="AN84" t="s">
        <v>223</v>
      </c>
      <c r="AO84" t="s">
        <v>221</v>
      </c>
      <c r="AP84" t="s">
        <v>223</v>
      </c>
      <c r="AQ84" t="s">
        <v>221</v>
      </c>
      <c r="AR84" t="s">
        <v>225</v>
      </c>
      <c r="AS84" t="s">
        <v>221</v>
      </c>
      <c r="AT84" t="s">
        <v>223</v>
      </c>
      <c r="AU84" t="s">
        <v>272</v>
      </c>
      <c r="AV84"/>
      <c r="AW84" s="313" t="s">
        <v>227</v>
      </c>
      <c r="AX84" t="s">
        <v>226</v>
      </c>
      <c r="AY84" s="313" t="s">
        <v>227</v>
      </c>
      <c r="AZ84" s="313">
        <v>8.9300000000000004E-2</v>
      </c>
      <c r="BB84" s="313" t="s">
        <v>227</v>
      </c>
      <c r="BC84">
        <v>4.19E-2</v>
      </c>
      <c r="BD84" t="s">
        <v>227</v>
      </c>
      <c r="BE84">
        <v>9.9000000000000005E-2</v>
      </c>
      <c r="BF84" s="2" t="s">
        <v>220</v>
      </c>
      <c r="BG84" s="2" t="s">
        <v>273</v>
      </c>
      <c r="BH84" s="2" t="s">
        <v>274</v>
      </c>
      <c r="BI84" s="2" t="s">
        <v>275</v>
      </c>
      <c r="BM84"/>
      <c r="BP84" s="8"/>
      <c r="BQ84" t="s">
        <v>230</v>
      </c>
      <c r="BR84" t="s">
        <v>230</v>
      </c>
      <c r="BU84" t="s">
        <v>231</v>
      </c>
      <c r="BV84" t="s">
        <v>223</v>
      </c>
      <c r="BW84" t="s">
        <v>232</v>
      </c>
      <c r="BX84" t="s">
        <v>276</v>
      </c>
      <c r="BY84" t="s">
        <v>227</v>
      </c>
      <c r="BZ84">
        <v>0.29099999999999998</v>
      </c>
      <c r="CA84" t="s">
        <v>234</v>
      </c>
      <c r="CF84" t="s">
        <v>227</v>
      </c>
      <c r="CG84">
        <v>0.22</v>
      </c>
      <c r="CH84" t="s">
        <v>227</v>
      </c>
      <c r="CI84">
        <v>0.23100000000000001</v>
      </c>
      <c r="CK84"/>
      <c r="CL84"/>
      <c r="CM84"/>
      <c r="CS84" s="8"/>
      <c r="CW84" t="s">
        <v>227</v>
      </c>
      <c r="CX84" t="s">
        <v>227</v>
      </c>
      <c r="CY84" t="s">
        <v>231</v>
      </c>
      <c r="CZ84" t="s">
        <v>227</v>
      </c>
      <c r="DA84" t="s">
        <v>227</v>
      </c>
      <c r="DB84" t="s">
        <v>227</v>
      </c>
      <c r="DC84"/>
      <c r="DD84"/>
      <c r="DE84"/>
      <c r="DF84"/>
      <c r="DG84"/>
      <c r="DH84" s="323"/>
      <c r="DI84" s="323"/>
      <c r="DJ84" s="323"/>
      <c r="DL84" t="s">
        <v>227</v>
      </c>
      <c r="DM84" t="s">
        <v>227</v>
      </c>
      <c r="DN84" t="s">
        <v>227</v>
      </c>
      <c r="DO84" t="s">
        <v>227</v>
      </c>
      <c r="DP84" t="s">
        <v>227</v>
      </c>
      <c r="DS84" s="309">
        <v>154.93199999999999</v>
      </c>
      <c r="DU84" s="309">
        <v>180.53800000000001</v>
      </c>
      <c r="DW84">
        <v>8.74</v>
      </c>
      <c r="DX84" t="s">
        <v>238</v>
      </c>
      <c r="DY84">
        <v>226</v>
      </c>
      <c r="DZ84" t="s">
        <v>238</v>
      </c>
      <c r="EA84"/>
      <c r="EB84"/>
      <c r="ED84" s="410"/>
      <c r="EE84" s="1"/>
      <c r="EG84" s="410"/>
      <c r="EI84" s="410"/>
      <c r="EK84" s="1"/>
      <c r="EM84"/>
      <c r="EQ84" s="344"/>
      <c r="EU84" s="344"/>
      <c r="EW84" s="409"/>
      <c r="EY84" s="1"/>
      <c r="FA84">
        <v>35.29</v>
      </c>
      <c r="FB84" t="s">
        <v>225</v>
      </c>
      <c r="FC84" s="7">
        <v>110.3570289964016</v>
      </c>
      <c r="FD84" s="357" t="s">
        <v>236</v>
      </c>
      <c r="FE84" s="8">
        <v>20.912213301552889</v>
      </c>
      <c r="FF84" t="s">
        <v>237</v>
      </c>
      <c r="FH84" s="9">
        <v>63.885161938980168</v>
      </c>
      <c r="FI84" s="9" t="s">
        <v>236</v>
      </c>
      <c r="FJ84">
        <v>22.4</v>
      </c>
      <c r="FK84" t="s">
        <v>238</v>
      </c>
      <c r="FL84">
        <v>74.7</v>
      </c>
      <c r="FM84">
        <v>90.011914710318749</v>
      </c>
      <c r="FN84" s="5" t="s">
        <v>237</v>
      </c>
      <c r="FP84" s="6">
        <v>2.2399999999999998</v>
      </c>
      <c r="FQ84" t="s">
        <v>450</v>
      </c>
      <c r="FS84" t="s">
        <v>240</v>
      </c>
      <c r="FU84" s="8">
        <v>1</v>
      </c>
      <c r="FV84" s="8">
        <v>10</v>
      </c>
      <c r="FW84" s="8">
        <v>10</v>
      </c>
      <c r="FX84" s="8">
        <v>10</v>
      </c>
      <c r="FY84" s="8">
        <v>3</v>
      </c>
      <c r="FZ84">
        <f t="shared" si="1"/>
        <v>3000</v>
      </c>
      <c r="GA84" s="7" t="s">
        <v>241</v>
      </c>
      <c r="GB84" s="7" t="s">
        <v>241</v>
      </c>
      <c r="GC84" s="6">
        <v>30</v>
      </c>
      <c r="GD84" s="348" t="s">
        <v>242</v>
      </c>
      <c r="GF84" s="6">
        <v>7.4666666666666657E-3</v>
      </c>
      <c r="GH84" s="7"/>
      <c r="GI84" s="445"/>
      <c r="GJ84" s="445"/>
      <c r="GK84" s="445"/>
      <c r="GL84" s="445"/>
      <c r="GM84" s="453"/>
      <c r="GN84" s="6">
        <v>0.2</v>
      </c>
      <c r="GO84" s="6">
        <v>0.375</v>
      </c>
      <c r="GP84" s="6">
        <v>0.6</v>
      </c>
      <c r="GQ84" s="6">
        <v>1.5</v>
      </c>
      <c r="GR84" s="6" t="s">
        <v>230</v>
      </c>
      <c r="GU84" t="s">
        <v>243</v>
      </c>
      <c r="GV84" t="s">
        <v>236</v>
      </c>
      <c r="GW84" t="s">
        <v>244</v>
      </c>
      <c r="GX84" t="s">
        <v>236</v>
      </c>
      <c r="GY84" t="s">
        <v>245</v>
      </c>
      <c r="HE84" t="s">
        <v>246</v>
      </c>
      <c r="HF84" t="s">
        <v>236</v>
      </c>
      <c r="HG84" t="s">
        <v>231</v>
      </c>
      <c r="HH84" t="s">
        <v>225</v>
      </c>
      <c r="HI84" t="s">
        <v>247</v>
      </c>
      <c r="HJ84" t="s">
        <v>223</v>
      </c>
      <c r="HK84" t="s">
        <v>266</v>
      </c>
      <c r="HL84" t="s">
        <v>231</v>
      </c>
      <c r="HM84" t="s">
        <v>231</v>
      </c>
      <c r="HO84" t="s">
        <v>231</v>
      </c>
      <c r="HP84" t="s">
        <v>249</v>
      </c>
      <c r="HQ84" t="s">
        <v>231</v>
      </c>
      <c r="HR84" t="s">
        <v>249</v>
      </c>
      <c r="HU84" t="s">
        <v>231</v>
      </c>
      <c r="HV84" t="s">
        <v>223</v>
      </c>
      <c r="HW84" t="s">
        <v>246</v>
      </c>
      <c r="HX84" t="s">
        <v>236</v>
      </c>
      <c r="IA84" t="s">
        <v>231</v>
      </c>
      <c r="IB84" t="s">
        <v>250</v>
      </c>
      <c r="IC84" s="447"/>
      <c r="ID84" s="447"/>
      <c r="IE84" s="447"/>
      <c r="IF84" s="447"/>
      <c r="IH84" t="s">
        <v>235</v>
      </c>
    </row>
    <row r="85" spans="1:242" x14ac:dyDescent="0.35">
      <c r="A85" s="310" t="s">
        <v>741</v>
      </c>
      <c r="B85" s="313" t="s">
        <v>742</v>
      </c>
      <c r="C85" s="310" t="s">
        <v>743</v>
      </c>
      <c r="D85" s="316"/>
      <c r="F85" t="s">
        <v>743</v>
      </c>
      <c r="I85" s="310" t="s">
        <v>744</v>
      </c>
      <c r="M85" s="313"/>
      <c r="O85"/>
      <c r="P85" s="381"/>
      <c r="Q85"/>
      <c r="T85" s="8"/>
      <c r="U85"/>
      <c r="V85" s="313"/>
      <c r="W85" t="s">
        <v>220</v>
      </c>
      <c r="X85" t="s">
        <v>220</v>
      </c>
      <c r="Z85" t="s">
        <v>220</v>
      </c>
      <c r="AB85"/>
      <c r="AD85" s="8" t="s">
        <v>230</v>
      </c>
      <c r="AF85" s="8" t="s">
        <v>230</v>
      </c>
      <c r="AG85"/>
      <c r="AH85"/>
      <c r="AI85"/>
      <c r="AJ85" t="s">
        <v>221</v>
      </c>
      <c r="AK85">
        <v>0</v>
      </c>
      <c r="AL85">
        <v>0.82499999999999996</v>
      </c>
      <c r="AM85" t="s">
        <v>221</v>
      </c>
      <c r="AN85" t="s">
        <v>223</v>
      </c>
      <c r="AO85" t="s">
        <v>221</v>
      </c>
      <c r="AP85" t="s">
        <v>223</v>
      </c>
      <c r="AQ85" t="s">
        <v>221</v>
      </c>
      <c r="AR85" t="s">
        <v>225</v>
      </c>
      <c r="AS85" t="s">
        <v>221</v>
      </c>
      <c r="AT85" t="s">
        <v>223</v>
      </c>
      <c r="AU85" t="s">
        <v>220</v>
      </c>
      <c r="AV85"/>
      <c r="AW85" s="313" t="s">
        <v>220</v>
      </c>
      <c r="AX85" t="s">
        <v>226</v>
      </c>
      <c r="AY85" s="313" t="s">
        <v>220</v>
      </c>
      <c r="AZ85" s="313">
        <v>4.8000000000000001E-2</v>
      </c>
      <c r="BB85" s="313" t="s">
        <v>220</v>
      </c>
      <c r="BC85">
        <v>2.4E-2</v>
      </c>
      <c r="BD85" t="s">
        <v>227</v>
      </c>
      <c r="BE85">
        <v>7.9200000000000007E-2</v>
      </c>
      <c r="BF85" s="2" t="s">
        <v>220</v>
      </c>
      <c r="BH85" s="2" t="s">
        <v>228</v>
      </c>
      <c r="BI85" s="2" t="s">
        <v>392</v>
      </c>
      <c r="BM85"/>
      <c r="BP85" s="8"/>
      <c r="BQ85" t="s">
        <v>230</v>
      </c>
      <c r="BR85" t="s">
        <v>230</v>
      </c>
      <c r="BU85" t="s">
        <v>231</v>
      </c>
      <c r="BV85" t="s">
        <v>223</v>
      </c>
      <c r="BW85" t="s">
        <v>232</v>
      </c>
      <c r="BX85" t="s">
        <v>233</v>
      </c>
      <c r="BY85" t="s">
        <v>227</v>
      </c>
      <c r="BZ85">
        <v>0.247</v>
      </c>
      <c r="CA85" t="s">
        <v>234</v>
      </c>
      <c r="CF85" t="s">
        <v>227</v>
      </c>
      <c r="CG85">
        <v>0.13700000000000001</v>
      </c>
      <c r="CH85" t="s">
        <v>227</v>
      </c>
      <c r="CI85">
        <v>0.14799999999999999</v>
      </c>
      <c r="CK85"/>
      <c r="CL85" t="s">
        <v>220</v>
      </c>
      <c r="CM85"/>
      <c r="CS85" s="8"/>
      <c r="CW85" t="s">
        <v>227</v>
      </c>
      <c r="CX85" t="s">
        <v>220</v>
      </c>
      <c r="CY85" t="s">
        <v>231</v>
      </c>
      <c r="CZ85" t="s">
        <v>227</v>
      </c>
      <c r="DA85" t="s">
        <v>227</v>
      </c>
      <c r="DB85" t="s">
        <v>227</v>
      </c>
      <c r="DC85"/>
      <c r="DD85"/>
      <c r="DE85"/>
      <c r="DF85"/>
      <c r="DG85"/>
      <c r="DH85" s="323"/>
      <c r="DI85" s="323"/>
      <c r="DJ85" s="323"/>
      <c r="DL85" t="s">
        <v>227</v>
      </c>
      <c r="DM85" t="s">
        <v>227</v>
      </c>
      <c r="DN85" t="s">
        <v>227</v>
      </c>
      <c r="DO85" t="s">
        <v>227</v>
      </c>
      <c r="DP85" t="s">
        <v>227</v>
      </c>
      <c r="DS85" s="338">
        <v>518.81399999999996</v>
      </c>
      <c r="DT85" s="8" t="s">
        <v>394</v>
      </c>
      <c r="DU85" s="309">
        <v>250.81</v>
      </c>
      <c r="DW85">
        <v>15.1</v>
      </c>
      <c r="DX85" t="s">
        <v>238</v>
      </c>
      <c r="DY85">
        <v>393</v>
      </c>
      <c r="DZ85" t="s">
        <v>238</v>
      </c>
      <c r="EA85">
        <v>13.34</v>
      </c>
      <c r="EB85"/>
      <c r="ED85" s="410"/>
      <c r="EE85" s="1"/>
      <c r="EG85" s="410"/>
      <c r="EI85" s="410"/>
      <c r="EK85" s="1">
        <v>1000</v>
      </c>
      <c r="EL85" s="8" t="s">
        <v>323</v>
      </c>
      <c r="EM85"/>
      <c r="EQ85" s="344"/>
      <c r="EU85" s="344"/>
      <c r="EW85" s="409"/>
      <c r="EY85" s="1"/>
      <c r="FA85">
        <v>53.46</v>
      </c>
      <c r="FB85"/>
      <c r="FC85" s="7">
        <v>375.66436461445926</v>
      </c>
      <c r="FD85" s="357" t="s">
        <v>236</v>
      </c>
      <c r="FE85" s="8">
        <v>12.779092095662881</v>
      </c>
      <c r="FF85" t="s">
        <v>237</v>
      </c>
      <c r="FH85" s="9">
        <v>188.7991349096294</v>
      </c>
      <c r="FI85" s="9" t="s">
        <v>236</v>
      </c>
      <c r="FJ85">
        <v>44.2</v>
      </c>
      <c r="FK85" t="s">
        <v>238</v>
      </c>
      <c r="FL85">
        <v>85</v>
      </c>
      <c r="FM85">
        <v>84.820338245240507</v>
      </c>
      <c r="FN85" s="5" t="s">
        <v>237</v>
      </c>
      <c r="FP85" s="6">
        <v>6.67</v>
      </c>
      <c r="FQ85" t="s">
        <v>535</v>
      </c>
      <c r="FS85" t="s">
        <v>261</v>
      </c>
      <c r="FU85" s="8">
        <v>2</v>
      </c>
      <c r="FV85" s="8">
        <v>10</v>
      </c>
      <c r="FW85" s="8">
        <v>10</v>
      </c>
      <c r="FX85" s="8">
        <v>1</v>
      </c>
      <c r="FY85" s="8">
        <v>3</v>
      </c>
      <c r="FZ85">
        <f t="shared" si="1"/>
        <v>600</v>
      </c>
      <c r="GA85" s="7" t="s">
        <v>241</v>
      </c>
      <c r="GB85" s="7" t="s">
        <v>241</v>
      </c>
      <c r="GC85" s="6">
        <v>30</v>
      </c>
      <c r="GD85" s="348" t="s">
        <v>242</v>
      </c>
      <c r="GF85" s="6">
        <v>1.4733333333333334E-2</v>
      </c>
      <c r="GH85" s="7"/>
      <c r="GI85" s="445"/>
      <c r="GJ85" s="445"/>
      <c r="GK85" s="445"/>
      <c r="GL85" s="445"/>
      <c r="GM85" s="453"/>
      <c r="GN85" s="6">
        <v>0.2</v>
      </c>
      <c r="GO85" s="6">
        <v>0.375</v>
      </c>
      <c r="GP85" s="6">
        <v>0.6</v>
      </c>
      <c r="GQ85" s="6">
        <v>1.5</v>
      </c>
      <c r="GR85" s="6" t="s">
        <v>230</v>
      </c>
      <c r="GU85" t="s">
        <v>243</v>
      </c>
      <c r="GV85" t="s">
        <v>236</v>
      </c>
      <c r="GW85" t="s">
        <v>244</v>
      </c>
      <c r="GX85" t="s">
        <v>236</v>
      </c>
      <c r="GY85" t="s">
        <v>245</v>
      </c>
      <c r="GZ85" t="s">
        <v>376</v>
      </c>
      <c r="HB85" t="s">
        <v>376</v>
      </c>
      <c r="HE85" t="s">
        <v>247</v>
      </c>
      <c r="HF85" t="s">
        <v>249</v>
      </c>
      <c r="HG85" t="s">
        <v>231</v>
      </c>
      <c r="HH85" t="s">
        <v>236</v>
      </c>
      <c r="HI85" t="s">
        <v>247</v>
      </c>
      <c r="HJ85" t="s">
        <v>249</v>
      </c>
      <c r="HK85" t="s">
        <v>266</v>
      </c>
      <c r="HL85" t="s">
        <v>231</v>
      </c>
      <c r="HM85" t="s">
        <v>231</v>
      </c>
      <c r="HO85" t="s">
        <v>231</v>
      </c>
      <c r="HP85" t="s">
        <v>249</v>
      </c>
      <c r="HQ85" t="s">
        <v>231</v>
      </c>
      <c r="HR85" t="s">
        <v>249</v>
      </c>
      <c r="HU85" t="s">
        <v>231</v>
      </c>
      <c r="HV85" t="s">
        <v>223</v>
      </c>
      <c r="HW85" t="s">
        <v>246</v>
      </c>
      <c r="HX85" t="s">
        <v>236</v>
      </c>
      <c r="IA85" t="s">
        <v>231</v>
      </c>
      <c r="IB85" t="s">
        <v>250</v>
      </c>
      <c r="IC85" s="447"/>
      <c r="ID85" s="447"/>
      <c r="IE85" s="447"/>
      <c r="IF85" s="447"/>
      <c r="IH85" t="s">
        <v>235</v>
      </c>
    </row>
    <row r="86" spans="1:242" x14ac:dyDescent="0.35">
      <c r="A86" s="310" t="s">
        <v>745</v>
      </c>
      <c r="B86" s="313" t="s">
        <v>746</v>
      </c>
      <c r="C86" s="310" t="s">
        <v>747</v>
      </c>
      <c r="D86" s="316"/>
      <c r="F86" t="s">
        <v>748</v>
      </c>
      <c r="I86" s="310" t="s">
        <v>749</v>
      </c>
      <c r="M86" s="313"/>
      <c r="O86"/>
      <c r="P86" s="381"/>
      <c r="Q86"/>
      <c r="T86" s="8"/>
      <c r="U86"/>
      <c r="V86" s="313"/>
      <c r="W86" t="s">
        <v>301</v>
      </c>
      <c r="X86"/>
      <c r="Z86"/>
      <c r="AB86"/>
      <c r="AD86" s="8" t="s">
        <v>222</v>
      </c>
      <c r="AF86" s="8" t="s">
        <v>230</v>
      </c>
      <c r="AG86"/>
      <c r="AH86"/>
      <c r="AI86"/>
      <c r="AJ86" t="s">
        <v>221</v>
      </c>
      <c r="AK86">
        <v>0.05</v>
      </c>
      <c r="AL86">
        <v>0.67500000000000004</v>
      </c>
      <c r="AM86" t="s">
        <v>221</v>
      </c>
      <c r="AN86" t="s">
        <v>223</v>
      </c>
      <c r="AO86" t="s">
        <v>221</v>
      </c>
      <c r="AP86" t="s">
        <v>223</v>
      </c>
      <c r="AQ86" t="s">
        <v>414</v>
      </c>
      <c r="AR86" t="s">
        <v>236</v>
      </c>
      <c r="AS86" t="s">
        <v>221</v>
      </c>
      <c r="AT86" t="s">
        <v>223</v>
      </c>
      <c r="AU86" t="s">
        <v>220</v>
      </c>
      <c r="AV86"/>
      <c r="AW86" s="313" t="s">
        <v>220</v>
      </c>
      <c r="AX86" t="s">
        <v>226</v>
      </c>
      <c r="AY86" s="313" t="s">
        <v>220</v>
      </c>
      <c r="AZ86" s="313">
        <v>0.17399999999999999</v>
      </c>
      <c r="BB86" s="313" t="s">
        <v>220</v>
      </c>
      <c r="BC86">
        <v>9.6799999999999997E-2</v>
      </c>
      <c r="BD86" t="s">
        <v>220</v>
      </c>
      <c r="BE86">
        <v>0.34499999999999997</v>
      </c>
      <c r="BF86" s="2" t="s">
        <v>220</v>
      </c>
      <c r="BH86" s="2" t="s">
        <v>228</v>
      </c>
      <c r="BI86" s="2" t="s">
        <v>302</v>
      </c>
      <c r="BM86"/>
      <c r="BP86" s="8"/>
      <c r="BQ86" t="s">
        <v>230</v>
      </c>
      <c r="BR86" t="s">
        <v>230</v>
      </c>
      <c r="BU86" t="s">
        <v>231</v>
      </c>
      <c r="BV86" t="s">
        <v>223</v>
      </c>
      <c r="BW86" t="s">
        <v>232</v>
      </c>
      <c r="BX86" t="s">
        <v>284</v>
      </c>
      <c r="BY86" t="s">
        <v>220</v>
      </c>
      <c r="BZ86">
        <v>0.378</v>
      </c>
      <c r="CA86" t="s">
        <v>372</v>
      </c>
      <c r="CF86" t="s">
        <v>220</v>
      </c>
      <c r="CG86">
        <v>0.35899999999999999</v>
      </c>
      <c r="CH86" t="s">
        <v>257</v>
      </c>
      <c r="CI86">
        <v>0.90100000000000002</v>
      </c>
      <c r="CK86"/>
      <c r="CL86"/>
      <c r="CM86"/>
      <c r="CS86" s="8"/>
      <c r="CW86" t="s">
        <v>220</v>
      </c>
      <c r="CX86" t="s">
        <v>220</v>
      </c>
      <c r="CY86" t="s">
        <v>231</v>
      </c>
      <c r="CZ86" t="s">
        <v>220</v>
      </c>
      <c r="DA86" t="s">
        <v>227</v>
      </c>
      <c r="DB86" t="s">
        <v>220</v>
      </c>
      <c r="DC86"/>
      <c r="DD86"/>
      <c r="DE86"/>
      <c r="DF86"/>
      <c r="DG86"/>
      <c r="DH86" s="323"/>
      <c r="DI86" s="323"/>
      <c r="DJ86" s="323"/>
      <c r="DL86" t="s">
        <v>257</v>
      </c>
      <c r="DM86" t="s">
        <v>257</v>
      </c>
      <c r="DN86" t="s">
        <v>257</v>
      </c>
      <c r="DO86" t="s">
        <v>220</v>
      </c>
      <c r="DP86" t="s">
        <v>220</v>
      </c>
      <c r="DS86" s="309">
        <v>39.142000000000003</v>
      </c>
      <c r="DU86" s="309">
        <v>315.57900000000001</v>
      </c>
      <c r="DW86">
        <v>4.2</v>
      </c>
      <c r="DX86" t="s">
        <v>238</v>
      </c>
      <c r="DY86">
        <v>351</v>
      </c>
      <c r="DZ86" t="s">
        <v>238</v>
      </c>
      <c r="EA86"/>
      <c r="EB86"/>
      <c r="ED86" s="410"/>
      <c r="EE86" s="1"/>
      <c r="EG86" s="410">
        <v>120</v>
      </c>
      <c r="EH86" s="8" t="s">
        <v>259</v>
      </c>
      <c r="EI86" s="410"/>
      <c r="EK86" s="1"/>
      <c r="EM86"/>
      <c r="EQ86" s="344"/>
      <c r="EU86" s="344"/>
      <c r="EW86" s="409"/>
      <c r="EY86" s="1"/>
      <c r="FA86">
        <v>76.56</v>
      </c>
      <c r="FB86" t="s">
        <v>236</v>
      </c>
      <c r="FC86" s="7">
        <v>116.73470764921933</v>
      </c>
      <c r="FD86" s="357" t="s">
        <v>236</v>
      </c>
      <c r="FE86" s="8">
        <v>63.008624656644017</v>
      </c>
      <c r="FF86" t="s">
        <v>237</v>
      </c>
      <c r="FH86" s="9">
        <v>81.451671302261914</v>
      </c>
      <c r="FI86" s="9" t="s">
        <v>236</v>
      </c>
      <c r="FJ86">
        <v>121</v>
      </c>
      <c r="FK86" t="s">
        <v>238</v>
      </c>
      <c r="FL86">
        <v>141</v>
      </c>
      <c r="FM86">
        <v>165.57699634695285</v>
      </c>
      <c r="FN86" s="5" t="s">
        <v>237</v>
      </c>
      <c r="FP86" s="6">
        <v>60</v>
      </c>
      <c r="FQ86" t="s">
        <v>615</v>
      </c>
      <c r="FS86" t="s">
        <v>261</v>
      </c>
      <c r="FU86" s="8">
        <v>2</v>
      </c>
      <c r="FV86" s="8">
        <v>10</v>
      </c>
      <c r="FW86" s="8">
        <v>10</v>
      </c>
      <c r="FX86" s="8">
        <v>1</v>
      </c>
      <c r="FY86" s="8">
        <v>3</v>
      </c>
      <c r="FZ86">
        <f t="shared" si="1"/>
        <v>600</v>
      </c>
      <c r="GA86" s="7" t="s">
        <v>241</v>
      </c>
      <c r="GB86" s="7" t="s">
        <v>241</v>
      </c>
      <c r="GC86" s="6">
        <v>30</v>
      </c>
      <c r="GD86" s="348" t="s">
        <v>242</v>
      </c>
      <c r="GF86" s="6">
        <v>4.0333333333333332E-2</v>
      </c>
      <c r="GH86" s="7"/>
      <c r="GI86" s="441">
        <v>1.333</v>
      </c>
      <c r="GJ86" s="441">
        <v>2.5</v>
      </c>
      <c r="GK86" s="441">
        <v>4</v>
      </c>
      <c r="GL86" s="441">
        <v>10</v>
      </c>
      <c r="GM86" s="452" t="s">
        <v>262</v>
      </c>
      <c r="GN86" s="6">
        <v>0.2</v>
      </c>
      <c r="GO86" s="6">
        <v>0.375</v>
      </c>
      <c r="GP86" s="6">
        <v>0.6</v>
      </c>
      <c r="GQ86" s="6">
        <v>1.5</v>
      </c>
      <c r="GR86" s="6" t="s">
        <v>230</v>
      </c>
      <c r="GU86" t="s">
        <v>243</v>
      </c>
      <c r="GV86" t="s">
        <v>236</v>
      </c>
      <c r="GW86" t="s">
        <v>244</v>
      </c>
      <c r="GX86" t="s">
        <v>236</v>
      </c>
      <c r="GY86" t="s">
        <v>245</v>
      </c>
      <c r="HE86" t="s">
        <v>384</v>
      </c>
      <c r="HF86" t="s">
        <v>223</v>
      </c>
      <c r="HG86" t="s">
        <v>231</v>
      </c>
      <c r="HH86" t="s">
        <v>225</v>
      </c>
      <c r="HI86" t="s">
        <v>247</v>
      </c>
      <c r="HJ86" t="s">
        <v>223</v>
      </c>
      <c r="HK86" t="s">
        <v>266</v>
      </c>
      <c r="HL86" t="s">
        <v>231</v>
      </c>
      <c r="HM86" t="s">
        <v>231</v>
      </c>
      <c r="HO86" t="s">
        <v>231</v>
      </c>
      <c r="HP86" t="s">
        <v>249</v>
      </c>
      <c r="HQ86" t="s">
        <v>231</v>
      </c>
      <c r="HR86" t="s">
        <v>249</v>
      </c>
      <c r="HU86" t="s">
        <v>231</v>
      </c>
      <c r="HV86" t="s">
        <v>223</v>
      </c>
      <c r="HW86" t="s">
        <v>246</v>
      </c>
      <c r="HX86" t="s">
        <v>236</v>
      </c>
      <c r="IA86" t="s">
        <v>231</v>
      </c>
      <c r="IB86" t="s">
        <v>250</v>
      </c>
      <c r="IC86">
        <v>1.333</v>
      </c>
      <c r="ID86">
        <v>2.5</v>
      </c>
      <c r="IE86">
        <v>4</v>
      </c>
      <c r="IF86">
        <v>10</v>
      </c>
      <c r="IH86" t="s">
        <v>267</v>
      </c>
    </row>
    <row r="87" spans="1:242" x14ac:dyDescent="0.35">
      <c r="A87" s="310" t="s">
        <v>750</v>
      </c>
      <c r="B87" s="313" t="s">
        <v>751</v>
      </c>
      <c r="C87" s="310" t="s">
        <v>752</v>
      </c>
      <c r="D87" s="316"/>
      <c r="F87" t="s">
        <v>752</v>
      </c>
      <c r="I87" s="310" t="s">
        <v>753</v>
      </c>
      <c r="M87" s="313"/>
      <c r="O87"/>
      <c r="P87" s="381"/>
      <c r="Q87"/>
      <c r="T87" s="8"/>
      <c r="U87"/>
      <c r="V87" s="313"/>
      <c r="W87" t="s">
        <v>301</v>
      </c>
      <c r="X87"/>
      <c r="Z87"/>
      <c r="AB87"/>
      <c r="AD87" s="8" t="s">
        <v>222</v>
      </c>
      <c r="AF87" s="8" t="s">
        <v>230</v>
      </c>
      <c r="AG87"/>
      <c r="AH87"/>
      <c r="AI87"/>
      <c r="AJ87" t="s">
        <v>221</v>
      </c>
      <c r="AK87">
        <v>0</v>
      </c>
      <c r="AL87">
        <v>0.82499999999999996</v>
      </c>
      <c r="AM87" t="s">
        <v>221</v>
      </c>
      <c r="AN87" t="s">
        <v>223</v>
      </c>
      <c r="AO87" t="s">
        <v>221</v>
      </c>
      <c r="AP87" t="s">
        <v>223</v>
      </c>
      <c r="AQ87" t="s">
        <v>221</v>
      </c>
      <c r="AR87" t="s">
        <v>225</v>
      </c>
      <c r="AS87" t="s">
        <v>221</v>
      </c>
      <c r="AT87" t="s">
        <v>223</v>
      </c>
      <c r="AU87" t="s">
        <v>272</v>
      </c>
      <c r="AV87"/>
      <c r="AW87" s="313" t="s">
        <v>227</v>
      </c>
      <c r="AX87" t="s">
        <v>226</v>
      </c>
      <c r="AY87" s="313" t="s">
        <v>227</v>
      </c>
      <c r="AZ87" s="313">
        <v>0.19800000000000001</v>
      </c>
      <c r="BB87" s="313" t="s">
        <v>227</v>
      </c>
      <c r="BC87">
        <v>0.11700000000000001</v>
      </c>
      <c r="BD87" t="s">
        <v>227</v>
      </c>
      <c r="BE87">
        <v>0.105</v>
      </c>
      <c r="BF87" s="2" t="s">
        <v>220</v>
      </c>
      <c r="BH87" s="2" t="s">
        <v>228</v>
      </c>
      <c r="BI87" s="2" t="s">
        <v>302</v>
      </c>
      <c r="BM87"/>
      <c r="BP87" s="8"/>
      <c r="BQ87" t="s">
        <v>230</v>
      </c>
      <c r="BR87" t="s">
        <v>230</v>
      </c>
      <c r="BU87" t="s">
        <v>231</v>
      </c>
      <c r="BV87" t="s">
        <v>223</v>
      </c>
      <c r="BW87" t="s">
        <v>232</v>
      </c>
      <c r="BX87" t="s">
        <v>276</v>
      </c>
      <c r="BY87" t="s">
        <v>227</v>
      </c>
      <c r="BZ87">
        <v>0.441</v>
      </c>
      <c r="CA87" t="s">
        <v>234</v>
      </c>
      <c r="CF87" t="s">
        <v>227</v>
      </c>
      <c r="CG87">
        <v>0.371</v>
      </c>
      <c r="CH87" t="s">
        <v>227</v>
      </c>
      <c r="CI87">
        <v>0.39900000000000002</v>
      </c>
      <c r="CK87"/>
      <c r="CL87"/>
      <c r="CM87"/>
      <c r="CS87" s="8"/>
      <c r="CW87" t="s">
        <v>227</v>
      </c>
      <c r="CX87" t="s">
        <v>227</v>
      </c>
      <c r="CY87" t="s">
        <v>231</v>
      </c>
      <c r="CZ87" t="s">
        <v>227</v>
      </c>
      <c r="DA87" t="s">
        <v>227</v>
      </c>
      <c r="DB87" t="s">
        <v>227</v>
      </c>
      <c r="DC87"/>
      <c r="DD87"/>
      <c r="DE87"/>
      <c r="DF87"/>
      <c r="DG87"/>
      <c r="DH87" s="323"/>
      <c r="DI87" s="323"/>
      <c r="DJ87" s="323"/>
      <c r="DL87" t="s">
        <v>227</v>
      </c>
      <c r="DM87" t="s">
        <v>227</v>
      </c>
      <c r="DN87" t="s">
        <v>227</v>
      </c>
      <c r="DO87" t="s">
        <v>227</v>
      </c>
      <c r="DP87" t="s">
        <v>227</v>
      </c>
      <c r="DS87" s="309">
        <v>348.35899999999998</v>
      </c>
      <c r="DU87" s="309">
        <v>211.565</v>
      </c>
      <c r="DW87">
        <v>26.1</v>
      </c>
      <c r="DX87" t="s">
        <v>238</v>
      </c>
      <c r="DY87">
        <v>1920</v>
      </c>
      <c r="DZ87" t="s">
        <v>238</v>
      </c>
      <c r="EA87"/>
      <c r="EB87"/>
      <c r="ED87" s="410"/>
      <c r="EE87" s="1"/>
      <c r="EG87" s="410"/>
      <c r="EI87" s="410"/>
      <c r="EK87" s="1">
        <v>1000</v>
      </c>
      <c r="EL87" s="8" t="s">
        <v>323</v>
      </c>
      <c r="EM87"/>
      <c r="EQ87" s="344"/>
      <c r="EU87" s="344"/>
      <c r="EW87" s="409"/>
      <c r="EY87" s="1"/>
      <c r="FA87">
        <v>35.69</v>
      </c>
      <c r="FB87" t="s">
        <v>225</v>
      </c>
      <c r="FC87" s="7">
        <v>159.44099649101986</v>
      </c>
      <c r="FD87" s="357" t="s">
        <v>225</v>
      </c>
      <c r="FE87" s="8">
        <v>41.686938347033561</v>
      </c>
      <c r="FF87" t="s">
        <v>237</v>
      </c>
      <c r="FH87" s="9">
        <v>71.449632607551351</v>
      </c>
      <c r="FI87" s="9" t="s">
        <v>225</v>
      </c>
      <c r="FJ87">
        <v>73.8</v>
      </c>
      <c r="FK87" t="s">
        <v>238</v>
      </c>
      <c r="FL87">
        <v>40.799999999999997</v>
      </c>
      <c r="FM87">
        <v>193.37485452952563</v>
      </c>
      <c r="FN87" s="5" t="s">
        <v>237</v>
      </c>
      <c r="FP87" s="6">
        <v>1000</v>
      </c>
      <c r="FQ87" t="s">
        <v>260</v>
      </c>
      <c r="FS87" t="s">
        <v>261</v>
      </c>
      <c r="FU87" s="8">
        <v>1</v>
      </c>
      <c r="FV87" s="8">
        <v>10</v>
      </c>
      <c r="FW87" s="8">
        <v>10</v>
      </c>
      <c r="FX87" s="8">
        <v>1</v>
      </c>
      <c r="FY87" s="8">
        <v>1</v>
      </c>
      <c r="FZ87">
        <f t="shared" si="1"/>
        <v>100</v>
      </c>
      <c r="GA87" s="7" t="s">
        <v>241</v>
      </c>
      <c r="GB87" s="7" t="s">
        <v>241</v>
      </c>
      <c r="GC87" s="6">
        <v>30</v>
      </c>
      <c r="GD87" s="348" t="s">
        <v>242</v>
      </c>
      <c r="GF87" s="6">
        <v>4.0800000000000003E-2</v>
      </c>
      <c r="GH87" s="7"/>
      <c r="GI87" s="441">
        <v>66.667000000000002</v>
      </c>
      <c r="GJ87" s="441">
        <v>125</v>
      </c>
      <c r="GK87" s="441">
        <v>200</v>
      </c>
      <c r="GL87" s="441">
        <v>500</v>
      </c>
      <c r="GM87" s="452" t="s">
        <v>262</v>
      </c>
      <c r="GN87" s="6">
        <v>0.2</v>
      </c>
      <c r="GO87" s="6">
        <v>0.375</v>
      </c>
      <c r="GP87" s="6">
        <v>0.6</v>
      </c>
      <c r="GQ87" s="6">
        <v>1.5</v>
      </c>
      <c r="GR87" s="6" t="s">
        <v>230</v>
      </c>
      <c r="GU87" t="s">
        <v>243</v>
      </c>
      <c r="GV87" t="s">
        <v>236</v>
      </c>
      <c r="GW87" t="s">
        <v>244</v>
      </c>
      <c r="GX87" t="s">
        <v>236</v>
      </c>
      <c r="GY87" t="s">
        <v>245</v>
      </c>
      <c r="HE87" t="s">
        <v>246</v>
      </c>
      <c r="HF87" t="s">
        <v>236</v>
      </c>
      <c r="HG87" t="s">
        <v>231</v>
      </c>
      <c r="HH87" t="s">
        <v>223</v>
      </c>
      <c r="HI87" t="s">
        <v>247</v>
      </c>
      <c r="HJ87" t="s">
        <v>223</v>
      </c>
      <c r="HK87" t="s">
        <v>248</v>
      </c>
      <c r="HO87" t="s">
        <v>231</v>
      </c>
      <c r="HP87" t="s">
        <v>223</v>
      </c>
      <c r="HQ87" t="s">
        <v>231</v>
      </c>
      <c r="HR87" t="s">
        <v>223</v>
      </c>
      <c r="HU87" t="s">
        <v>231</v>
      </c>
      <c r="HV87" t="s">
        <v>223</v>
      </c>
      <c r="HW87" t="s">
        <v>246</v>
      </c>
      <c r="HX87" t="s">
        <v>236</v>
      </c>
      <c r="IA87" t="s">
        <v>231</v>
      </c>
      <c r="IB87" t="s">
        <v>250</v>
      </c>
      <c r="IC87">
        <v>66.667000000000002</v>
      </c>
      <c r="ID87">
        <v>125</v>
      </c>
      <c r="IE87">
        <v>200</v>
      </c>
      <c r="IF87">
        <v>500</v>
      </c>
      <c r="IH87" t="s">
        <v>267</v>
      </c>
    </row>
    <row r="88" spans="1:242" x14ac:dyDescent="0.35">
      <c r="A88" s="310" t="s">
        <v>754</v>
      </c>
      <c r="B88" s="313" t="s">
        <v>755</v>
      </c>
      <c r="C88" s="310" t="s">
        <v>756</v>
      </c>
      <c r="D88" s="316"/>
      <c r="F88" t="s">
        <v>757</v>
      </c>
      <c r="I88" s="310" t="s">
        <v>758</v>
      </c>
      <c r="M88" s="313" t="s">
        <v>759</v>
      </c>
      <c r="O88" t="s">
        <v>221</v>
      </c>
      <c r="P88" s="381"/>
      <c r="Q88" t="s">
        <v>221</v>
      </c>
      <c r="T88" s="8"/>
      <c r="U88" t="s">
        <v>221</v>
      </c>
      <c r="V88" s="313"/>
      <c r="W88" t="s">
        <v>220</v>
      </c>
      <c r="X88" t="s">
        <v>220</v>
      </c>
      <c r="Z88" t="s">
        <v>220</v>
      </c>
      <c r="AB88" t="s">
        <v>220</v>
      </c>
      <c r="AD88" s="8" t="s">
        <v>222</v>
      </c>
      <c r="AF88" s="8" t="s">
        <v>222</v>
      </c>
      <c r="AG88"/>
      <c r="AH88"/>
      <c r="AI88"/>
      <c r="AJ88" t="s">
        <v>221</v>
      </c>
      <c r="AK88">
        <v>0</v>
      </c>
      <c r="AL88">
        <v>1</v>
      </c>
      <c r="AM88" t="s">
        <v>221</v>
      </c>
      <c r="AN88" t="s">
        <v>249</v>
      </c>
      <c r="AO88" t="s">
        <v>224</v>
      </c>
      <c r="AP88"/>
      <c r="AQ88" t="s">
        <v>221</v>
      </c>
      <c r="AR88" t="s">
        <v>225</v>
      </c>
      <c r="AS88" t="s">
        <v>221</v>
      </c>
      <c r="AT88"/>
      <c r="AU88" t="s">
        <v>220</v>
      </c>
      <c r="AV88"/>
      <c r="AW88" s="313" t="s">
        <v>220</v>
      </c>
      <c r="AX88" t="s">
        <v>226</v>
      </c>
      <c r="AY88" s="313" t="s">
        <v>220</v>
      </c>
      <c r="AZ88" s="313">
        <v>0.23200000000000001</v>
      </c>
      <c r="BB88" s="313" t="s">
        <v>220</v>
      </c>
      <c r="BC88">
        <v>0.152</v>
      </c>
      <c r="BD88" t="s">
        <v>220</v>
      </c>
      <c r="BE88">
        <v>0.20200000000000001</v>
      </c>
      <c r="BF88" s="2" t="s">
        <v>220</v>
      </c>
      <c r="BH88" s="2" t="s">
        <v>228</v>
      </c>
      <c r="BI88" s="2" t="s">
        <v>229</v>
      </c>
      <c r="BM88"/>
      <c r="BO88" t="s">
        <v>220</v>
      </c>
      <c r="BP88" s="8"/>
      <c r="BQ88" t="s">
        <v>230</v>
      </c>
      <c r="BR88" t="s">
        <v>222</v>
      </c>
      <c r="BS88" t="s">
        <v>255</v>
      </c>
      <c r="BU88" t="s">
        <v>293</v>
      </c>
      <c r="BV88" t="s">
        <v>236</v>
      </c>
      <c r="BW88" t="s">
        <v>232</v>
      </c>
      <c r="BX88" t="s">
        <v>256</v>
      </c>
      <c r="BY88" t="s">
        <v>220</v>
      </c>
      <c r="BZ88">
        <v>0.36499999999999999</v>
      </c>
      <c r="CA88" t="s">
        <v>234</v>
      </c>
      <c r="CC88" t="s">
        <v>220</v>
      </c>
      <c r="CD88" t="s">
        <v>220</v>
      </c>
      <c r="CF88" t="s">
        <v>220</v>
      </c>
      <c r="CG88">
        <v>0.50700000000000001</v>
      </c>
      <c r="CH88" t="s">
        <v>220</v>
      </c>
      <c r="CI88">
        <v>0.66700000000000004</v>
      </c>
      <c r="CK88"/>
      <c r="CL88"/>
      <c r="CM88"/>
      <c r="CS88" s="8"/>
      <c r="CW88" t="s">
        <v>227</v>
      </c>
      <c r="CX88" t="s">
        <v>220</v>
      </c>
      <c r="CY88" t="s">
        <v>231</v>
      </c>
      <c r="CZ88" t="s">
        <v>257</v>
      </c>
      <c r="DA88" t="s">
        <v>227</v>
      </c>
      <c r="DB88" t="s">
        <v>220</v>
      </c>
      <c r="DC88" t="s">
        <v>220</v>
      </c>
      <c r="DD88" t="s">
        <v>220</v>
      </c>
      <c r="DE88"/>
      <c r="DF88"/>
      <c r="DG88"/>
      <c r="DH88" s="323"/>
      <c r="DI88" s="323"/>
      <c r="DJ88" s="323"/>
      <c r="DL88" t="s">
        <v>220</v>
      </c>
      <c r="DM88" t="s">
        <v>220</v>
      </c>
      <c r="DN88" t="s">
        <v>227</v>
      </c>
      <c r="DO88" t="s">
        <v>220</v>
      </c>
      <c r="DP88" t="s">
        <v>257</v>
      </c>
      <c r="DS88" s="309">
        <v>58.557000000000002</v>
      </c>
      <c r="DU88" s="309">
        <v>310.34800000000001</v>
      </c>
      <c r="DW88"/>
      <c r="DX88" t="s">
        <v>235</v>
      </c>
      <c r="DY88"/>
      <c r="DZ88" t="s">
        <v>235</v>
      </c>
      <c r="EA88"/>
      <c r="EB88"/>
      <c r="ED88" s="410"/>
      <c r="EE88" s="1"/>
      <c r="EG88" s="410"/>
      <c r="EI88" s="410"/>
      <c r="EK88" s="1"/>
      <c r="EM88"/>
      <c r="EQ88" s="344"/>
      <c r="EU88" s="344"/>
      <c r="EW88" s="409"/>
      <c r="EY88" s="1"/>
      <c r="FA88">
        <v>62.82</v>
      </c>
      <c r="FB88" t="s">
        <v>225</v>
      </c>
      <c r="FC88" s="7">
        <v>110.02718452957355</v>
      </c>
      <c r="FD88" s="357" t="s">
        <v>236</v>
      </c>
      <c r="FE88" s="8">
        <v>51.097540905467589</v>
      </c>
      <c r="FF88" t="s">
        <v>237</v>
      </c>
      <c r="FH88" s="9">
        <v>87.861780519760202</v>
      </c>
      <c r="FI88" s="9" t="s">
        <v>225</v>
      </c>
      <c r="FK88" t="s">
        <v>235</v>
      </c>
      <c r="FL88">
        <v>95.5</v>
      </c>
      <c r="FM88">
        <v>101.25115825636549</v>
      </c>
      <c r="FN88" s="5" t="s">
        <v>237</v>
      </c>
      <c r="FP88" s="6">
        <v>5.0625579128182743</v>
      </c>
      <c r="FQ88" t="s">
        <v>277</v>
      </c>
      <c r="FS88" t="s">
        <v>240</v>
      </c>
      <c r="FU88" s="8">
        <v>2</v>
      </c>
      <c r="FV88" s="8">
        <v>10</v>
      </c>
      <c r="FW88" s="8">
        <v>10</v>
      </c>
      <c r="FX88" s="8">
        <v>10</v>
      </c>
      <c r="FY88" s="8">
        <v>3</v>
      </c>
      <c r="FZ88">
        <f t="shared" si="1"/>
        <v>6000</v>
      </c>
      <c r="GA88" s="7" t="s">
        <v>241</v>
      </c>
      <c r="GB88" s="7" t="s">
        <v>241</v>
      </c>
      <c r="GC88" s="6">
        <v>30</v>
      </c>
      <c r="GD88" s="348" t="s">
        <v>242</v>
      </c>
      <c r="GF88" s="6">
        <v>3.1833333333333338E-2</v>
      </c>
      <c r="GH88" s="7"/>
      <c r="GI88" s="441"/>
      <c r="GJ88" s="441"/>
      <c r="GK88" s="441"/>
      <c r="GL88" s="441"/>
      <c r="GM88" s="454"/>
      <c r="GN88" s="441"/>
      <c r="GO88" s="441"/>
      <c r="GP88" s="441"/>
      <c r="GQ88" s="441"/>
      <c r="GR88" s="441"/>
      <c r="GS88" s="441"/>
      <c r="GT88" s="441"/>
      <c r="GU88" s="441"/>
      <c r="GV88" s="441"/>
      <c r="GW88" s="441"/>
      <c r="GX88" s="441"/>
      <c r="GY88" s="441"/>
      <c r="GZ88" s="441"/>
      <c r="HA88" s="441"/>
      <c r="HB88" s="441"/>
      <c r="HC88" s="441"/>
      <c r="HD88" s="441"/>
      <c r="HE88" s="441"/>
      <c r="HF88" s="441"/>
      <c r="HG88" s="441"/>
      <c r="HH88" s="441"/>
      <c r="HI88" s="441"/>
      <c r="HJ88" s="441"/>
      <c r="HK88" s="441"/>
      <c r="HL88" s="441"/>
      <c r="HM88" s="441"/>
      <c r="HN88" s="441"/>
      <c r="HO88" s="441"/>
      <c r="HP88" s="441"/>
      <c r="HQ88" s="441"/>
      <c r="HR88" s="441"/>
      <c r="HS88" s="441"/>
      <c r="HT88" s="441"/>
      <c r="HU88" s="441"/>
      <c r="HV88" s="441"/>
      <c r="HW88" s="441"/>
      <c r="HX88" s="441"/>
      <c r="HY88" s="441"/>
      <c r="HZ88" s="441"/>
      <c r="IA88" s="441"/>
      <c r="IB88" s="441"/>
      <c r="IC88" s="441"/>
      <c r="ID88" s="441"/>
      <c r="IE88" s="441"/>
      <c r="IF88" s="441"/>
      <c r="IH88" t="s">
        <v>235</v>
      </c>
    </row>
    <row r="89" spans="1:242" ht="19" hidden="1" x14ac:dyDescent="0.35">
      <c r="A89" s="310" t="s">
        <v>760</v>
      </c>
      <c r="B89" s="313" t="s">
        <v>761</v>
      </c>
      <c r="C89" s="310" t="s">
        <v>762</v>
      </c>
      <c r="D89" s="316"/>
      <c r="F89" t="s">
        <v>763</v>
      </c>
      <c r="I89" s="310" t="s">
        <v>764</v>
      </c>
      <c r="M89" s="313" t="s">
        <v>220</v>
      </c>
      <c r="O89" t="s">
        <v>414</v>
      </c>
      <c r="P89" s="381"/>
      <c r="Q89" t="s">
        <v>414</v>
      </c>
      <c r="S89" t="s">
        <v>414</v>
      </c>
      <c r="T89" s="8"/>
      <c r="U89" t="s">
        <v>414</v>
      </c>
      <c r="V89" s="313"/>
      <c r="W89" t="s">
        <v>301</v>
      </c>
      <c r="X89" t="s">
        <v>257</v>
      </c>
      <c r="Z89" t="s">
        <v>257</v>
      </c>
      <c r="AB89"/>
      <c r="AD89" s="8" t="s">
        <v>230</v>
      </c>
      <c r="AF89" s="8" t="s">
        <v>765</v>
      </c>
      <c r="AG89"/>
      <c r="AH89" t="s">
        <v>766</v>
      </c>
      <c r="AI89"/>
      <c r="AJ89" t="s">
        <v>414</v>
      </c>
      <c r="AK89">
        <v>1</v>
      </c>
      <c r="AL89">
        <v>0</v>
      </c>
      <c r="AM89" t="s">
        <v>414</v>
      </c>
      <c r="AN89" t="s">
        <v>249</v>
      </c>
      <c r="AO89" t="s">
        <v>224</v>
      </c>
      <c r="AP89"/>
      <c r="AQ89" t="s">
        <v>414</v>
      </c>
      <c r="AR89"/>
      <c r="AS89" t="s">
        <v>414</v>
      </c>
      <c r="AT89"/>
      <c r="AU89" t="s">
        <v>257</v>
      </c>
      <c r="AV89"/>
      <c r="AW89" s="313" t="s">
        <v>767</v>
      </c>
      <c r="AX89" t="s">
        <v>768</v>
      </c>
      <c r="AY89" s="313" t="s">
        <v>257</v>
      </c>
      <c r="AZ89" s="313">
        <v>0.78400000000000003</v>
      </c>
      <c r="BB89" s="313" t="s">
        <v>257</v>
      </c>
      <c r="BC89">
        <v>0.85499999999999998</v>
      </c>
      <c r="BD89" t="s">
        <v>257</v>
      </c>
      <c r="BE89">
        <v>0.65700000000000003</v>
      </c>
      <c r="BF89" s="2" t="s">
        <v>257</v>
      </c>
      <c r="BH89" s="2" t="s">
        <v>228</v>
      </c>
      <c r="BI89" s="2" t="s">
        <v>292</v>
      </c>
      <c r="BM89"/>
      <c r="BO89" t="s">
        <v>220</v>
      </c>
      <c r="BP89" s="8" t="s">
        <v>344</v>
      </c>
      <c r="BQ89" t="s">
        <v>291</v>
      </c>
      <c r="BR89" t="s">
        <v>230</v>
      </c>
      <c r="BS89" t="s">
        <v>320</v>
      </c>
      <c r="BU89" t="s">
        <v>317</v>
      </c>
      <c r="BV89" t="s">
        <v>225</v>
      </c>
      <c r="BW89" t="s">
        <v>321</v>
      </c>
      <c r="BX89" t="s">
        <v>700</v>
      </c>
      <c r="BY89" t="s">
        <v>220</v>
      </c>
      <c r="BZ89">
        <v>0.22500000000000001</v>
      </c>
      <c r="CA89" t="s">
        <v>372</v>
      </c>
      <c r="CC89" t="s">
        <v>220</v>
      </c>
      <c r="CD89" t="s">
        <v>257</v>
      </c>
      <c r="CF89" t="s">
        <v>220</v>
      </c>
      <c r="CG89">
        <v>0.48099999999999998</v>
      </c>
      <c r="CH89" t="s">
        <v>257</v>
      </c>
      <c r="CI89">
        <v>0.753</v>
      </c>
      <c r="CK89"/>
      <c r="CL89"/>
      <c r="CM89"/>
      <c r="CS89" s="8"/>
      <c r="CW89" t="s">
        <v>227</v>
      </c>
      <c r="CX89" t="s">
        <v>257</v>
      </c>
      <c r="CY89" t="s">
        <v>231</v>
      </c>
      <c r="CZ89" t="s">
        <v>227</v>
      </c>
      <c r="DA89" t="s">
        <v>227</v>
      </c>
      <c r="DB89" t="s">
        <v>220</v>
      </c>
      <c r="DC89"/>
      <c r="DD89"/>
      <c r="DE89"/>
      <c r="DF89"/>
      <c r="DG89"/>
      <c r="DH89" s="323"/>
      <c r="DI89" s="323"/>
      <c r="DJ89" s="323"/>
      <c r="DL89" t="s">
        <v>257</v>
      </c>
      <c r="DM89" t="s">
        <v>220</v>
      </c>
      <c r="DN89" t="s">
        <v>227</v>
      </c>
      <c r="DO89" t="s">
        <v>227</v>
      </c>
      <c r="DP89" t="s">
        <v>227</v>
      </c>
      <c r="DQ89" s="328" t="s">
        <v>769</v>
      </c>
      <c r="DR89" s="328" t="s">
        <v>770</v>
      </c>
      <c r="DS89" s="309">
        <v>33.884</v>
      </c>
      <c r="DU89" s="309">
        <v>373.23500000000001</v>
      </c>
      <c r="DW89"/>
      <c r="DX89" t="s">
        <v>235</v>
      </c>
      <c r="DY89"/>
      <c r="DZ89" t="s">
        <v>235</v>
      </c>
      <c r="EA89"/>
      <c r="EB89"/>
      <c r="ED89" s="410"/>
      <c r="EE89" s="1">
        <v>15</v>
      </c>
      <c r="EF89" s="8" t="s">
        <v>259</v>
      </c>
      <c r="EG89" s="410"/>
      <c r="EI89" s="410"/>
      <c r="EK89" s="1"/>
      <c r="EM89"/>
      <c r="EQ89" s="344"/>
      <c r="EU89" s="344"/>
      <c r="EW89" s="409"/>
      <c r="EY89" s="1"/>
      <c r="FA89">
        <v>76.56</v>
      </c>
      <c r="FB89" t="s">
        <v>236</v>
      </c>
      <c r="FC89" s="7">
        <v>129.06247820605375</v>
      </c>
      <c r="FD89" s="357" t="s">
        <v>236</v>
      </c>
      <c r="FE89" s="8">
        <v>29.655141457826218</v>
      </c>
      <c r="FF89" t="s">
        <v>237</v>
      </c>
      <c r="FH89" s="9">
        <v>55.552038481374062</v>
      </c>
      <c r="FI89" s="9" t="s">
        <v>236</v>
      </c>
      <c r="FK89" t="s">
        <v>235</v>
      </c>
      <c r="FL89">
        <v>110</v>
      </c>
      <c r="FM89">
        <v>39.17418771077832</v>
      </c>
      <c r="FN89" s="419" t="s">
        <v>237</v>
      </c>
      <c r="FV89" s="8"/>
      <c r="FW89" s="8"/>
      <c r="FX89" s="8"/>
      <c r="GC89" s="7">
        <v>2.5000000000000001E-3</v>
      </c>
      <c r="GH89" s="7"/>
      <c r="GI89" s="441" t="s">
        <v>395</v>
      </c>
      <c r="GJ89" s="441" t="s">
        <v>395</v>
      </c>
      <c r="GK89" s="441" t="s">
        <v>395</v>
      </c>
      <c r="GL89" s="441" t="s">
        <v>395</v>
      </c>
      <c r="GM89" s="452" t="s">
        <v>230</v>
      </c>
      <c r="GN89" s="6" t="s">
        <v>395</v>
      </c>
      <c r="GO89" s="6" t="s">
        <v>395</v>
      </c>
      <c r="GP89" s="6" t="s">
        <v>395</v>
      </c>
      <c r="GQ89" s="6" t="s">
        <v>395</v>
      </c>
      <c r="GR89" s="6" t="s">
        <v>230</v>
      </c>
      <c r="GU89" t="s">
        <v>243</v>
      </c>
      <c r="GV89" t="s">
        <v>236</v>
      </c>
      <c r="GW89" t="s">
        <v>244</v>
      </c>
      <c r="GX89" t="s">
        <v>236</v>
      </c>
      <c r="GY89" t="s">
        <v>245</v>
      </c>
      <c r="HE89" t="s">
        <v>384</v>
      </c>
      <c r="HF89" t="s">
        <v>225</v>
      </c>
      <c r="HG89" t="s">
        <v>231</v>
      </c>
      <c r="HH89" t="s">
        <v>225</v>
      </c>
      <c r="HI89" t="s">
        <v>247</v>
      </c>
      <c r="HJ89" t="s">
        <v>223</v>
      </c>
      <c r="HK89" t="s">
        <v>266</v>
      </c>
      <c r="HL89" t="s">
        <v>231</v>
      </c>
      <c r="HM89" t="s">
        <v>231</v>
      </c>
      <c r="HO89" t="s">
        <v>231</v>
      </c>
      <c r="HP89" t="s">
        <v>249</v>
      </c>
      <c r="HQ89" t="s">
        <v>231</v>
      </c>
      <c r="HR89" t="s">
        <v>249</v>
      </c>
      <c r="HU89" t="s">
        <v>231</v>
      </c>
      <c r="HV89" t="s">
        <v>223</v>
      </c>
      <c r="HW89" t="s">
        <v>246</v>
      </c>
      <c r="HX89" t="s">
        <v>236</v>
      </c>
      <c r="IA89" t="s">
        <v>231</v>
      </c>
      <c r="IB89" t="s">
        <v>250</v>
      </c>
      <c r="IC89" t="s">
        <v>395</v>
      </c>
      <c r="ID89" t="s">
        <v>395</v>
      </c>
      <c r="IE89" t="s">
        <v>395</v>
      </c>
      <c r="IF89" t="s">
        <v>395</v>
      </c>
      <c r="IH89" t="s">
        <v>235</v>
      </c>
    </row>
    <row r="90" spans="1:242" x14ac:dyDescent="0.35">
      <c r="A90" s="310" t="s">
        <v>771</v>
      </c>
      <c r="B90" s="313" t="s">
        <v>772</v>
      </c>
      <c r="C90" s="310" t="s">
        <v>773</v>
      </c>
      <c r="D90" s="316"/>
      <c r="F90" t="s">
        <v>774</v>
      </c>
      <c r="I90" s="310" t="s">
        <v>775</v>
      </c>
      <c r="M90" s="313"/>
      <c r="O90"/>
      <c r="P90" s="381"/>
      <c r="Q90"/>
      <c r="T90" s="8"/>
      <c r="U90"/>
      <c r="V90" s="313"/>
      <c r="W90" t="s">
        <v>301</v>
      </c>
      <c r="X90"/>
      <c r="Z90"/>
      <c r="AB90"/>
      <c r="AD90" s="8" t="s">
        <v>222</v>
      </c>
      <c r="AF90" s="8" t="s">
        <v>230</v>
      </c>
      <c r="AG90"/>
      <c r="AH90"/>
      <c r="AI90"/>
      <c r="AJ90" t="s">
        <v>221</v>
      </c>
      <c r="AK90">
        <v>0.05</v>
      </c>
      <c r="AL90">
        <v>0.6</v>
      </c>
      <c r="AM90" t="s">
        <v>221</v>
      </c>
      <c r="AN90" t="s">
        <v>223</v>
      </c>
      <c r="AO90" t="s">
        <v>221</v>
      </c>
      <c r="AP90" t="s">
        <v>223</v>
      </c>
      <c r="AQ90" t="s">
        <v>414</v>
      </c>
      <c r="AR90" t="s">
        <v>236</v>
      </c>
      <c r="AS90" t="s">
        <v>221</v>
      </c>
      <c r="AT90" t="s">
        <v>225</v>
      </c>
      <c r="AU90" t="s">
        <v>220</v>
      </c>
      <c r="AV90"/>
      <c r="AW90" s="313" t="s">
        <v>220</v>
      </c>
      <c r="AX90" t="s">
        <v>226</v>
      </c>
      <c r="AY90" s="313" t="s">
        <v>220</v>
      </c>
      <c r="AZ90" s="313">
        <v>0.105</v>
      </c>
      <c r="BB90" s="313" t="s">
        <v>220</v>
      </c>
      <c r="BC90">
        <v>5.4600000000000003E-2</v>
      </c>
      <c r="BD90" t="s">
        <v>220</v>
      </c>
      <c r="BE90">
        <v>0.224</v>
      </c>
      <c r="BF90" s="2" t="s">
        <v>220</v>
      </c>
      <c r="BH90" s="2" t="s">
        <v>228</v>
      </c>
      <c r="BI90" s="2" t="s">
        <v>302</v>
      </c>
      <c r="BM90"/>
      <c r="BP90" s="8"/>
      <c r="BQ90" t="s">
        <v>230</v>
      </c>
      <c r="BR90" t="s">
        <v>230</v>
      </c>
      <c r="BU90" t="s">
        <v>231</v>
      </c>
      <c r="BV90" t="s">
        <v>223</v>
      </c>
      <c r="BW90" t="s">
        <v>232</v>
      </c>
      <c r="BX90" t="s">
        <v>284</v>
      </c>
      <c r="BY90" t="s">
        <v>220</v>
      </c>
      <c r="BZ90">
        <v>0.3</v>
      </c>
      <c r="CA90" t="s">
        <v>372</v>
      </c>
      <c r="CF90" t="s">
        <v>220</v>
      </c>
      <c r="CG90">
        <v>0.13600000000000001</v>
      </c>
      <c r="CH90" t="s">
        <v>257</v>
      </c>
      <c r="CI90">
        <v>0.79</v>
      </c>
      <c r="CK90"/>
      <c r="CL90"/>
      <c r="CM90"/>
      <c r="CS90" s="8"/>
      <c r="CW90" t="s">
        <v>220</v>
      </c>
      <c r="CX90" t="s">
        <v>220</v>
      </c>
      <c r="CY90" t="s">
        <v>231</v>
      </c>
      <c r="CZ90" t="s">
        <v>220</v>
      </c>
      <c r="DA90" t="s">
        <v>227</v>
      </c>
      <c r="DB90" t="s">
        <v>220</v>
      </c>
      <c r="DC90"/>
      <c r="DD90"/>
      <c r="DE90"/>
      <c r="DF90"/>
      <c r="DG90"/>
      <c r="DH90" s="323"/>
      <c r="DI90" s="323"/>
      <c r="DJ90" s="323"/>
      <c r="DL90" t="s">
        <v>257</v>
      </c>
      <c r="DM90" t="s">
        <v>220</v>
      </c>
      <c r="DN90" t="s">
        <v>257</v>
      </c>
      <c r="DO90" t="s">
        <v>220</v>
      </c>
      <c r="DP90" t="s">
        <v>220</v>
      </c>
      <c r="DS90" s="309">
        <v>52.51</v>
      </c>
      <c r="DU90" s="309">
        <v>318.16000000000003</v>
      </c>
      <c r="DW90">
        <v>5.67</v>
      </c>
      <c r="DX90" t="s">
        <v>238</v>
      </c>
      <c r="DY90">
        <v>460</v>
      </c>
      <c r="DZ90" t="s">
        <v>238</v>
      </c>
      <c r="EA90"/>
      <c r="EB90"/>
      <c r="ED90" s="410"/>
      <c r="EE90" s="1"/>
      <c r="EG90" s="410">
        <v>120</v>
      </c>
      <c r="EH90" s="8" t="s">
        <v>259</v>
      </c>
      <c r="EI90" s="410"/>
      <c r="EK90" s="1"/>
      <c r="EM90"/>
      <c r="EQ90" s="344"/>
      <c r="EU90" s="344"/>
      <c r="EW90" s="409"/>
      <c r="EY90" s="1"/>
      <c r="FA90">
        <v>84.93</v>
      </c>
      <c r="FB90" t="s">
        <v>236</v>
      </c>
      <c r="FC90" s="7">
        <v>137.91134690236009</v>
      </c>
      <c r="FD90" s="357" t="s">
        <v>236</v>
      </c>
      <c r="FE90" s="8">
        <v>55.705746694155508</v>
      </c>
      <c r="FF90" t="s">
        <v>237</v>
      </c>
      <c r="FH90" s="9">
        <v>72.9457510254569</v>
      </c>
      <c r="FI90" s="9" t="s">
        <v>236</v>
      </c>
      <c r="FJ90">
        <v>150</v>
      </c>
      <c r="FK90" t="s">
        <v>238</v>
      </c>
      <c r="FL90">
        <v>176</v>
      </c>
      <c r="FM90">
        <v>163.15485439152104</v>
      </c>
      <c r="FN90" s="5" t="s">
        <v>237</v>
      </c>
      <c r="FP90" s="6">
        <v>60</v>
      </c>
      <c r="FQ90" t="s">
        <v>615</v>
      </c>
      <c r="FS90" t="s">
        <v>261</v>
      </c>
      <c r="FU90" s="8">
        <v>2</v>
      </c>
      <c r="FV90" s="8">
        <v>10</v>
      </c>
      <c r="FW90" s="8">
        <v>10</v>
      </c>
      <c r="FX90" s="8">
        <v>1</v>
      </c>
      <c r="FY90" s="8">
        <v>3</v>
      </c>
      <c r="FZ90">
        <f t="shared" si="1"/>
        <v>600</v>
      </c>
      <c r="GA90" s="7" t="s">
        <v>241</v>
      </c>
      <c r="GB90" s="7" t="s">
        <v>241</v>
      </c>
      <c r="GC90" s="6">
        <v>30</v>
      </c>
      <c r="GD90" s="348" t="s">
        <v>242</v>
      </c>
      <c r="GF90" s="6">
        <v>0.05</v>
      </c>
      <c r="GH90" s="7"/>
      <c r="GI90" s="441">
        <v>1.333</v>
      </c>
      <c r="GJ90" s="441">
        <v>2.5</v>
      </c>
      <c r="GK90" s="441">
        <v>4</v>
      </c>
      <c r="GL90" s="441">
        <v>10</v>
      </c>
      <c r="GM90" s="452" t="s">
        <v>262</v>
      </c>
      <c r="GN90" s="6">
        <v>0.2</v>
      </c>
      <c r="GO90" s="6">
        <v>0.375</v>
      </c>
      <c r="GP90" s="6">
        <v>0.6</v>
      </c>
      <c r="GQ90" s="6">
        <v>1.5</v>
      </c>
      <c r="GR90" s="6" t="s">
        <v>230</v>
      </c>
      <c r="GU90" t="s">
        <v>243</v>
      </c>
      <c r="GV90" t="s">
        <v>236</v>
      </c>
      <c r="GW90" t="s">
        <v>244</v>
      </c>
      <c r="GX90" t="s">
        <v>225</v>
      </c>
      <c r="GY90" t="s">
        <v>245</v>
      </c>
      <c r="GZ90" t="s">
        <v>376</v>
      </c>
      <c r="HB90" t="s">
        <v>376</v>
      </c>
      <c r="HE90" t="s">
        <v>247</v>
      </c>
      <c r="HF90" t="s">
        <v>249</v>
      </c>
      <c r="HG90" t="s">
        <v>231</v>
      </c>
      <c r="HH90" t="s">
        <v>225</v>
      </c>
      <c r="HI90" t="s">
        <v>247</v>
      </c>
      <c r="HJ90" t="s">
        <v>249</v>
      </c>
      <c r="HK90" t="s">
        <v>266</v>
      </c>
      <c r="HL90" t="s">
        <v>231</v>
      </c>
      <c r="HM90" t="s">
        <v>231</v>
      </c>
      <c r="HO90" t="s">
        <v>231</v>
      </c>
      <c r="HP90" t="s">
        <v>249</v>
      </c>
      <c r="HQ90" t="s">
        <v>231</v>
      </c>
      <c r="HR90" t="s">
        <v>249</v>
      </c>
      <c r="HS90" t="s">
        <v>231</v>
      </c>
      <c r="HU90" t="s">
        <v>231</v>
      </c>
      <c r="HV90" t="s">
        <v>249</v>
      </c>
      <c r="HW90" t="s">
        <v>246</v>
      </c>
      <c r="HX90" t="s">
        <v>236</v>
      </c>
      <c r="IA90" t="s">
        <v>231</v>
      </c>
      <c r="IB90" t="s">
        <v>250</v>
      </c>
      <c r="IC90">
        <v>1.333</v>
      </c>
      <c r="ID90">
        <v>2.5</v>
      </c>
      <c r="IE90">
        <v>4</v>
      </c>
      <c r="IF90">
        <v>10</v>
      </c>
      <c r="IH90" t="s">
        <v>267</v>
      </c>
    </row>
    <row r="91" spans="1:242" x14ac:dyDescent="0.35">
      <c r="A91" s="310" t="s">
        <v>776</v>
      </c>
      <c r="B91" s="313" t="s">
        <v>777</v>
      </c>
      <c r="C91" s="310" t="s">
        <v>778</v>
      </c>
      <c r="D91" s="316"/>
      <c r="F91" t="s">
        <v>779</v>
      </c>
      <c r="I91" s="310" t="s">
        <v>780</v>
      </c>
      <c r="M91" s="313"/>
      <c r="O91"/>
      <c r="P91" s="381"/>
      <c r="Q91"/>
      <c r="T91" s="8"/>
      <c r="U91"/>
      <c r="V91" s="313"/>
      <c r="W91"/>
      <c r="X91"/>
      <c r="Z91"/>
      <c r="AB91"/>
      <c r="AD91" s="8" t="s">
        <v>230</v>
      </c>
      <c r="AF91" s="8" t="s">
        <v>230</v>
      </c>
      <c r="AG91"/>
      <c r="AH91"/>
      <c r="AI91"/>
      <c r="AJ91" t="s">
        <v>221</v>
      </c>
      <c r="AK91">
        <v>0</v>
      </c>
      <c r="AL91">
        <v>0.9</v>
      </c>
      <c r="AM91" t="s">
        <v>221</v>
      </c>
      <c r="AN91" t="s">
        <v>223</v>
      </c>
      <c r="AO91" t="s">
        <v>221</v>
      </c>
      <c r="AP91" t="s">
        <v>223</v>
      </c>
      <c r="AQ91" t="s">
        <v>221</v>
      </c>
      <c r="AR91" t="s">
        <v>223</v>
      </c>
      <c r="AS91" t="s">
        <v>221</v>
      </c>
      <c r="AT91" t="s">
        <v>223</v>
      </c>
      <c r="AU91" t="s">
        <v>272</v>
      </c>
      <c r="AV91"/>
      <c r="AW91" s="313" t="s">
        <v>227</v>
      </c>
      <c r="AX91" t="s">
        <v>226</v>
      </c>
      <c r="AY91" s="313" t="s">
        <v>227</v>
      </c>
      <c r="AZ91" s="313">
        <v>0.34</v>
      </c>
      <c r="BB91" s="313" t="s">
        <v>227</v>
      </c>
      <c r="BC91">
        <v>0.218</v>
      </c>
      <c r="BD91" t="s">
        <v>227</v>
      </c>
      <c r="BE91">
        <v>0.151</v>
      </c>
      <c r="BF91" s="2" t="s">
        <v>220</v>
      </c>
      <c r="BG91" s="2" t="s">
        <v>273</v>
      </c>
      <c r="BH91" s="2" t="s">
        <v>274</v>
      </c>
      <c r="BI91" s="2" t="s">
        <v>275</v>
      </c>
      <c r="BM91"/>
      <c r="BP91" s="8"/>
      <c r="BQ91" t="s">
        <v>230</v>
      </c>
      <c r="BR91" t="s">
        <v>230</v>
      </c>
      <c r="BU91" t="s">
        <v>231</v>
      </c>
      <c r="BV91" t="s">
        <v>223</v>
      </c>
      <c r="BW91" t="s">
        <v>232</v>
      </c>
      <c r="BX91" t="s">
        <v>276</v>
      </c>
      <c r="BY91" t="s">
        <v>227</v>
      </c>
      <c r="BZ91">
        <v>0.61099999999999999</v>
      </c>
      <c r="CA91" t="s">
        <v>234</v>
      </c>
      <c r="CF91" t="s">
        <v>227</v>
      </c>
      <c r="CG91">
        <v>0.379</v>
      </c>
      <c r="CH91" t="s">
        <v>227</v>
      </c>
      <c r="CI91">
        <v>0.46400000000000002</v>
      </c>
      <c r="CK91"/>
      <c r="CL91"/>
      <c r="CM91"/>
      <c r="CS91" s="8"/>
      <c r="CW91" t="s">
        <v>227</v>
      </c>
      <c r="CX91" t="s">
        <v>227</v>
      </c>
      <c r="CY91" t="s">
        <v>231</v>
      </c>
      <c r="CZ91" t="s">
        <v>227</v>
      </c>
      <c r="DA91" t="s">
        <v>227</v>
      </c>
      <c r="DB91" t="s">
        <v>227</v>
      </c>
      <c r="DC91"/>
      <c r="DD91"/>
      <c r="DE91"/>
      <c r="DF91"/>
      <c r="DG91"/>
      <c r="DH91" s="323"/>
      <c r="DI91" s="323"/>
      <c r="DJ91" s="323"/>
      <c r="DL91" t="s">
        <v>227</v>
      </c>
      <c r="DM91" t="s">
        <v>227</v>
      </c>
      <c r="DN91" t="s">
        <v>227</v>
      </c>
      <c r="DO91" t="s">
        <v>227</v>
      </c>
      <c r="DP91" t="s">
        <v>227</v>
      </c>
      <c r="DS91" s="309">
        <v>605.97400000000005</v>
      </c>
      <c r="DU91" s="309">
        <v>251.71</v>
      </c>
      <c r="DW91"/>
      <c r="DX91" t="s">
        <v>235</v>
      </c>
      <c r="DY91">
        <v>1190</v>
      </c>
      <c r="DZ91" t="s">
        <v>238</v>
      </c>
      <c r="EA91"/>
      <c r="EB91"/>
      <c r="ED91" s="410"/>
      <c r="EE91" s="1"/>
      <c r="EG91" s="410"/>
      <c r="EI91" s="410"/>
      <c r="EK91" s="1"/>
      <c r="EM91"/>
      <c r="EQ91" s="344"/>
      <c r="EU91" s="344"/>
      <c r="EW91" s="409"/>
      <c r="EY91" s="1"/>
      <c r="FA91">
        <v>32.49</v>
      </c>
      <c r="FB91" t="s">
        <v>225</v>
      </c>
      <c r="FC91" s="7">
        <v>112.56412505761108</v>
      </c>
      <c r="FD91" s="357" t="s">
        <v>225</v>
      </c>
      <c r="FE91" s="8">
        <v>29.888216469593768</v>
      </c>
      <c r="FF91" t="s">
        <v>237</v>
      </c>
      <c r="FH91" s="9">
        <v>125.19875206248821</v>
      </c>
      <c r="FI91" s="9" t="s">
        <v>225</v>
      </c>
      <c r="FK91" t="s">
        <v>235</v>
      </c>
      <c r="FL91">
        <v>29.2</v>
      </c>
      <c r="FM91">
        <v>116.49304569904538</v>
      </c>
      <c r="FN91" s="5" t="s">
        <v>237</v>
      </c>
      <c r="FP91" s="6">
        <v>2.92</v>
      </c>
      <c r="FQ91" t="s">
        <v>239</v>
      </c>
      <c r="FS91" t="s">
        <v>240</v>
      </c>
      <c r="FU91" s="8">
        <v>1</v>
      </c>
      <c r="FV91" s="8">
        <v>10</v>
      </c>
      <c r="FW91" s="8">
        <v>10</v>
      </c>
      <c r="FX91" s="8">
        <v>10</v>
      </c>
      <c r="FY91" s="8">
        <v>3</v>
      </c>
      <c r="FZ91">
        <f t="shared" si="1"/>
        <v>3000</v>
      </c>
      <c r="GA91" s="7" t="s">
        <v>241</v>
      </c>
      <c r="GB91" s="7" t="s">
        <v>241</v>
      </c>
      <c r="GC91" s="6">
        <v>30</v>
      </c>
      <c r="GD91" s="348" t="s">
        <v>242</v>
      </c>
      <c r="GF91" s="6">
        <v>9.7333333333333334E-3</v>
      </c>
      <c r="GH91" s="7"/>
      <c r="GI91" s="445"/>
      <c r="GJ91" s="445"/>
      <c r="GK91" s="445"/>
      <c r="GL91" s="445"/>
      <c r="GM91" s="453"/>
      <c r="GN91" s="6">
        <v>0.2</v>
      </c>
      <c r="GO91" s="6">
        <v>0.375</v>
      </c>
      <c r="GP91" s="6">
        <v>0.6</v>
      </c>
      <c r="GQ91" s="6">
        <v>1.5</v>
      </c>
      <c r="GR91" s="6" t="s">
        <v>230</v>
      </c>
      <c r="GU91" t="s">
        <v>243</v>
      </c>
      <c r="GV91" t="s">
        <v>236</v>
      </c>
      <c r="GW91" t="s">
        <v>244</v>
      </c>
      <c r="GX91" t="s">
        <v>236</v>
      </c>
      <c r="GY91" t="s">
        <v>245</v>
      </c>
      <c r="HE91" t="s">
        <v>246</v>
      </c>
      <c r="HF91" t="s">
        <v>236</v>
      </c>
      <c r="HG91" t="s">
        <v>231</v>
      </c>
      <c r="HH91" t="s">
        <v>223</v>
      </c>
      <c r="HI91" t="s">
        <v>247</v>
      </c>
      <c r="HJ91" t="s">
        <v>223</v>
      </c>
      <c r="HK91" t="s">
        <v>248</v>
      </c>
      <c r="HO91" t="s">
        <v>231</v>
      </c>
      <c r="HP91" t="s">
        <v>223</v>
      </c>
      <c r="HQ91" t="s">
        <v>231</v>
      </c>
      <c r="HR91" t="s">
        <v>223</v>
      </c>
      <c r="HU91" t="s">
        <v>231</v>
      </c>
      <c r="HV91" t="s">
        <v>223</v>
      </c>
      <c r="HW91" t="s">
        <v>246</v>
      </c>
      <c r="HX91" t="s">
        <v>236</v>
      </c>
      <c r="IA91" t="s">
        <v>231</v>
      </c>
      <c r="IB91" t="s">
        <v>250</v>
      </c>
      <c r="IC91" s="447"/>
      <c r="ID91" s="447"/>
      <c r="IE91" s="447"/>
      <c r="IF91" s="447"/>
      <c r="IH91" t="s">
        <v>235</v>
      </c>
    </row>
    <row r="92" spans="1:242" x14ac:dyDescent="0.35">
      <c r="A92" s="310" t="s">
        <v>781</v>
      </c>
      <c r="B92" s="313" t="s">
        <v>782</v>
      </c>
      <c r="C92" s="310" t="s">
        <v>783</v>
      </c>
      <c r="D92" s="316"/>
      <c r="F92" t="s">
        <v>783</v>
      </c>
      <c r="I92" s="310" t="s">
        <v>784</v>
      </c>
      <c r="M92" s="313"/>
      <c r="O92"/>
      <c r="P92" s="381"/>
      <c r="Q92"/>
      <c r="T92" s="8"/>
      <c r="U92"/>
      <c r="V92" s="313"/>
      <c r="W92" t="s">
        <v>301</v>
      </c>
      <c r="X92"/>
      <c r="Z92"/>
      <c r="AB92"/>
      <c r="AD92" s="8" t="s">
        <v>222</v>
      </c>
      <c r="AF92" s="8" t="s">
        <v>230</v>
      </c>
      <c r="AG92"/>
      <c r="AH92"/>
      <c r="AI92"/>
      <c r="AJ92" t="s">
        <v>221</v>
      </c>
      <c r="AK92">
        <v>0</v>
      </c>
      <c r="AL92">
        <v>0.82499999999999996</v>
      </c>
      <c r="AM92" t="s">
        <v>221</v>
      </c>
      <c r="AN92" t="s">
        <v>223</v>
      </c>
      <c r="AO92" t="s">
        <v>221</v>
      </c>
      <c r="AP92" t="s">
        <v>223</v>
      </c>
      <c r="AQ92" t="s">
        <v>221</v>
      </c>
      <c r="AR92" t="s">
        <v>225</v>
      </c>
      <c r="AS92" t="s">
        <v>221</v>
      </c>
      <c r="AT92" t="s">
        <v>223</v>
      </c>
      <c r="AU92" t="s">
        <v>272</v>
      </c>
      <c r="AV92"/>
      <c r="AW92" s="313" t="s">
        <v>227</v>
      </c>
      <c r="AX92" t="s">
        <v>226</v>
      </c>
      <c r="AY92" s="313" t="s">
        <v>227</v>
      </c>
      <c r="AZ92" s="313">
        <v>0.34100000000000003</v>
      </c>
      <c r="BB92" s="313" t="s">
        <v>227</v>
      </c>
      <c r="BC92">
        <v>0.219</v>
      </c>
      <c r="BD92" t="s">
        <v>227</v>
      </c>
      <c r="BE92">
        <v>0.154</v>
      </c>
      <c r="BF92" s="2" t="s">
        <v>220</v>
      </c>
      <c r="BH92" s="2" t="s">
        <v>228</v>
      </c>
      <c r="BI92" s="2" t="s">
        <v>302</v>
      </c>
      <c r="BM92"/>
      <c r="BP92" s="8"/>
      <c r="BQ92" t="s">
        <v>230</v>
      </c>
      <c r="BR92" t="s">
        <v>230</v>
      </c>
      <c r="BU92" t="s">
        <v>231</v>
      </c>
      <c r="BV92" t="s">
        <v>223</v>
      </c>
      <c r="BW92" t="s">
        <v>232</v>
      </c>
      <c r="BX92" t="s">
        <v>276</v>
      </c>
      <c r="BY92" t="s">
        <v>227</v>
      </c>
      <c r="BZ92">
        <v>0.61399999999999999</v>
      </c>
      <c r="CA92" t="s">
        <v>234</v>
      </c>
      <c r="CF92" t="s">
        <v>227</v>
      </c>
      <c r="CG92">
        <v>0.38800000000000001</v>
      </c>
      <c r="CH92" t="s">
        <v>227</v>
      </c>
      <c r="CI92">
        <v>0.47399999999999998</v>
      </c>
      <c r="CK92"/>
      <c r="CL92"/>
      <c r="CM92"/>
      <c r="CS92" s="8"/>
      <c r="CW92" t="s">
        <v>227</v>
      </c>
      <c r="CX92" t="s">
        <v>227</v>
      </c>
      <c r="CY92" t="s">
        <v>231</v>
      </c>
      <c r="CZ92" t="s">
        <v>227</v>
      </c>
      <c r="DA92" t="s">
        <v>227</v>
      </c>
      <c r="DB92" t="s">
        <v>227</v>
      </c>
      <c r="DC92"/>
      <c r="DD92"/>
      <c r="DE92"/>
      <c r="DF92"/>
      <c r="DG92"/>
      <c r="DH92" s="323"/>
      <c r="DI92" s="323"/>
      <c r="DJ92" s="323"/>
      <c r="DL92" t="s">
        <v>227</v>
      </c>
      <c r="DM92" t="s">
        <v>227</v>
      </c>
      <c r="DN92" t="s">
        <v>227</v>
      </c>
      <c r="DO92" t="s">
        <v>227</v>
      </c>
      <c r="DP92" t="s">
        <v>227</v>
      </c>
      <c r="DS92" s="309">
        <v>411.625</v>
      </c>
      <c r="DU92" s="309">
        <v>197.56299999999999</v>
      </c>
      <c r="DW92"/>
      <c r="DX92" t="s">
        <v>235</v>
      </c>
      <c r="DY92">
        <v>1040</v>
      </c>
      <c r="DZ92" t="s">
        <v>238</v>
      </c>
      <c r="EA92"/>
      <c r="EB92"/>
      <c r="ED92" s="410"/>
      <c r="EE92" s="1"/>
      <c r="EG92" s="410"/>
      <c r="EI92" s="410"/>
      <c r="EK92" s="1">
        <v>250</v>
      </c>
      <c r="EL92" s="8" t="s">
        <v>785</v>
      </c>
      <c r="EM92"/>
      <c r="EQ92" s="344"/>
      <c r="EU92" s="344"/>
      <c r="EW92" s="409"/>
      <c r="EY92" s="1"/>
      <c r="FA92">
        <v>33.880000000000003</v>
      </c>
      <c r="FB92" t="s">
        <v>225</v>
      </c>
      <c r="FC92" s="7">
        <v>85.17261866459188</v>
      </c>
      <c r="FD92" s="357" t="s">
        <v>236</v>
      </c>
      <c r="FE92" s="8">
        <v>44.330231575042724</v>
      </c>
      <c r="FF92" t="s">
        <v>237</v>
      </c>
      <c r="FH92" s="9">
        <v>51.999599653351616</v>
      </c>
      <c r="FI92" s="9" t="s">
        <v>236</v>
      </c>
      <c r="FJ92">
        <v>387</v>
      </c>
      <c r="FK92" t="s">
        <v>238</v>
      </c>
      <c r="FL92">
        <v>38.799999999999997</v>
      </c>
      <c r="FM92">
        <v>194.80495532907668</v>
      </c>
      <c r="FN92" s="5" t="s">
        <v>237</v>
      </c>
      <c r="FP92" s="6">
        <v>41.666666666666664</v>
      </c>
      <c r="FQ92" t="s">
        <v>260</v>
      </c>
      <c r="FS92" t="s">
        <v>261</v>
      </c>
      <c r="FU92" s="8">
        <v>6</v>
      </c>
      <c r="FV92" s="8">
        <v>10</v>
      </c>
      <c r="FW92" s="8">
        <v>10</v>
      </c>
      <c r="FX92" s="8">
        <v>1</v>
      </c>
      <c r="FY92" s="8">
        <v>3</v>
      </c>
      <c r="FZ92">
        <f t="shared" si="1"/>
        <v>1800</v>
      </c>
      <c r="GA92" s="7" t="s">
        <v>241</v>
      </c>
      <c r="GB92" s="7" t="s">
        <v>241</v>
      </c>
      <c r="GC92" s="6">
        <v>30</v>
      </c>
      <c r="GD92" s="348" t="s">
        <v>242</v>
      </c>
      <c r="GF92" s="6">
        <v>1.2933333333333331E-2</v>
      </c>
      <c r="GH92" s="7"/>
      <c r="GI92" s="441">
        <v>0.92600000000000005</v>
      </c>
      <c r="GJ92" s="441">
        <v>1.736</v>
      </c>
      <c r="GK92" s="441">
        <v>2.778</v>
      </c>
      <c r="GL92" s="441">
        <v>6.944</v>
      </c>
      <c r="GM92" s="452" t="s">
        <v>262</v>
      </c>
      <c r="GN92" s="6">
        <v>0.2</v>
      </c>
      <c r="GO92" s="6">
        <v>0.375</v>
      </c>
      <c r="GP92" s="6">
        <v>0.6</v>
      </c>
      <c r="GQ92" s="6">
        <v>1.5</v>
      </c>
      <c r="GR92" s="6" t="s">
        <v>230</v>
      </c>
      <c r="GU92" t="s">
        <v>243</v>
      </c>
      <c r="GV92" t="s">
        <v>236</v>
      </c>
      <c r="GW92" t="s">
        <v>244</v>
      </c>
      <c r="GX92" t="s">
        <v>236</v>
      </c>
      <c r="GY92" t="s">
        <v>245</v>
      </c>
      <c r="HE92" t="s">
        <v>246</v>
      </c>
      <c r="HF92" t="s">
        <v>236</v>
      </c>
      <c r="HG92" t="s">
        <v>231</v>
      </c>
      <c r="HH92" t="s">
        <v>223</v>
      </c>
      <c r="HI92" t="s">
        <v>247</v>
      </c>
      <c r="HJ92" t="s">
        <v>223</v>
      </c>
      <c r="HK92" t="s">
        <v>248</v>
      </c>
      <c r="HO92" t="s">
        <v>231</v>
      </c>
      <c r="HP92" t="s">
        <v>223</v>
      </c>
      <c r="HQ92" t="s">
        <v>231</v>
      </c>
      <c r="HR92" t="s">
        <v>223</v>
      </c>
      <c r="HU92" t="s">
        <v>231</v>
      </c>
      <c r="HV92" t="s">
        <v>223</v>
      </c>
      <c r="HW92" t="s">
        <v>246</v>
      </c>
      <c r="HX92" t="s">
        <v>236</v>
      </c>
      <c r="IA92" t="s">
        <v>231</v>
      </c>
      <c r="IB92" t="s">
        <v>250</v>
      </c>
      <c r="IC92">
        <v>0.92600000000000005</v>
      </c>
      <c r="ID92">
        <v>1.736</v>
      </c>
      <c r="IE92">
        <v>2.778</v>
      </c>
      <c r="IF92">
        <v>6.944</v>
      </c>
      <c r="IH92" t="s">
        <v>267</v>
      </c>
    </row>
    <row r="93" spans="1:242" ht="159.5" x14ac:dyDescent="0.35">
      <c r="A93" s="310" t="s">
        <v>537</v>
      </c>
      <c r="B93" t="s">
        <v>786</v>
      </c>
      <c r="C93" s="310" t="s">
        <v>787</v>
      </c>
      <c r="D93" s="316"/>
      <c r="F93" t="s">
        <v>788</v>
      </c>
      <c r="I93" s="310" t="s">
        <v>789</v>
      </c>
      <c r="M93" s="313"/>
      <c r="O93"/>
      <c r="P93" s="381"/>
      <c r="Q93"/>
      <c r="T93" s="8"/>
      <c r="U93"/>
      <c r="V93" s="313"/>
      <c r="W93"/>
      <c r="X93"/>
      <c r="Z93"/>
      <c r="AB93"/>
      <c r="AD93" s="8" t="s">
        <v>230</v>
      </c>
      <c r="AF93" s="8" t="s">
        <v>230</v>
      </c>
      <c r="AG93"/>
      <c r="AH93"/>
      <c r="AI93"/>
      <c r="AJ93" t="s">
        <v>221</v>
      </c>
      <c r="AK93">
        <v>0</v>
      </c>
      <c r="AL93">
        <v>0.5</v>
      </c>
      <c r="AM93" t="s">
        <v>221</v>
      </c>
      <c r="AN93" t="s">
        <v>225</v>
      </c>
      <c r="AO93" t="s">
        <v>221</v>
      </c>
      <c r="AP93" t="s">
        <v>225</v>
      </c>
      <c r="AQ93" t="s">
        <v>221</v>
      </c>
      <c r="AR93" t="s">
        <v>225</v>
      </c>
      <c r="AS93" t="s">
        <v>221</v>
      </c>
      <c r="AT93" t="s">
        <v>236</v>
      </c>
      <c r="AU93" t="s">
        <v>220</v>
      </c>
      <c r="AV93"/>
      <c r="AW93" s="313" t="s">
        <v>220</v>
      </c>
      <c r="AX93" t="s">
        <v>226</v>
      </c>
      <c r="AY93" s="313" t="s">
        <v>220</v>
      </c>
      <c r="AZ93" s="313">
        <v>0.28399999999999997</v>
      </c>
      <c r="BB93" s="313" t="s">
        <v>220</v>
      </c>
      <c r="BC93">
        <v>0.155</v>
      </c>
      <c r="BD93" t="s">
        <v>220</v>
      </c>
      <c r="BE93">
        <v>0.22600000000000001</v>
      </c>
      <c r="BF93" s="2" t="s">
        <v>220</v>
      </c>
      <c r="BG93" s="2" t="s">
        <v>273</v>
      </c>
      <c r="BH93" s="2" t="s">
        <v>274</v>
      </c>
      <c r="BI93" s="2" t="s">
        <v>275</v>
      </c>
      <c r="BM93"/>
      <c r="BP93" s="8"/>
      <c r="BQ93" t="s">
        <v>230</v>
      </c>
      <c r="BR93" t="s">
        <v>230</v>
      </c>
      <c r="BU93" t="s">
        <v>231</v>
      </c>
      <c r="BV93" t="s">
        <v>223</v>
      </c>
      <c r="BW93" t="s">
        <v>232</v>
      </c>
      <c r="BX93" t="s">
        <v>276</v>
      </c>
      <c r="BY93" t="s">
        <v>257</v>
      </c>
      <c r="BZ93">
        <v>0.6</v>
      </c>
      <c r="CA93" t="s">
        <v>372</v>
      </c>
      <c r="CF93" t="s">
        <v>220</v>
      </c>
      <c r="CG93">
        <v>0.41899999999999998</v>
      </c>
      <c r="CH93" t="s">
        <v>257</v>
      </c>
      <c r="CI93">
        <v>0.56399999999999995</v>
      </c>
      <c r="CK93"/>
      <c r="CL93"/>
      <c r="CM93"/>
      <c r="CS93" s="8"/>
      <c r="CW93" t="s">
        <v>227</v>
      </c>
      <c r="CX93" t="s">
        <v>257</v>
      </c>
      <c r="CY93" t="s">
        <v>231</v>
      </c>
      <c r="CZ93" t="s">
        <v>220</v>
      </c>
      <c r="DA93" t="s">
        <v>220</v>
      </c>
      <c r="DB93" t="s">
        <v>227</v>
      </c>
      <c r="DC93"/>
      <c r="DD93"/>
      <c r="DE93"/>
      <c r="DF93"/>
      <c r="DG93"/>
      <c r="DH93" s="323"/>
      <c r="DI93" s="323"/>
      <c r="DJ93" s="323"/>
      <c r="DL93" t="s">
        <v>257</v>
      </c>
      <c r="DM93" t="s">
        <v>257</v>
      </c>
      <c r="DN93" t="s">
        <v>227</v>
      </c>
      <c r="DO93" t="s">
        <v>220</v>
      </c>
      <c r="DP93" t="s">
        <v>220</v>
      </c>
      <c r="DS93" s="309">
        <v>48.612000000000002</v>
      </c>
      <c r="DU93" s="309">
        <v>914.23</v>
      </c>
      <c r="DW93">
        <v>111</v>
      </c>
      <c r="DX93" t="s">
        <v>238</v>
      </c>
      <c r="DY93">
        <v>61</v>
      </c>
      <c r="DZ93" t="s">
        <v>238</v>
      </c>
      <c r="EA93"/>
      <c r="EB93"/>
      <c r="ED93" s="410"/>
      <c r="EE93" s="1"/>
      <c r="EG93" s="410"/>
      <c r="EI93" s="410"/>
      <c r="EK93" s="1"/>
      <c r="EM93"/>
      <c r="EQ93" s="344"/>
      <c r="EU93" s="344"/>
      <c r="EW93" s="409"/>
      <c r="EY93" s="1"/>
      <c r="FA93">
        <v>488.62</v>
      </c>
      <c r="FB93" t="s">
        <v>225</v>
      </c>
      <c r="FC93" s="7">
        <v>317.02973669527262</v>
      </c>
      <c r="FD93" s="357" t="s">
        <v>225</v>
      </c>
      <c r="FE93" s="8">
        <v>3548.1338923357539</v>
      </c>
      <c r="FF93" t="s">
        <v>237</v>
      </c>
      <c r="FH93" s="9">
        <v>574.1164622073278</v>
      </c>
      <c r="FI93" s="9" t="s">
        <v>225</v>
      </c>
      <c r="FJ93">
        <v>170</v>
      </c>
      <c r="FK93" t="s">
        <v>238</v>
      </c>
      <c r="FL93">
        <v>195</v>
      </c>
      <c r="FM93">
        <v>8796.2993384423389</v>
      </c>
      <c r="FN93" s="5" t="s">
        <v>237</v>
      </c>
      <c r="FP93" s="6">
        <v>17</v>
      </c>
      <c r="FQ93" t="s">
        <v>450</v>
      </c>
      <c r="FS93" t="s">
        <v>240</v>
      </c>
      <c r="FU93" s="8">
        <v>1</v>
      </c>
      <c r="FV93" s="8">
        <v>10</v>
      </c>
      <c r="FW93" s="8">
        <v>10</v>
      </c>
      <c r="FX93" s="8">
        <v>10</v>
      </c>
      <c r="FY93" s="8">
        <v>3</v>
      </c>
      <c r="FZ93">
        <f t="shared" si="1"/>
        <v>3000</v>
      </c>
      <c r="GA93" s="7" t="s">
        <v>241</v>
      </c>
      <c r="GB93" s="7" t="s">
        <v>241</v>
      </c>
      <c r="GC93" s="6">
        <v>30</v>
      </c>
      <c r="GD93" s="348" t="s">
        <v>242</v>
      </c>
      <c r="GF93" s="6">
        <v>5.6666666666666671E-2</v>
      </c>
      <c r="GH93" s="7"/>
      <c r="GI93" s="441">
        <v>0.378</v>
      </c>
      <c r="GJ93" s="441">
        <v>0.70799999999999996</v>
      </c>
      <c r="GK93" s="441">
        <v>1.133</v>
      </c>
      <c r="GL93" s="441">
        <v>2.8330000000000002</v>
      </c>
      <c r="GM93" s="461" t="s">
        <v>790</v>
      </c>
      <c r="GN93" s="6">
        <v>0.2</v>
      </c>
      <c r="GO93" s="6">
        <v>0.375</v>
      </c>
      <c r="GP93" s="6">
        <v>0.6</v>
      </c>
      <c r="GQ93" s="6">
        <v>1.5</v>
      </c>
      <c r="GR93" s="461" t="s">
        <v>790</v>
      </c>
      <c r="GU93" t="s">
        <v>243</v>
      </c>
      <c r="GV93" t="s">
        <v>225</v>
      </c>
      <c r="GW93" t="s">
        <v>244</v>
      </c>
      <c r="GX93" t="s">
        <v>236</v>
      </c>
      <c r="GY93" t="s">
        <v>245</v>
      </c>
      <c r="HE93" t="s">
        <v>384</v>
      </c>
      <c r="HF93" t="s">
        <v>223</v>
      </c>
      <c r="HG93" t="s">
        <v>231</v>
      </c>
      <c r="HH93" t="s">
        <v>223</v>
      </c>
      <c r="HI93" t="s">
        <v>247</v>
      </c>
      <c r="HJ93" t="s">
        <v>223</v>
      </c>
      <c r="HK93" t="s">
        <v>248</v>
      </c>
      <c r="HO93" t="s">
        <v>231</v>
      </c>
      <c r="HP93" t="s">
        <v>223</v>
      </c>
      <c r="HQ93" t="s">
        <v>231</v>
      </c>
      <c r="HR93" t="s">
        <v>223</v>
      </c>
      <c r="HU93" t="s">
        <v>231</v>
      </c>
      <c r="HV93" t="s">
        <v>223</v>
      </c>
      <c r="HW93" t="s">
        <v>563</v>
      </c>
      <c r="HX93" t="s">
        <v>236</v>
      </c>
      <c r="IA93" t="s">
        <v>231</v>
      </c>
      <c r="IB93" t="s">
        <v>250</v>
      </c>
      <c r="IC93">
        <v>0.378</v>
      </c>
      <c r="ID93">
        <v>0.70799999999999996</v>
      </c>
      <c r="IE93">
        <v>1.133</v>
      </c>
      <c r="IF93">
        <v>2.8330000000000002</v>
      </c>
      <c r="IG93" s="459" t="s">
        <v>451</v>
      </c>
      <c r="IH93" t="s">
        <v>267</v>
      </c>
    </row>
    <row r="94" spans="1:242" ht="159.5" x14ac:dyDescent="0.35">
      <c r="A94" s="310" t="s">
        <v>537</v>
      </c>
      <c r="B94" t="s">
        <v>791</v>
      </c>
      <c r="C94" s="310" t="s">
        <v>792</v>
      </c>
      <c r="D94" s="316"/>
      <c r="F94" t="s">
        <v>793</v>
      </c>
      <c r="I94" s="310" t="s">
        <v>794</v>
      </c>
      <c r="M94" s="313"/>
      <c r="O94"/>
      <c r="P94" s="381"/>
      <c r="Q94"/>
      <c r="T94" s="8"/>
      <c r="U94"/>
      <c r="V94" s="313"/>
      <c r="W94"/>
      <c r="X94"/>
      <c r="Z94"/>
      <c r="AB94"/>
      <c r="AD94" s="8" t="s">
        <v>230</v>
      </c>
      <c r="AF94" s="8" t="s">
        <v>230</v>
      </c>
      <c r="AG94"/>
      <c r="AH94"/>
      <c r="AI94"/>
      <c r="AJ94" t="s">
        <v>221</v>
      </c>
      <c r="AK94">
        <v>0</v>
      </c>
      <c r="AL94">
        <v>0.6</v>
      </c>
      <c r="AM94" t="s">
        <v>221</v>
      </c>
      <c r="AN94" t="s">
        <v>225</v>
      </c>
      <c r="AO94" t="s">
        <v>221</v>
      </c>
      <c r="AP94" t="s">
        <v>225</v>
      </c>
      <c r="AQ94" t="s">
        <v>221</v>
      </c>
      <c r="AR94" t="s">
        <v>225</v>
      </c>
      <c r="AS94" t="s">
        <v>221</v>
      </c>
      <c r="AT94" t="s">
        <v>225</v>
      </c>
      <c r="AU94" t="s">
        <v>220</v>
      </c>
      <c r="AV94"/>
      <c r="AW94" s="313" t="s">
        <v>220</v>
      </c>
      <c r="AX94" t="s">
        <v>226</v>
      </c>
      <c r="AY94" s="313" t="s">
        <v>220</v>
      </c>
      <c r="AZ94" s="313">
        <v>0.28299999999999997</v>
      </c>
      <c r="BB94" s="313" t="s">
        <v>220</v>
      </c>
      <c r="BC94">
        <v>0.156</v>
      </c>
      <c r="BD94" t="s">
        <v>220</v>
      </c>
      <c r="BE94">
        <v>0.21299999999999999</v>
      </c>
      <c r="BF94" s="2" t="s">
        <v>220</v>
      </c>
      <c r="BG94" s="2" t="s">
        <v>273</v>
      </c>
      <c r="BH94" s="2" t="s">
        <v>274</v>
      </c>
      <c r="BI94" s="2" t="s">
        <v>275</v>
      </c>
      <c r="BM94"/>
      <c r="BP94" s="8"/>
      <c r="BQ94" t="s">
        <v>230</v>
      </c>
      <c r="BR94" t="s">
        <v>230</v>
      </c>
      <c r="BU94" t="s">
        <v>231</v>
      </c>
      <c r="BV94" t="s">
        <v>223</v>
      </c>
      <c r="BW94" t="s">
        <v>232</v>
      </c>
      <c r="BX94" t="s">
        <v>500</v>
      </c>
      <c r="BY94" t="s">
        <v>257</v>
      </c>
      <c r="BZ94">
        <v>0.6</v>
      </c>
      <c r="CA94" t="s">
        <v>372</v>
      </c>
      <c r="CF94" t="s">
        <v>220</v>
      </c>
      <c r="CG94">
        <v>0.33700000000000002</v>
      </c>
      <c r="CH94" t="s">
        <v>257</v>
      </c>
      <c r="CI94">
        <v>0.52400000000000002</v>
      </c>
      <c r="CK94"/>
      <c r="CL94"/>
      <c r="CM94"/>
      <c r="CS94" s="8"/>
      <c r="CW94" t="s">
        <v>227</v>
      </c>
      <c r="CX94" t="s">
        <v>257</v>
      </c>
      <c r="CY94" t="s">
        <v>231</v>
      </c>
      <c r="CZ94" t="s">
        <v>220</v>
      </c>
      <c r="DA94" t="s">
        <v>220</v>
      </c>
      <c r="DB94" t="s">
        <v>227</v>
      </c>
      <c r="DC94"/>
      <c r="DD94"/>
      <c r="DE94"/>
      <c r="DF94"/>
      <c r="DG94"/>
      <c r="DH94" s="323"/>
      <c r="DI94" s="323"/>
      <c r="DJ94" s="323"/>
      <c r="DL94" t="s">
        <v>257</v>
      </c>
      <c r="DM94" t="s">
        <v>220</v>
      </c>
      <c r="DN94" t="s">
        <v>227</v>
      </c>
      <c r="DO94" t="s">
        <v>220</v>
      </c>
      <c r="DP94" t="s">
        <v>220</v>
      </c>
      <c r="DS94" s="338">
        <v>34.908999999999999</v>
      </c>
      <c r="DT94" s="8" t="s">
        <v>394</v>
      </c>
      <c r="DU94" s="338">
        <v>1512.165</v>
      </c>
      <c r="DV94" s="8" t="s">
        <v>394</v>
      </c>
      <c r="DW94">
        <v>182</v>
      </c>
      <c r="DX94" t="s">
        <v>238</v>
      </c>
      <c r="DY94">
        <v>91.5</v>
      </c>
      <c r="DZ94" t="s">
        <v>238</v>
      </c>
      <c r="EA94"/>
      <c r="EB94"/>
      <c r="ED94" s="410"/>
      <c r="EE94" s="1"/>
      <c r="EG94" s="410"/>
      <c r="EI94" s="410"/>
      <c r="EK94" s="1"/>
      <c r="EM94"/>
      <c r="EQ94" s="344"/>
      <c r="EU94" s="344"/>
      <c r="EW94" s="409"/>
      <c r="EY94" s="1"/>
      <c r="FA94">
        <v>1841.57</v>
      </c>
      <c r="FB94" t="s">
        <v>225</v>
      </c>
      <c r="FC94" s="7">
        <v>754.5708085457743</v>
      </c>
      <c r="FD94" s="357" t="s">
        <v>225</v>
      </c>
      <c r="FE94" s="8">
        <v>28940.098170650432</v>
      </c>
      <c r="FF94" t="s">
        <v>237</v>
      </c>
      <c r="FH94" s="9">
        <v>2436.6884234595864</v>
      </c>
      <c r="FI94" s="9" t="s">
        <v>225</v>
      </c>
      <c r="FJ94">
        <v>255</v>
      </c>
      <c r="FK94" t="s">
        <v>238</v>
      </c>
      <c r="FL94">
        <v>353</v>
      </c>
      <c r="FM94">
        <v>95697.369458765854</v>
      </c>
      <c r="FN94" s="5" t="s">
        <v>237</v>
      </c>
      <c r="FP94" s="6">
        <v>25.5</v>
      </c>
      <c r="FQ94" t="s">
        <v>450</v>
      </c>
      <c r="FS94" t="s">
        <v>240</v>
      </c>
      <c r="FU94" s="8">
        <v>1</v>
      </c>
      <c r="FV94" s="8">
        <v>10</v>
      </c>
      <c r="FW94" s="8">
        <v>10</v>
      </c>
      <c r="FX94" s="8">
        <v>10</v>
      </c>
      <c r="FY94" s="8">
        <v>3</v>
      </c>
      <c r="FZ94">
        <f t="shared" si="1"/>
        <v>3000</v>
      </c>
      <c r="GA94" s="7" t="s">
        <v>241</v>
      </c>
      <c r="GB94" s="7" t="s">
        <v>241</v>
      </c>
      <c r="GC94" s="6">
        <v>30</v>
      </c>
      <c r="GD94" s="348" t="s">
        <v>242</v>
      </c>
      <c r="GF94" s="6">
        <v>8.5000000000000006E-2</v>
      </c>
      <c r="GH94" s="7"/>
      <c r="GI94" s="441">
        <v>0.56699999999999995</v>
      </c>
      <c r="GJ94" s="441">
        <v>1.0629999999999999</v>
      </c>
      <c r="GK94" s="441">
        <v>1.7</v>
      </c>
      <c r="GL94" s="441">
        <v>4.25</v>
      </c>
      <c r="GM94" s="461" t="s">
        <v>790</v>
      </c>
      <c r="GN94" s="6">
        <v>0.2</v>
      </c>
      <c r="GO94" s="6">
        <v>0.375</v>
      </c>
      <c r="GP94" s="6">
        <v>0.6</v>
      </c>
      <c r="GQ94" s="6">
        <v>1.5</v>
      </c>
      <c r="GR94" s="461" t="s">
        <v>790</v>
      </c>
      <c r="GU94" t="s">
        <v>243</v>
      </c>
      <c r="GV94" t="s">
        <v>225</v>
      </c>
      <c r="GW94" t="s">
        <v>244</v>
      </c>
      <c r="GX94" t="s">
        <v>236</v>
      </c>
      <c r="GY94" t="s">
        <v>245</v>
      </c>
      <c r="HE94" t="s">
        <v>384</v>
      </c>
      <c r="HF94" t="s">
        <v>223</v>
      </c>
      <c r="HG94" t="s">
        <v>231</v>
      </c>
      <c r="HH94" t="s">
        <v>223</v>
      </c>
      <c r="HI94" t="s">
        <v>247</v>
      </c>
      <c r="HJ94" t="s">
        <v>225</v>
      </c>
      <c r="HK94" t="s">
        <v>568</v>
      </c>
      <c r="HO94" t="s">
        <v>231</v>
      </c>
      <c r="HP94" t="s">
        <v>223</v>
      </c>
      <c r="HQ94" t="s">
        <v>231</v>
      </c>
      <c r="HR94" t="s">
        <v>223</v>
      </c>
      <c r="HU94" t="s">
        <v>231</v>
      </c>
      <c r="HV94" t="s">
        <v>223</v>
      </c>
      <c r="HW94" t="s">
        <v>563</v>
      </c>
      <c r="HX94" t="s">
        <v>236</v>
      </c>
      <c r="IA94" t="s">
        <v>231</v>
      </c>
      <c r="IB94" t="s">
        <v>250</v>
      </c>
      <c r="IC94">
        <v>0.56699999999999995</v>
      </c>
      <c r="ID94">
        <v>1.0629999999999999</v>
      </c>
      <c r="IE94">
        <v>1.7</v>
      </c>
      <c r="IF94">
        <v>4.25</v>
      </c>
      <c r="IG94" s="459" t="s">
        <v>451</v>
      </c>
      <c r="IH94" t="s">
        <v>267</v>
      </c>
    </row>
    <row r="95" spans="1:242" ht="159.5" x14ac:dyDescent="0.35">
      <c r="A95" s="310" t="s">
        <v>795</v>
      </c>
      <c r="B95" t="s">
        <v>796</v>
      </c>
      <c r="C95" s="310" t="s">
        <v>797</v>
      </c>
      <c r="D95" s="316"/>
      <c r="F95" t="s">
        <v>798</v>
      </c>
      <c r="I95" s="310" t="s">
        <v>799</v>
      </c>
      <c r="M95" s="313"/>
      <c r="O95"/>
      <c r="P95" s="381"/>
      <c r="Q95"/>
      <c r="T95" s="8"/>
      <c r="U95"/>
      <c r="V95" s="313"/>
      <c r="W95" t="s">
        <v>220</v>
      </c>
      <c r="X95" t="s">
        <v>220</v>
      </c>
      <c r="Z95" t="s">
        <v>220</v>
      </c>
      <c r="AB95" t="s">
        <v>220</v>
      </c>
      <c r="AD95" s="8" t="s">
        <v>230</v>
      </c>
      <c r="AF95" s="8" t="s">
        <v>230</v>
      </c>
      <c r="AG95"/>
      <c r="AH95"/>
      <c r="AI95"/>
      <c r="AJ95" t="s">
        <v>221</v>
      </c>
      <c r="AK95">
        <v>0.05</v>
      </c>
      <c r="AL95">
        <v>0.52500000000000002</v>
      </c>
      <c r="AM95" t="s">
        <v>414</v>
      </c>
      <c r="AN95" t="s">
        <v>236</v>
      </c>
      <c r="AO95" t="s">
        <v>221</v>
      </c>
      <c r="AP95" t="s">
        <v>223</v>
      </c>
      <c r="AQ95" t="s">
        <v>221</v>
      </c>
      <c r="AR95" t="s">
        <v>225</v>
      </c>
      <c r="AS95" t="s">
        <v>221</v>
      </c>
      <c r="AT95" t="s">
        <v>225</v>
      </c>
      <c r="AU95" t="s">
        <v>220</v>
      </c>
      <c r="AV95"/>
      <c r="AW95" s="313" t="s">
        <v>220</v>
      </c>
      <c r="AX95" t="s">
        <v>226</v>
      </c>
      <c r="AY95" s="313" t="s">
        <v>220</v>
      </c>
      <c r="AZ95" s="313">
        <v>0.28299999999999997</v>
      </c>
      <c r="BB95" s="313" t="s">
        <v>220</v>
      </c>
      <c r="BC95">
        <v>0.152</v>
      </c>
      <c r="BD95" t="s">
        <v>220</v>
      </c>
      <c r="BE95">
        <v>0.22800000000000001</v>
      </c>
      <c r="BF95" s="2" t="s">
        <v>220</v>
      </c>
      <c r="BH95" s="2" t="s">
        <v>228</v>
      </c>
      <c r="BI95" s="2" t="s">
        <v>800</v>
      </c>
      <c r="BM95"/>
      <c r="BP95" s="8"/>
      <c r="BQ95" t="s">
        <v>230</v>
      </c>
      <c r="BR95" t="s">
        <v>230</v>
      </c>
      <c r="BU95" t="s">
        <v>231</v>
      </c>
      <c r="BV95" t="s">
        <v>223</v>
      </c>
      <c r="BW95" t="s">
        <v>232</v>
      </c>
      <c r="BX95" t="s">
        <v>276</v>
      </c>
      <c r="BY95" t="s">
        <v>257</v>
      </c>
      <c r="BZ95">
        <v>0.60099999999999998</v>
      </c>
      <c r="CA95" t="s">
        <v>234</v>
      </c>
      <c r="CF95" t="s">
        <v>220</v>
      </c>
      <c r="CG95">
        <v>0.47899999999999998</v>
      </c>
      <c r="CH95" t="s">
        <v>257</v>
      </c>
      <c r="CI95">
        <v>0.57499999999999996</v>
      </c>
      <c r="CK95"/>
      <c r="CL95"/>
      <c r="CM95"/>
      <c r="CS95" s="8"/>
      <c r="CW95" t="s">
        <v>227</v>
      </c>
      <c r="CX95" t="s">
        <v>257</v>
      </c>
      <c r="CY95" t="s">
        <v>231</v>
      </c>
      <c r="CZ95" t="s">
        <v>220</v>
      </c>
      <c r="DA95" t="s">
        <v>220</v>
      </c>
      <c r="DB95" t="s">
        <v>227</v>
      </c>
      <c r="DC95"/>
      <c r="DD95"/>
      <c r="DE95"/>
      <c r="DF95"/>
      <c r="DG95"/>
      <c r="DH95" s="323"/>
      <c r="DI95" s="323"/>
      <c r="DJ95" s="323"/>
      <c r="DL95" t="s">
        <v>257</v>
      </c>
      <c r="DM95" t="s">
        <v>220</v>
      </c>
      <c r="DN95" t="s">
        <v>227</v>
      </c>
      <c r="DO95" t="s">
        <v>220</v>
      </c>
      <c r="DP95" t="s">
        <v>220</v>
      </c>
      <c r="DS95" s="309">
        <v>123.797</v>
      </c>
      <c r="DU95" s="309">
        <v>400.15</v>
      </c>
      <c r="DW95">
        <v>122</v>
      </c>
      <c r="DX95" t="s">
        <v>238</v>
      </c>
      <c r="DY95">
        <v>107</v>
      </c>
      <c r="DZ95" t="s">
        <v>238</v>
      </c>
      <c r="EA95"/>
      <c r="EB95"/>
      <c r="ED95" s="410"/>
      <c r="EE95" s="1"/>
      <c r="EG95" s="410"/>
      <c r="EI95" s="410"/>
      <c r="EK95" s="1"/>
      <c r="EM95"/>
      <c r="EQ95" s="344"/>
      <c r="EU95" s="344"/>
      <c r="EW95" s="409"/>
      <c r="EY95" s="1"/>
      <c r="FA95">
        <v>143.83000000000001</v>
      </c>
      <c r="FB95" t="s">
        <v>225</v>
      </c>
      <c r="FC95" s="7">
        <v>114.34047709202257</v>
      </c>
      <c r="FD95" s="357" t="s">
        <v>225</v>
      </c>
      <c r="FE95" s="8">
        <v>384.59178204535363</v>
      </c>
      <c r="FF95" t="s">
        <v>237</v>
      </c>
      <c r="FH95" s="9">
        <v>75.613614707772967</v>
      </c>
      <c r="FI95" s="9" t="s">
        <v>225</v>
      </c>
      <c r="FJ95">
        <v>531</v>
      </c>
      <c r="FK95" t="s">
        <v>238</v>
      </c>
      <c r="FL95">
        <v>107</v>
      </c>
      <c r="FM95">
        <v>796.89297807424668</v>
      </c>
      <c r="FN95" s="5" t="s">
        <v>237</v>
      </c>
      <c r="FP95" s="6">
        <v>10.7</v>
      </c>
      <c r="FQ95" t="s">
        <v>239</v>
      </c>
      <c r="FS95" t="s">
        <v>240</v>
      </c>
      <c r="FU95" s="8">
        <v>1</v>
      </c>
      <c r="FV95" s="8">
        <v>10</v>
      </c>
      <c r="FW95" s="8">
        <v>10</v>
      </c>
      <c r="FX95" s="8">
        <v>10</v>
      </c>
      <c r="FY95" s="8">
        <v>3</v>
      </c>
      <c r="FZ95">
        <f t="shared" si="1"/>
        <v>3000</v>
      </c>
      <c r="GA95" s="7" t="s">
        <v>241</v>
      </c>
      <c r="GB95" s="7" t="s">
        <v>241</v>
      </c>
      <c r="GC95" s="6">
        <v>30</v>
      </c>
      <c r="GD95" s="348" t="s">
        <v>242</v>
      </c>
      <c r="GF95" s="6">
        <v>3.5666666666666666E-2</v>
      </c>
      <c r="GH95" s="7"/>
      <c r="GI95" s="441">
        <v>0.23799999999999999</v>
      </c>
      <c r="GJ95" s="441">
        <v>0.44600000000000001</v>
      </c>
      <c r="GK95" s="441">
        <v>0.71299999999999997</v>
      </c>
      <c r="GL95" s="441">
        <v>1.7829999999999999</v>
      </c>
      <c r="GM95" s="461" t="s">
        <v>790</v>
      </c>
      <c r="GN95" s="6">
        <v>0.2</v>
      </c>
      <c r="GO95" s="6">
        <v>0.375</v>
      </c>
      <c r="GP95" s="6">
        <v>0.6</v>
      </c>
      <c r="GQ95" s="6">
        <v>1.5</v>
      </c>
      <c r="GR95" s="461" t="s">
        <v>790</v>
      </c>
      <c r="GU95" t="s">
        <v>243</v>
      </c>
      <c r="GV95" t="s">
        <v>236</v>
      </c>
      <c r="GW95" t="s">
        <v>359</v>
      </c>
      <c r="GX95" t="s">
        <v>223</v>
      </c>
      <c r="GY95" t="s">
        <v>245</v>
      </c>
      <c r="HE95" t="s">
        <v>247</v>
      </c>
      <c r="HF95" t="s">
        <v>223</v>
      </c>
      <c r="HG95" t="s">
        <v>231</v>
      </c>
      <c r="HH95" t="s">
        <v>223</v>
      </c>
      <c r="HI95" t="s">
        <v>247</v>
      </c>
      <c r="HJ95" t="s">
        <v>223</v>
      </c>
      <c r="HK95" t="s">
        <v>248</v>
      </c>
      <c r="HO95" t="s">
        <v>231</v>
      </c>
      <c r="HP95" t="s">
        <v>223</v>
      </c>
      <c r="HQ95" t="s">
        <v>231</v>
      </c>
      <c r="HR95" t="s">
        <v>223</v>
      </c>
      <c r="HU95" t="s">
        <v>231</v>
      </c>
      <c r="HV95" t="s">
        <v>223</v>
      </c>
      <c r="HW95" t="s">
        <v>563</v>
      </c>
      <c r="HX95" t="s">
        <v>236</v>
      </c>
      <c r="IA95" t="s">
        <v>231</v>
      </c>
      <c r="IB95" t="s">
        <v>250</v>
      </c>
      <c r="IC95">
        <v>0.23799999999999999</v>
      </c>
      <c r="ID95">
        <v>0.44600000000000001</v>
      </c>
      <c r="IE95">
        <v>0.71299999999999997</v>
      </c>
      <c r="IF95">
        <v>1.7829999999999999</v>
      </c>
      <c r="IG95" s="459" t="s">
        <v>451</v>
      </c>
      <c r="IH95" t="s">
        <v>267</v>
      </c>
    </row>
    <row r="96" spans="1:242" hidden="1" x14ac:dyDescent="0.35">
      <c r="A96" s="310" t="s">
        <v>801</v>
      </c>
      <c r="B96" s="313" t="s">
        <v>802</v>
      </c>
      <c r="C96" s="310" t="s">
        <v>803</v>
      </c>
      <c r="D96" s="316"/>
      <c r="F96" t="s">
        <v>804</v>
      </c>
      <c r="I96" s="310" t="s">
        <v>805</v>
      </c>
      <c r="M96" s="313"/>
      <c r="O96"/>
      <c r="P96" s="381"/>
      <c r="Q96"/>
      <c r="T96" s="8"/>
      <c r="U96"/>
      <c r="V96" s="313"/>
      <c r="W96"/>
      <c r="X96"/>
      <c r="Z96"/>
      <c r="AB96"/>
      <c r="AD96" s="8" t="s">
        <v>230</v>
      </c>
      <c r="AF96" s="8" t="s">
        <v>230</v>
      </c>
      <c r="AG96"/>
      <c r="AH96"/>
      <c r="AI96"/>
      <c r="AJ96" t="s">
        <v>414</v>
      </c>
      <c r="AK96">
        <v>0.57499999999999996</v>
      </c>
      <c r="AL96">
        <v>0</v>
      </c>
      <c r="AM96" t="s">
        <v>414</v>
      </c>
      <c r="AN96" t="s">
        <v>225</v>
      </c>
      <c r="AO96" t="s">
        <v>414</v>
      </c>
      <c r="AP96" t="s">
        <v>225</v>
      </c>
      <c r="AQ96" t="s">
        <v>414</v>
      </c>
      <c r="AR96" t="s">
        <v>236</v>
      </c>
      <c r="AS96" t="s">
        <v>414</v>
      </c>
      <c r="AT96" t="s">
        <v>223</v>
      </c>
      <c r="AU96" t="s">
        <v>220</v>
      </c>
      <c r="AV96"/>
      <c r="AW96" s="313" t="s">
        <v>220</v>
      </c>
      <c r="AX96" t="s">
        <v>226</v>
      </c>
      <c r="AY96" s="313" t="s">
        <v>220</v>
      </c>
      <c r="AZ96" s="313">
        <v>0.23200000000000001</v>
      </c>
      <c r="BB96" s="313" t="s">
        <v>220</v>
      </c>
      <c r="BC96">
        <v>0.13800000000000001</v>
      </c>
      <c r="BD96" t="s">
        <v>220</v>
      </c>
      <c r="BE96">
        <v>0.107</v>
      </c>
      <c r="BF96" s="2" t="s">
        <v>257</v>
      </c>
      <c r="BG96" s="2" t="s">
        <v>273</v>
      </c>
      <c r="BH96" s="2" t="s">
        <v>274</v>
      </c>
      <c r="BI96" s="2" t="s">
        <v>275</v>
      </c>
      <c r="BM96"/>
      <c r="BP96" s="8"/>
      <c r="BQ96" t="s">
        <v>230</v>
      </c>
      <c r="BR96" t="s">
        <v>230</v>
      </c>
      <c r="BU96" t="s">
        <v>317</v>
      </c>
      <c r="BV96" t="s">
        <v>225</v>
      </c>
      <c r="BW96" t="s">
        <v>293</v>
      </c>
      <c r="BX96" t="s">
        <v>458</v>
      </c>
      <c r="BY96" t="s">
        <v>220</v>
      </c>
      <c r="BZ96">
        <v>0.442</v>
      </c>
      <c r="CA96" t="s">
        <v>372</v>
      </c>
      <c r="CF96" t="s">
        <v>257</v>
      </c>
      <c r="CG96">
        <v>0.55000000000000004</v>
      </c>
      <c r="CH96" t="s">
        <v>257</v>
      </c>
      <c r="CI96">
        <v>0.63300000000000001</v>
      </c>
      <c r="CK96"/>
      <c r="CL96"/>
      <c r="CM96"/>
      <c r="CS96" s="8"/>
      <c r="CW96" t="s">
        <v>220</v>
      </c>
      <c r="CX96" t="s">
        <v>227</v>
      </c>
      <c r="CY96" t="s">
        <v>231</v>
      </c>
      <c r="CZ96" t="s">
        <v>227</v>
      </c>
      <c r="DA96" t="s">
        <v>227</v>
      </c>
      <c r="DB96" t="s">
        <v>227</v>
      </c>
      <c r="DC96"/>
      <c r="DD96"/>
      <c r="DE96"/>
      <c r="DF96"/>
      <c r="DG96"/>
      <c r="DH96" s="323"/>
      <c r="DI96" s="323"/>
      <c r="DJ96" s="323"/>
      <c r="DL96" t="s">
        <v>257</v>
      </c>
      <c r="DM96" t="s">
        <v>257</v>
      </c>
      <c r="DN96" t="s">
        <v>227</v>
      </c>
      <c r="DO96" t="s">
        <v>227</v>
      </c>
      <c r="DP96" t="s">
        <v>227</v>
      </c>
      <c r="DS96" s="309">
        <v>77.998000000000005</v>
      </c>
      <c r="DU96" s="309">
        <v>268.62</v>
      </c>
      <c r="DW96"/>
      <c r="DX96" t="s">
        <v>235</v>
      </c>
      <c r="DY96"/>
      <c r="DZ96" t="s">
        <v>235</v>
      </c>
      <c r="EA96"/>
      <c r="EB96"/>
      <c r="ED96" s="410"/>
      <c r="EE96" s="1"/>
      <c r="EG96" s="410"/>
      <c r="EI96" s="410"/>
      <c r="EK96" s="1"/>
      <c r="EM96"/>
      <c r="EQ96" s="344"/>
      <c r="EU96" s="344"/>
      <c r="EW96" s="409"/>
      <c r="EY96" s="1"/>
      <c r="FA96">
        <v>11.01</v>
      </c>
      <c r="FB96" t="s">
        <v>236</v>
      </c>
      <c r="FC96" s="7">
        <v>134.89628825916537</v>
      </c>
      <c r="FD96" s="357" t="s">
        <v>236</v>
      </c>
      <c r="FE96" s="8">
        <v>116.1983603869796</v>
      </c>
      <c r="FF96" t="s">
        <v>237</v>
      </c>
      <c r="FH96" s="9">
        <v>97.050996724549066</v>
      </c>
      <c r="FI96" s="9" t="s">
        <v>225</v>
      </c>
      <c r="FK96" t="s">
        <v>235</v>
      </c>
      <c r="FL96">
        <v>57.2</v>
      </c>
      <c r="FM96">
        <v>258.70212734646054</v>
      </c>
      <c r="FN96" s="419" t="s">
        <v>237</v>
      </c>
      <c r="FV96" s="8"/>
      <c r="FW96" s="8"/>
      <c r="FX96" s="8"/>
      <c r="GC96" s="7">
        <v>2.5000000000000001E-3</v>
      </c>
      <c r="GH96" s="7"/>
      <c r="GI96" s="441" t="s">
        <v>395</v>
      </c>
      <c r="GJ96" s="441" t="s">
        <v>395</v>
      </c>
      <c r="GK96" s="441" t="s">
        <v>395</v>
      </c>
      <c r="GL96" s="441" t="s">
        <v>395</v>
      </c>
      <c r="GM96" s="452" t="s">
        <v>230</v>
      </c>
      <c r="GN96" s="6" t="s">
        <v>395</v>
      </c>
      <c r="GO96" s="6" t="s">
        <v>395</v>
      </c>
      <c r="GP96" s="6" t="s">
        <v>395</v>
      </c>
      <c r="GQ96" s="6" t="s">
        <v>395</v>
      </c>
      <c r="GR96" s="6" t="s">
        <v>396</v>
      </c>
      <c r="GU96" t="s">
        <v>365</v>
      </c>
      <c r="GV96" t="s">
        <v>236</v>
      </c>
      <c r="GW96" t="s">
        <v>359</v>
      </c>
      <c r="GX96" t="s">
        <v>223</v>
      </c>
      <c r="GY96" t="s">
        <v>245</v>
      </c>
      <c r="HE96" t="s">
        <v>247</v>
      </c>
      <c r="HF96" t="s">
        <v>223</v>
      </c>
      <c r="HG96" t="s">
        <v>231</v>
      </c>
      <c r="HH96" t="s">
        <v>223</v>
      </c>
      <c r="HI96" t="s">
        <v>247</v>
      </c>
      <c r="HJ96" t="s">
        <v>223</v>
      </c>
      <c r="HK96" t="s">
        <v>248</v>
      </c>
      <c r="HO96" t="s">
        <v>231</v>
      </c>
      <c r="HP96" t="s">
        <v>223</v>
      </c>
      <c r="HQ96" t="s">
        <v>231</v>
      </c>
      <c r="HR96" t="s">
        <v>223</v>
      </c>
      <c r="HU96" t="s">
        <v>231</v>
      </c>
      <c r="HV96" t="s">
        <v>223</v>
      </c>
      <c r="HW96" t="s">
        <v>506</v>
      </c>
      <c r="HX96" t="s">
        <v>225</v>
      </c>
      <c r="IA96" t="s">
        <v>231</v>
      </c>
      <c r="IB96" t="s">
        <v>250</v>
      </c>
      <c r="IC96" t="s">
        <v>395</v>
      </c>
      <c r="ID96" t="s">
        <v>395</v>
      </c>
      <c r="IE96" t="s">
        <v>395</v>
      </c>
      <c r="IF96" t="s">
        <v>395</v>
      </c>
      <c r="IH96" t="s">
        <v>235</v>
      </c>
    </row>
    <row r="97" spans="1:242" x14ac:dyDescent="0.35">
      <c r="A97" s="310" t="s">
        <v>806</v>
      </c>
      <c r="B97" s="313" t="s">
        <v>807</v>
      </c>
      <c r="C97" s="310" t="s">
        <v>808</v>
      </c>
      <c r="D97" s="316"/>
      <c r="F97" t="s">
        <v>809</v>
      </c>
      <c r="I97" s="310" t="s">
        <v>810</v>
      </c>
      <c r="M97" s="313"/>
      <c r="O97" t="s">
        <v>221</v>
      </c>
      <c r="P97" s="381"/>
      <c r="Q97" t="s">
        <v>221</v>
      </c>
      <c r="T97" s="8"/>
      <c r="U97" t="s">
        <v>221</v>
      </c>
      <c r="V97" s="313"/>
      <c r="W97" t="s">
        <v>220</v>
      </c>
      <c r="X97" t="s">
        <v>220</v>
      </c>
      <c r="Z97" t="s">
        <v>220</v>
      </c>
      <c r="AB97" t="s">
        <v>257</v>
      </c>
      <c r="AD97" s="8" t="s">
        <v>222</v>
      </c>
      <c r="AF97" s="8" t="s">
        <v>230</v>
      </c>
      <c r="AG97"/>
      <c r="AH97"/>
      <c r="AI97"/>
      <c r="AJ97" t="s">
        <v>221</v>
      </c>
      <c r="AK97">
        <v>0</v>
      </c>
      <c r="AL97">
        <v>1</v>
      </c>
      <c r="AM97" t="s">
        <v>221</v>
      </c>
      <c r="AN97" t="s">
        <v>249</v>
      </c>
      <c r="AO97" t="s">
        <v>221</v>
      </c>
      <c r="AP97"/>
      <c r="AQ97" t="s">
        <v>221</v>
      </c>
      <c r="AR97" t="s">
        <v>223</v>
      </c>
      <c r="AS97" t="s">
        <v>221</v>
      </c>
      <c r="AT97"/>
      <c r="AU97" t="s">
        <v>220</v>
      </c>
      <c r="AV97"/>
      <c r="AW97" s="313" t="s">
        <v>220</v>
      </c>
      <c r="AX97" t="s">
        <v>226</v>
      </c>
      <c r="AY97" s="313" t="s">
        <v>220</v>
      </c>
      <c r="AZ97" s="313">
        <v>3.0300000000000001E-2</v>
      </c>
      <c r="BB97" s="313" t="s">
        <v>220</v>
      </c>
      <c r="BC97">
        <v>2.7400000000000001E-2</v>
      </c>
      <c r="BD97" t="s">
        <v>257</v>
      </c>
      <c r="BE97">
        <v>5.8200000000000002E-2</v>
      </c>
      <c r="BF97" s="2" t="s">
        <v>220</v>
      </c>
      <c r="BH97" s="2" t="s">
        <v>228</v>
      </c>
      <c r="BI97" s="2" t="s">
        <v>457</v>
      </c>
      <c r="BM97"/>
      <c r="BP97" s="8"/>
      <c r="BQ97" t="s">
        <v>230</v>
      </c>
      <c r="BR97" t="s">
        <v>230</v>
      </c>
      <c r="BU97" t="s">
        <v>317</v>
      </c>
      <c r="BV97" t="s">
        <v>225</v>
      </c>
      <c r="BW97" t="s">
        <v>232</v>
      </c>
      <c r="BX97" t="s">
        <v>284</v>
      </c>
      <c r="BY97" t="s">
        <v>220</v>
      </c>
      <c r="BZ97">
        <v>0.27300000000000002</v>
      </c>
      <c r="CA97" t="s">
        <v>234</v>
      </c>
      <c r="CF97" t="s">
        <v>220</v>
      </c>
      <c r="CG97">
        <v>0.17100000000000001</v>
      </c>
      <c r="CH97" t="s">
        <v>220</v>
      </c>
      <c r="CI97">
        <v>5.33E-2</v>
      </c>
      <c r="CK97"/>
      <c r="CL97" t="s">
        <v>257</v>
      </c>
      <c r="CM97" t="s">
        <v>231</v>
      </c>
      <c r="CS97" s="8"/>
      <c r="CW97" t="s">
        <v>220</v>
      </c>
      <c r="CX97" t="s">
        <v>257</v>
      </c>
      <c r="CY97" t="s">
        <v>231</v>
      </c>
      <c r="CZ97" t="s">
        <v>257</v>
      </c>
      <c r="DA97" t="s">
        <v>257</v>
      </c>
      <c r="DB97" t="s">
        <v>220</v>
      </c>
      <c r="DC97"/>
      <c r="DD97"/>
      <c r="DE97"/>
      <c r="DF97"/>
      <c r="DG97"/>
      <c r="DH97" s="323"/>
      <c r="DI97" s="323"/>
      <c r="DJ97" s="323"/>
      <c r="DL97" t="s">
        <v>220</v>
      </c>
      <c r="DM97" t="s">
        <v>220</v>
      </c>
      <c r="DN97" t="s">
        <v>220</v>
      </c>
      <c r="DO97" t="s">
        <v>220</v>
      </c>
      <c r="DP97" t="s">
        <v>220</v>
      </c>
      <c r="DQ97" s="329" t="s">
        <v>258</v>
      </c>
      <c r="DR97" s="329" t="s">
        <v>702</v>
      </c>
      <c r="DS97" s="309">
        <v>133.46199999999999</v>
      </c>
      <c r="DU97" s="309">
        <v>314.678</v>
      </c>
      <c r="DW97">
        <v>2320</v>
      </c>
      <c r="DX97" t="s">
        <v>238</v>
      </c>
      <c r="DY97">
        <v>1130</v>
      </c>
      <c r="DZ97" t="s">
        <v>238</v>
      </c>
      <c r="EA97"/>
      <c r="EB97"/>
      <c r="ED97" s="410"/>
      <c r="EE97" s="1"/>
      <c r="EG97" s="410"/>
      <c r="EI97" s="410"/>
      <c r="EK97" s="1">
        <v>12.7</v>
      </c>
      <c r="EL97" s="8" t="s">
        <v>324</v>
      </c>
      <c r="EM97"/>
      <c r="EQ97" s="344"/>
      <c r="EU97" s="344"/>
      <c r="EW97" s="409"/>
      <c r="EY97" s="1"/>
      <c r="FA97">
        <v>30</v>
      </c>
      <c r="FB97" t="s">
        <v>236</v>
      </c>
      <c r="FC97" s="7">
        <v>32.114413871412701</v>
      </c>
      <c r="FD97" s="357" t="s">
        <v>236</v>
      </c>
      <c r="FE97" s="8">
        <v>4.9796635416448565</v>
      </c>
      <c r="FF97" t="s">
        <v>237</v>
      </c>
      <c r="FH97" s="9">
        <v>50.535899475316796</v>
      </c>
      <c r="FI97" s="9" t="s">
        <v>236</v>
      </c>
      <c r="FJ97">
        <v>105</v>
      </c>
      <c r="FK97" t="s">
        <v>238</v>
      </c>
      <c r="FL97">
        <v>69.8</v>
      </c>
      <c r="FM97">
        <v>62.459715253327559</v>
      </c>
      <c r="FN97" s="5" t="s">
        <v>237</v>
      </c>
      <c r="FP97" s="6">
        <v>12.7</v>
      </c>
      <c r="FQ97" t="s">
        <v>260</v>
      </c>
      <c r="FS97" t="s">
        <v>261</v>
      </c>
      <c r="FU97" s="8">
        <v>1</v>
      </c>
      <c r="FV97" s="8">
        <v>10</v>
      </c>
      <c r="FW97" s="8">
        <v>10</v>
      </c>
      <c r="FX97" s="8">
        <v>1</v>
      </c>
      <c r="FY97" s="8">
        <v>3</v>
      </c>
      <c r="FZ97">
        <f t="shared" si="1"/>
        <v>300</v>
      </c>
      <c r="GA97" s="7" t="s">
        <v>326</v>
      </c>
      <c r="GB97" s="7" t="s">
        <v>326</v>
      </c>
      <c r="GC97" s="6">
        <v>1.5</v>
      </c>
      <c r="GD97" s="348" t="s">
        <v>242</v>
      </c>
      <c r="GF97" s="6">
        <v>8.422649912552798E-3</v>
      </c>
      <c r="GH97" s="7"/>
      <c r="GI97" s="441"/>
      <c r="GJ97" s="441"/>
      <c r="GK97" s="441"/>
      <c r="GL97" s="441"/>
      <c r="GM97" s="454"/>
      <c r="GN97" s="441"/>
      <c r="GO97" s="441"/>
      <c r="GP97" s="441"/>
      <c r="GQ97" s="441"/>
      <c r="GR97" s="441"/>
      <c r="GS97" s="441"/>
      <c r="GT97" s="441"/>
      <c r="GU97" s="441"/>
      <c r="GV97" s="441"/>
      <c r="GW97" s="441"/>
      <c r="GX97" s="441"/>
      <c r="GY97" s="441"/>
      <c r="GZ97" s="441"/>
      <c r="HA97" s="441"/>
      <c r="HB97" s="441"/>
      <c r="HC97" s="441"/>
      <c r="HD97" s="441"/>
      <c r="HE97" s="441"/>
      <c r="HF97" s="441"/>
      <c r="HG97" s="441"/>
      <c r="HH97" s="441"/>
      <c r="HI97" s="441"/>
      <c r="HJ97" s="441"/>
      <c r="HK97" s="441"/>
      <c r="HL97" s="441"/>
      <c r="HM97" s="441"/>
      <c r="HN97" s="441"/>
      <c r="HO97" s="441"/>
      <c r="HP97" s="441"/>
      <c r="HQ97" s="441"/>
      <c r="HR97" s="441"/>
      <c r="HS97" s="441"/>
      <c r="HT97" s="441"/>
      <c r="HU97" s="441"/>
      <c r="HV97" s="441"/>
      <c r="HW97" s="441"/>
      <c r="HX97" s="441"/>
      <c r="HY97" s="441"/>
      <c r="HZ97" s="441"/>
      <c r="IA97" s="441"/>
      <c r="IB97" s="441"/>
      <c r="IC97" s="441"/>
      <c r="ID97" s="441"/>
      <c r="IE97" s="441"/>
      <c r="IF97" s="441"/>
      <c r="IH97" t="s">
        <v>235</v>
      </c>
    </row>
    <row r="98" spans="1:242" x14ac:dyDescent="0.35">
      <c r="A98" s="310" t="s">
        <v>811</v>
      </c>
      <c r="B98" s="313" t="s">
        <v>812</v>
      </c>
      <c r="C98" s="310" t="s">
        <v>813</v>
      </c>
      <c r="D98" s="316"/>
      <c r="F98" t="s">
        <v>813</v>
      </c>
      <c r="I98" s="310" t="s">
        <v>814</v>
      </c>
      <c r="M98" s="313" t="s">
        <v>220</v>
      </c>
      <c r="O98"/>
      <c r="P98" s="381"/>
      <c r="Q98"/>
      <c r="T98" s="8"/>
      <c r="U98"/>
      <c r="V98" s="313"/>
      <c r="W98" t="s">
        <v>301</v>
      </c>
      <c r="X98"/>
      <c r="Z98"/>
      <c r="AB98"/>
      <c r="AD98" s="8" t="s">
        <v>222</v>
      </c>
      <c r="AF98" s="8" t="s">
        <v>230</v>
      </c>
      <c r="AG98"/>
      <c r="AH98"/>
      <c r="AI98"/>
      <c r="AJ98" t="s">
        <v>221</v>
      </c>
      <c r="AK98">
        <v>0</v>
      </c>
      <c r="AL98">
        <v>0.6</v>
      </c>
      <c r="AM98" t="s">
        <v>221</v>
      </c>
      <c r="AN98" t="s">
        <v>225</v>
      </c>
      <c r="AO98" t="s">
        <v>224</v>
      </c>
      <c r="AP98" t="s">
        <v>225</v>
      </c>
      <c r="AQ98" t="s">
        <v>221</v>
      </c>
      <c r="AR98" t="s">
        <v>225</v>
      </c>
      <c r="AS98" t="s">
        <v>221</v>
      </c>
      <c r="AT98" t="s">
        <v>225</v>
      </c>
      <c r="AU98" t="s">
        <v>220</v>
      </c>
      <c r="AV98"/>
      <c r="AW98" s="313" t="s">
        <v>220</v>
      </c>
      <c r="AX98" t="s">
        <v>226</v>
      </c>
      <c r="AY98" s="313" t="s">
        <v>220</v>
      </c>
      <c r="AZ98" s="313">
        <v>0.33200000000000002</v>
      </c>
      <c r="BB98" s="313" t="s">
        <v>220</v>
      </c>
      <c r="BC98">
        <v>0.221</v>
      </c>
      <c r="BD98" t="s">
        <v>220</v>
      </c>
      <c r="BE98">
        <v>0.26300000000000001</v>
      </c>
      <c r="BF98" s="2" t="s">
        <v>220</v>
      </c>
      <c r="BH98" s="2" t="s">
        <v>228</v>
      </c>
      <c r="BI98" s="2" t="s">
        <v>302</v>
      </c>
      <c r="BM98"/>
      <c r="BP98" s="8"/>
      <c r="BQ98" t="s">
        <v>230</v>
      </c>
      <c r="BR98" t="s">
        <v>230</v>
      </c>
      <c r="BU98" t="s">
        <v>231</v>
      </c>
      <c r="BV98" t="s">
        <v>223</v>
      </c>
      <c r="BW98" t="s">
        <v>232</v>
      </c>
      <c r="BX98" t="s">
        <v>284</v>
      </c>
      <c r="BY98" t="s">
        <v>257</v>
      </c>
      <c r="BZ98">
        <v>0.52200000000000002</v>
      </c>
      <c r="CA98" t="s">
        <v>234</v>
      </c>
      <c r="CF98" t="s">
        <v>220</v>
      </c>
      <c r="CG98">
        <v>0.39700000000000002</v>
      </c>
      <c r="CH98" t="s">
        <v>257</v>
      </c>
      <c r="CI98">
        <v>0.52</v>
      </c>
      <c r="CK98"/>
      <c r="CL98"/>
      <c r="CM98"/>
      <c r="CS98" s="8"/>
      <c r="CW98" t="s">
        <v>227</v>
      </c>
      <c r="CX98" t="s">
        <v>257</v>
      </c>
      <c r="CY98" t="s">
        <v>231</v>
      </c>
      <c r="CZ98" t="s">
        <v>220</v>
      </c>
      <c r="DA98" t="s">
        <v>227</v>
      </c>
      <c r="DB98" t="s">
        <v>220</v>
      </c>
      <c r="DC98"/>
      <c r="DD98"/>
      <c r="DE98"/>
      <c r="DF98"/>
      <c r="DG98"/>
      <c r="DH98" s="323"/>
      <c r="DI98" s="323"/>
      <c r="DJ98" s="323"/>
      <c r="DL98" t="s">
        <v>257</v>
      </c>
      <c r="DM98" t="s">
        <v>257</v>
      </c>
      <c r="DN98" t="s">
        <v>257</v>
      </c>
      <c r="DO98" t="s">
        <v>227</v>
      </c>
      <c r="DP98" t="s">
        <v>220</v>
      </c>
      <c r="DS98" s="309">
        <v>86.331999999999994</v>
      </c>
      <c r="DU98" s="309">
        <v>357.55599999999998</v>
      </c>
      <c r="DW98"/>
      <c r="DX98" t="s">
        <v>235</v>
      </c>
      <c r="DY98"/>
      <c r="DZ98" t="s">
        <v>235</v>
      </c>
      <c r="EA98"/>
      <c r="EB98"/>
      <c r="ED98" s="410"/>
      <c r="EE98" s="1"/>
      <c r="EG98" s="410"/>
      <c r="EI98" s="410"/>
      <c r="EK98" s="1"/>
      <c r="EM98"/>
      <c r="EQ98" s="344"/>
      <c r="EU98" s="344"/>
      <c r="EW98" s="409"/>
      <c r="EY98" s="1"/>
      <c r="FA98">
        <v>73.510000000000005</v>
      </c>
      <c r="FB98" t="s">
        <v>225</v>
      </c>
      <c r="FC98" s="7">
        <v>87.942741488368313</v>
      </c>
      <c r="FD98" s="357" t="s">
        <v>236</v>
      </c>
      <c r="FE98" s="8">
        <v>133.56725478916954</v>
      </c>
      <c r="FF98" t="s">
        <v>237</v>
      </c>
      <c r="FH98" s="9">
        <v>30.881614691845133</v>
      </c>
      <c r="FI98" s="9" t="s">
        <v>225</v>
      </c>
      <c r="FK98" t="s">
        <v>235</v>
      </c>
      <c r="FL98">
        <v>83.7</v>
      </c>
      <c r="FM98">
        <v>358.42640804371445</v>
      </c>
      <c r="FN98" s="5" t="s">
        <v>237</v>
      </c>
      <c r="FP98" s="6">
        <v>8.370000000000001</v>
      </c>
      <c r="FQ98" t="s">
        <v>239</v>
      </c>
      <c r="FS98" t="s">
        <v>240</v>
      </c>
      <c r="FU98" s="8">
        <v>1</v>
      </c>
      <c r="FV98" s="8">
        <v>10</v>
      </c>
      <c r="FW98" s="8">
        <v>10</v>
      </c>
      <c r="FX98" s="8">
        <v>10</v>
      </c>
      <c r="FY98" s="8">
        <v>3</v>
      </c>
      <c r="FZ98">
        <f t="shared" si="1"/>
        <v>3000</v>
      </c>
      <c r="GA98" s="7" t="s">
        <v>303</v>
      </c>
      <c r="GB98" s="7" t="s">
        <v>303</v>
      </c>
      <c r="GC98" s="6">
        <v>9</v>
      </c>
      <c r="GD98" s="348" t="s">
        <v>242</v>
      </c>
      <c r="GF98" s="6">
        <v>2.7900000000000005E-2</v>
      </c>
      <c r="GH98" s="7"/>
      <c r="GI98" s="441">
        <v>0.186</v>
      </c>
      <c r="GJ98" s="441">
        <v>0.34899999999999998</v>
      </c>
      <c r="GK98" s="441">
        <v>0.55800000000000005</v>
      </c>
      <c r="GL98" s="441">
        <v>1.395</v>
      </c>
      <c r="GM98" s="452" t="s">
        <v>262</v>
      </c>
      <c r="GN98" s="6">
        <v>0.06</v>
      </c>
      <c r="GO98" s="6">
        <v>0.1125</v>
      </c>
      <c r="GP98" s="6">
        <v>0.18</v>
      </c>
      <c r="GQ98" s="6">
        <v>0.45</v>
      </c>
      <c r="GR98" s="6" t="s">
        <v>230</v>
      </c>
      <c r="GU98" t="s">
        <v>365</v>
      </c>
      <c r="GV98" t="s">
        <v>236</v>
      </c>
      <c r="GW98" t="s">
        <v>244</v>
      </c>
      <c r="GX98" t="s">
        <v>236</v>
      </c>
      <c r="GY98" t="s">
        <v>245</v>
      </c>
      <c r="GZ98" t="s">
        <v>376</v>
      </c>
      <c r="HB98" t="s">
        <v>376</v>
      </c>
      <c r="HE98" t="s">
        <v>247</v>
      </c>
      <c r="HF98" t="s">
        <v>249</v>
      </c>
      <c r="HG98" t="s">
        <v>231</v>
      </c>
      <c r="HH98" t="s">
        <v>223</v>
      </c>
      <c r="HI98" t="s">
        <v>247</v>
      </c>
      <c r="HJ98" t="s">
        <v>249</v>
      </c>
      <c r="HK98" t="s">
        <v>248</v>
      </c>
      <c r="HL98" t="s">
        <v>231</v>
      </c>
      <c r="HM98" t="s">
        <v>231</v>
      </c>
      <c r="HO98" t="s">
        <v>231</v>
      </c>
      <c r="HP98" t="s">
        <v>249</v>
      </c>
      <c r="HQ98" t="s">
        <v>231</v>
      </c>
      <c r="HR98" t="s">
        <v>249</v>
      </c>
      <c r="HU98" t="s">
        <v>231</v>
      </c>
      <c r="HV98" t="s">
        <v>223</v>
      </c>
      <c r="HW98" t="s">
        <v>246</v>
      </c>
      <c r="HX98" t="s">
        <v>236</v>
      </c>
      <c r="IA98" t="s">
        <v>231</v>
      </c>
      <c r="IB98" t="s">
        <v>250</v>
      </c>
      <c r="IC98">
        <v>0.186</v>
      </c>
      <c r="ID98">
        <v>0.34899999999999998</v>
      </c>
      <c r="IE98">
        <v>0.55800000000000005</v>
      </c>
      <c r="IF98">
        <v>1.395</v>
      </c>
      <c r="IH98" t="s">
        <v>267</v>
      </c>
    </row>
    <row r="99" spans="1:242" x14ac:dyDescent="0.35">
      <c r="A99" s="310" t="s">
        <v>815</v>
      </c>
      <c r="B99" s="313" t="s">
        <v>816</v>
      </c>
      <c r="C99" s="310" t="s">
        <v>817</v>
      </c>
      <c r="D99" s="316"/>
      <c r="F99" t="s">
        <v>818</v>
      </c>
      <c r="I99" s="310" t="s">
        <v>819</v>
      </c>
      <c r="M99" s="313"/>
      <c r="O99"/>
      <c r="P99" s="381"/>
      <c r="Q99"/>
      <c r="T99" s="8"/>
      <c r="U99"/>
      <c r="V99" s="313"/>
      <c r="W99"/>
      <c r="X99"/>
      <c r="Z99"/>
      <c r="AB99"/>
      <c r="AD99" s="8" t="s">
        <v>230</v>
      </c>
      <c r="AF99" s="8" t="s">
        <v>230</v>
      </c>
      <c r="AG99"/>
      <c r="AH99"/>
      <c r="AI99"/>
      <c r="AJ99" t="s">
        <v>221</v>
      </c>
      <c r="AK99">
        <v>0.1</v>
      </c>
      <c r="AL99">
        <v>0.3</v>
      </c>
      <c r="AM99" t="s">
        <v>414</v>
      </c>
      <c r="AN99" t="s">
        <v>236</v>
      </c>
      <c r="AO99" t="s">
        <v>221</v>
      </c>
      <c r="AP99" t="s">
        <v>225</v>
      </c>
      <c r="AQ99" t="s">
        <v>414</v>
      </c>
      <c r="AR99" t="s">
        <v>236</v>
      </c>
      <c r="AS99" t="s">
        <v>221</v>
      </c>
      <c r="AT99" t="s">
        <v>225</v>
      </c>
      <c r="AU99" t="s">
        <v>272</v>
      </c>
      <c r="AV99"/>
      <c r="AW99" s="313" t="s">
        <v>431</v>
      </c>
      <c r="AX99" t="s">
        <v>820</v>
      </c>
      <c r="AY99" s="313" t="s">
        <v>220</v>
      </c>
      <c r="AZ99" s="313">
        <v>0.121</v>
      </c>
      <c r="BB99" s="313" t="s">
        <v>220</v>
      </c>
      <c r="BC99">
        <v>6.1100000000000002E-2</v>
      </c>
      <c r="BD99" t="s">
        <v>220</v>
      </c>
      <c r="BE99">
        <v>0.39800000000000002</v>
      </c>
      <c r="BF99" s="2" t="s">
        <v>220</v>
      </c>
      <c r="BG99" s="2" t="s">
        <v>230</v>
      </c>
      <c r="BH99" s="2" t="s">
        <v>821</v>
      </c>
      <c r="BI99" s="2" t="s">
        <v>822</v>
      </c>
      <c r="BJ99" s="2" t="s">
        <v>823</v>
      </c>
      <c r="BM99"/>
      <c r="BP99" s="8"/>
      <c r="BQ99" t="s">
        <v>230</v>
      </c>
      <c r="BR99" t="s">
        <v>230</v>
      </c>
      <c r="BU99" t="s">
        <v>317</v>
      </c>
      <c r="BV99" t="s">
        <v>225</v>
      </c>
      <c r="BW99" t="s">
        <v>232</v>
      </c>
      <c r="BX99" t="s">
        <v>276</v>
      </c>
      <c r="BY99" t="s">
        <v>220</v>
      </c>
      <c r="BZ99">
        <v>0.38200000000000001</v>
      </c>
      <c r="CA99" t="s">
        <v>372</v>
      </c>
      <c r="CF99" t="s">
        <v>220</v>
      </c>
      <c r="CG99">
        <v>0.34300000000000003</v>
      </c>
      <c r="CH99" t="s">
        <v>220</v>
      </c>
      <c r="CI99">
        <v>0.33300000000000002</v>
      </c>
      <c r="CK99"/>
      <c r="CL99"/>
      <c r="CM99"/>
      <c r="CS99" s="8"/>
      <c r="CW99" t="s">
        <v>220</v>
      </c>
      <c r="CX99" t="s">
        <v>257</v>
      </c>
      <c r="CY99" t="s">
        <v>231</v>
      </c>
      <c r="CZ99" t="s">
        <v>220</v>
      </c>
      <c r="DA99" t="s">
        <v>220</v>
      </c>
      <c r="DB99" t="s">
        <v>227</v>
      </c>
      <c r="DC99"/>
      <c r="DD99"/>
      <c r="DE99"/>
      <c r="DF99"/>
      <c r="DG99"/>
      <c r="DH99" s="323"/>
      <c r="DI99" s="323"/>
      <c r="DJ99" s="323"/>
      <c r="DL99" t="s">
        <v>257</v>
      </c>
      <c r="DM99" t="s">
        <v>257</v>
      </c>
      <c r="DN99" t="s">
        <v>257</v>
      </c>
      <c r="DO99" t="s">
        <v>257</v>
      </c>
      <c r="DP99" t="s">
        <v>257</v>
      </c>
      <c r="DS99" s="309">
        <v>113.605</v>
      </c>
      <c r="DU99" s="309">
        <v>329.27499999999998</v>
      </c>
      <c r="DW99"/>
      <c r="DX99" t="s">
        <v>235</v>
      </c>
      <c r="DY99"/>
      <c r="DZ99" t="s">
        <v>235</v>
      </c>
      <c r="EA99"/>
      <c r="EB99"/>
      <c r="ED99" s="410"/>
      <c r="EE99" s="1"/>
      <c r="EG99" s="410"/>
      <c r="EI99" s="410"/>
      <c r="EK99" s="1"/>
      <c r="EM99"/>
      <c r="EQ99" s="344"/>
      <c r="EU99" s="344"/>
      <c r="EW99" s="409"/>
      <c r="EY99" s="1"/>
      <c r="FA99">
        <v>66.150000000000006</v>
      </c>
      <c r="FB99" t="s">
        <v>225</v>
      </c>
      <c r="FC99" s="7">
        <v>112.590046889494</v>
      </c>
      <c r="FD99" s="357" t="s">
        <v>236</v>
      </c>
      <c r="FE99" s="8">
        <v>23.593914430440499</v>
      </c>
      <c r="FF99" t="s">
        <v>237</v>
      </c>
      <c r="FH99" s="9">
        <v>6.5826384164090186</v>
      </c>
      <c r="FI99" s="9" t="s">
        <v>236</v>
      </c>
      <c r="FK99" t="s">
        <v>235</v>
      </c>
      <c r="FL99">
        <v>163</v>
      </c>
      <c r="FM99">
        <v>28.820399726720023</v>
      </c>
      <c r="FN99" s="419" t="s">
        <v>237</v>
      </c>
      <c r="FV99" s="8"/>
      <c r="FW99" s="8"/>
      <c r="FX99" s="8"/>
      <c r="GA99" s="7" t="s">
        <v>303</v>
      </c>
      <c r="GB99" s="7" t="s">
        <v>303</v>
      </c>
      <c r="GC99" s="7">
        <v>9</v>
      </c>
      <c r="GH99" s="7"/>
      <c r="GI99" s="441"/>
      <c r="GJ99" s="441"/>
      <c r="GK99" s="441"/>
      <c r="GL99" s="441"/>
      <c r="GM99" s="452" t="s">
        <v>230</v>
      </c>
      <c r="GN99" s="6">
        <v>0.06</v>
      </c>
      <c r="GO99" s="6">
        <v>0.113</v>
      </c>
      <c r="GP99" s="6">
        <v>0.18</v>
      </c>
      <c r="GQ99" s="6">
        <v>0.45</v>
      </c>
      <c r="GR99" s="6" t="s">
        <v>230</v>
      </c>
      <c r="GU99" t="s">
        <v>365</v>
      </c>
      <c r="GV99" t="s">
        <v>236</v>
      </c>
      <c r="GW99" t="s">
        <v>244</v>
      </c>
      <c r="GX99" t="s">
        <v>236</v>
      </c>
      <c r="GY99" t="s">
        <v>245</v>
      </c>
      <c r="HE99" t="s">
        <v>384</v>
      </c>
      <c r="HF99" t="s">
        <v>223</v>
      </c>
      <c r="HG99" t="s">
        <v>231</v>
      </c>
      <c r="HH99" t="s">
        <v>225</v>
      </c>
      <c r="HI99" t="s">
        <v>247</v>
      </c>
      <c r="HJ99" t="s">
        <v>223</v>
      </c>
      <c r="HK99" t="s">
        <v>248</v>
      </c>
      <c r="HL99" t="s">
        <v>231</v>
      </c>
      <c r="HM99" t="s">
        <v>231</v>
      </c>
      <c r="HO99" t="s">
        <v>231</v>
      </c>
      <c r="HP99" t="s">
        <v>249</v>
      </c>
      <c r="HQ99" t="s">
        <v>231</v>
      </c>
      <c r="HR99" t="s">
        <v>249</v>
      </c>
      <c r="HU99" t="s">
        <v>231</v>
      </c>
      <c r="HV99" t="s">
        <v>223</v>
      </c>
      <c r="HW99" t="s">
        <v>246</v>
      </c>
      <c r="HX99" t="s">
        <v>236</v>
      </c>
      <c r="IA99" t="s">
        <v>231</v>
      </c>
      <c r="IB99" t="s">
        <v>250</v>
      </c>
      <c r="IH99" t="s">
        <v>235</v>
      </c>
    </row>
    <row r="100" spans="1:242" ht="72.5" x14ac:dyDescent="0.35">
      <c r="A100" s="310" t="s">
        <v>824</v>
      </c>
      <c r="B100" s="313" t="s">
        <v>825</v>
      </c>
      <c r="C100" s="310" t="s">
        <v>826</v>
      </c>
      <c r="D100" s="316"/>
      <c r="F100" t="s">
        <v>827</v>
      </c>
      <c r="I100" s="310" t="s">
        <v>828</v>
      </c>
      <c r="M100" s="313"/>
      <c r="O100"/>
      <c r="P100" s="381"/>
      <c r="Q100"/>
      <c r="T100" s="8"/>
      <c r="U100"/>
      <c r="V100" s="313"/>
      <c r="W100" t="s">
        <v>220</v>
      </c>
      <c r="X100" t="s">
        <v>220</v>
      </c>
      <c r="Z100"/>
      <c r="AB100"/>
      <c r="AD100" s="8" t="s">
        <v>222</v>
      </c>
      <c r="AF100" s="8" t="s">
        <v>222</v>
      </c>
      <c r="AG100"/>
      <c r="AH100"/>
      <c r="AI100"/>
      <c r="AJ100" t="s">
        <v>221</v>
      </c>
      <c r="AK100">
        <v>0</v>
      </c>
      <c r="AL100">
        <v>0.9</v>
      </c>
      <c r="AM100" t="s">
        <v>221</v>
      </c>
      <c r="AN100" t="s">
        <v>223</v>
      </c>
      <c r="AO100" t="s">
        <v>221</v>
      </c>
      <c r="AP100" t="s">
        <v>223</v>
      </c>
      <c r="AQ100" t="s">
        <v>221</v>
      </c>
      <c r="AR100" t="s">
        <v>223</v>
      </c>
      <c r="AS100" t="s">
        <v>221</v>
      </c>
      <c r="AT100" t="s">
        <v>223</v>
      </c>
      <c r="AU100" t="s">
        <v>220</v>
      </c>
      <c r="AV100"/>
      <c r="AW100" s="313" t="s">
        <v>220</v>
      </c>
      <c r="AX100" t="s">
        <v>226</v>
      </c>
      <c r="AY100" s="313" t="s">
        <v>220</v>
      </c>
      <c r="AZ100" s="313">
        <v>2.3900000000000001E-2</v>
      </c>
      <c r="BB100" s="313" t="s">
        <v>220</v>
      </c>
      <c r="BC100">
        <v>1.52E-2</v>
      </c>
      <c r="BD100" t="s">
        <v>220</v>
      </c>
      <c r="BE100">
        <v>1.84E-2</v>
      </c>
      <c r="BF100" s="2" t="s">
        <v>220</v>
      </c>
      <c r="BH100" s="2" t="s">
        <v>228</v>
      </c>
      <c r="BI100" s="2" t="s">
        <v>402</v>
      </c>
      <c r="BM100"/>
      <c r="BP100" s="8"/>
      <c r="BQ100" t="s">
        <v>230</v>
      </c>
      <c r="BR100" t="s">
        <v>230</v>
      </c>
      <c r="BU100" t="s">
        <v>231</v>
      </c>
      <c r="BV100" t="s">
        <v>223</v>
      </c>
      <c r="BW100" t="s">
        <v>232</v>
      </c>
      <c r="BX100" t="s">
        <v>284</v>
      </c>
      <c r="BY100" t="s">
        <v>220</v>
      </c>
      <c r="BZ100">
        <v>0.19600000000000001</v>
      </c>
      <c r="CA100" t="s">
        <v>234</v>
      </c>
      <c r="CF100" t="s">
        <v>220</v>
      </c>
      <c r="CG100">
        <v>9.9299999999999999E-2</v>
      </c>
      <c r="CH100" t="s">
        <v>220</v>
      </c>
      <c r="CI100">
        <v>4.6199999999999998E-2</v>
      </c>
      <c r="CK100"/>
      <c r="CL100"/>
      <c r="CM100"/>
      <c r="CS100" s="8"/>
      <c r="CW100" t="s">
        <v>220</v>
      </c>
      <c r="CX100" t="s">
        <v>220</v>
      </c>
      <c r="CY100" t="s">
        <v>231</v>
      </c>
      <c r="CZ100" t="s">
        <v>220</v>
      </c>
      <c r="DA100" t="s">
        <v>220</v>
      </c>
      <c r="DB100" t="s">
        <v>220</v>
      </c>
      <c r="DC100"/>
      <c r="DD100"/>
      <c r="DE100"/>
      <c r="DF100"/>
      <c r="DG100"/>
      <c r="DH100" s="323"/>
      <c r="DI100" s="323"/>
      <c r="DJ100" s="323"/>
      <c r="DL100" t="s">
        <v>257</v>
      </c>
      <c r="DM100" t="s">
        <v>220</v>
      </c>
      <c r="DN100" t="s">
        <v>257</v>
      </c>
      <c r="DO100" t="s">
        <v>220</v>
      </c>
      <c r="DP100" t="s">
        <v>257</v>
      </c>
      <c r="DS100" s="309">
        <v>192.62700000000001</v>
      </c>
      <c r="DU100" s="309">
        <v>580.68799999999999</v>
      </c>
      <c r="DW100">
        <v>57.7</v>
      </c>
      <c r="DX100" t="s">
        <v>238</v>
      </c>
      <c r="DY100">
        <v>528</v>
      </c>
      <c r="DZ100" t="s">
        <v>238</v>
      </c>
      <c r="EA100"/>
      <c r="EB100"/>
      <c r="ED100" s="410"/>
      <c r="EE100" s="1"/>
      <c r="EG100" s="410">
        <v>120</v>
      </c>
      <c r="EH100" s="8" t="s">
        <v>259</v>
      </c>
      <c r="EI100" s="410"/>
      <c r="EK100" s="1">
        <v>150</v>
      </c>
      <c r="EL100" s="8" t="s">
        <v>785</v>
      </c>
      <c r="EM100"/>
      <c r="EQ100" s="344"/>
      <c r="EU100" s="344"/>
      <c r="EW100" s="409"/>
      <c r="EY100" s="1"/>
      <c r="FA100">
        <v>147.47</v>
      </c>
      <c r="FB100" t="s">
        <v>225</v>
      </c>
      <c r="FC100" s="7">
        <v>165.12012168506322</v>
      </c>
      <c r="FD100" s="357" t="s">
        <v>225</v>
      </c>
      <c r="FE100" s="8">
        <v>47.206304126359058</v>
      </c>
      <c r="FF100" t="s">
        <v>237</v>
      </c>
      <c r="FH100" s="9">
        <v>213.74698622105004</v>
      </c>
      <c r="FI100" s="9" t="s">
        <v>225</v>
      </c>
      <c r="FJ100">
        <v>180</v>
      </c>
      <c r="FK100" t="s">
        <v>238</v>
      </c>
      <c r="FL100">
        <v>215</v>
      </c>
      <c r="FM100">
        <v>174.54202087913751</v>
      </c>
      <c r="FN100" s="5" t="s">
        <v>237</v>
      </c>
      <c r="FP100" s="6">
        <v>25</v>
      </c>
      <c r="FQ100" t="s">
        <v>260</v>
      </c>
      <c r="FS100" t="s">
        <v>261</v>
      </c>
      <c r="FU100" s="8">
        <v>6</v>
      </c>
      <c r="FV100" s="8">
        <v>10</v>
      </c>
      <c r="FW100" s="8">
        <v>10</v>
      </c>
      <c r="FX100" s="8">
        <v>1</v>
      </c>
      <c r="FY100" s="8">
        <v>3</v>
      </c>
      <c r="FZ100">
        <f t="shared" si="1"/>
        <v>1800</v>
      </c>
      <c r="GA100" s="7" t="s">
        <v>241</v>
      </c>
      <c r="GB100" s="7" t="s">
        <v>241</v>
      </c>
      <c r="GC100" s="6">
        <v>30</v>
      </c>
      <c r="GD100" s="348" t="s">
        <v>242</v>
      </c>
      <c r="GF100" s="6">
        <v>3.562449770350834E-2</v>
      </c>
      <c r="GH100" s="7"/>
      <c r="GI100" s="441"/>
      <c r="GJ100" s="441"/>
      <c r="GK100" s="441"/>
      <c r="GL100" s="441"/>
      <c r="GM100" s="460" t="s">
        <v>305</v>
      </c>
      <c r="GR100" s="460" t="s">
        <v>305</v>
      </c>
      <c r="GU100" t="s">
        <v>243</v>
      </c>
      <c r="GV100" t="s">
        <v>236</v>
      </c>
      <c r="GW100" t="s">
        <v>244</v>
      </c>
      <c r="GX100" t="s">
        <v>225</v>
      </c>
      <c r="GY100" t="s">
        <v>245</v>
      </c>
      <c r="GZ100" t="s">
        <v>376</v>
      </c>
      <c r="HB100" t="s">
        <v>376</v>
      </c>
      <c r="HE100" t="s">
        <v>247</v>
      </c>
      <c r="HF100" t="s">
        <v>249</v>
      </c>
      <c r="HG100" t="s">
        <v>231</v>
      </c>
      <c r="HH100" t="s">
        <v>225</v>
      </c>
      <c r="HI100" t="s">
        <v>247</v>
      </c>
      <c r="HJ100" t="s">
        <v>249</v>
      </c>
      <c r="HK100" t="s">
        <v>266</v>
      </c>
      <c r="HL100" t="s">
        <v>231</v>
      </c>
      <c r="HM100" t="s">
        <v>231</v>
      </c>
      <c r="HO100" t="s">
        <v>231</v>
      </c>
      <c r="HP100" t="s">
        <v>249</v>
      </c>
      <c r="HQ100" t="s">
        <v>231</v>
      </c>
      <c r="HR100" t="s">
        <v>249</v>
      </c>
      <c r="HS100" t="s">
        <v>231</v>
      </c>
      <c r="HU100" t="s">
        <v>231</v>
      </c>
      <c r="HV100" t="s">
        <v>249</v>
      </c>
      <c r="HW100" t="s">
        <v>506</v>
      </c>
      <c r="HX100" t="s">
        <v>236</v>
      </c>
      <c r="IA100" t="s">
        <v>231</v>
      </c>
      <c r="IB100" t="s">
        <v>250</v>
      </c>
      <c r="IG100" s="459" t="s">
        <v>829</v>
      </c>
      <c r="IH100" t="s">
        <v>235</v>
      </c>
    </row>
    <row r="101" spans="1:242" x14ac:dyDescent="0.35">
      <c r="A101" s="310" t="s">
        <v>830</v>
      </c>
      <c r="B101" s="313" t="s">
        <v>831</v>
      </c>
      <c r="C101" s="310" t="s">
        <v>832</v>
      </c>
      <c r="D101" s="316"/>
      <c r="F101" t="s">
        <v>833</v>
      </c>
      <c r="I101" s="310" t="s">
        <v>834</v>
      </c>
      <c r="M101" s="313"/>
      <c r="O101" t="s">
        <v>221</v>
      </c>
      <c r="P101" s="381"/>
      <c r="Q101" t="s">
        <v>221</v>
      </c>
      <c r="S101" t="s">
        <v>221</v>
      </c>
      <c r="T101" s="8"/>
      <c r="U101" t="s">
        <v>221</v>
      </c>
      <c r="V101" s="313"/>
      <c r="W101" t="s">
        <v>220</v>
      </c>
      <c r="X101" t="s">
        <v>220</v>
      </c>
      <c r="Z101" t="s">
        <v>220</v>
      </c>
      <c r="AB101"/>
      <c r="AD101" s="8" t="s">
        <v>222</v>
      </c>
      <c r="AF101" s="8" t="s">
        <v>222</v>
      </c>
      <c r="AG101"/>
      <c r="AH101" t="s">
        <v>312</v>
      </c>
      <c r="AI101"/>
      <c r="AJ101" t="s">
        <v>221</v>
      </c>
      <c r="AK101">
        <v>0</v>
      </c>
      <c r="AL101">
        <v>1</v>
      </c>
      <c r="AM101" t="s">
        <v>221</v>
      </c>
      <c r="AN101" t="s">
        <v>249</v>
      </c>
      <c r="AO101" t="s">
        <v>221</v>
      </c>
      <c r="AP101"/>
      <c r="AQ101" t="s">
        <v>221</v>
      </c>
      <c r="AR101"/>
      <c r="AS101" t="s">
        <v>221</v>
      </c>
      <c r="AT101"/>
      <c r="AU101" t="s">
        <v>220</v>
      </c>
      <c r="AV101"/>
      <c r="AW101" s="313" t="s">
        <v>220</v>
      </c>
      <c r="AX101" t="s">
        <v>226</v>
      </c>
      <c r="AY101" s="313" t="s">
        <v>220</v>
      </c>
      <c r="AZ101" s="313">
        <v>0.22900000000000001</v>
      </c>
      <c r="BB101" s="313" t="s">
        <v>220</v>
      </c>
      <c r="BC101">
        <v>6.7000000000000004E-2</v>
      </c>
      <c r="BD101" t="s">
        <v>220</v>
      </c>
      <c r="BE101">
        <v>0.192</v>
      </c>
      <c r="BF101" s="2" t="s">
        <v>220</v>
      </c>
      <c r="BH101" s="2" t="s">
        <v>228</v>
      </c>
      <c r="BI101" s="2" t="s">
        <v>229</v>
      </c>
      <c r="BK101" s="2" t="s">
        <v>352</v>
      </c>
      <c r="BL101" s="2" t="s">
        <v>312</v>
      </c>
      <c r="BM101"/>
      <c r="BO101" t="s">
        <v>220</v>
      </c>
      <c r="BP101" s="8" t="s">
        <v>312</v>
      </c>
      <c r="BQ101" t="s">
        <v>222</v>
      </c>
      <c r="BR101" t="s">
        <v>222</v>
      </c>
      <c r="BS101" t="s">
        <v>255</v>
      </c>
      <c r="BU101" t="s">
        <v>231</v>
      </c>
      <c r="BV101" t="s">
        <v>225</v>
      </c>
      <c r="BW101" t="s">
        <v>232</v>
      </c>
      <c r="BX101" t="s">
        <v>256</v>
      </c>
      <c r="BY101" t="s">
        <v>220</v>
      </c>
      <c r="BZ101">
        <v>0.58599999999999997</v>
      </c>
      <c r="CA101" t="s">
        <v>234</v>
      </c>
      <c r="CF101" t="s">
        <v>220</v>
      </c>
      <c r="CG101">
        <v>0.26700000000000002</v>
      </c>
      <c r="CH101" t="s">
        <v>220</v>
      </c>
      <c r="CI101">
        <v>0.25</v>
      </c>
      <c r="CK101" t="s">
        <v>220</v>
      </c>
      <c r="CL101" t="s">
        <v>220</v>
      </c>
      <c r="CM101" t="s">
        <v>231</v>
      </c>
      <c r="CN101" s="2" t="s">
        <v>312</v>
      </c>
      <c r="CP101" t="s">
        <v>220</v>
      </c>
      <c r="CQ101" t="s">
        <v>220</v>
      </c>
      <c r="CR101" t="s">
        <v>220</v>
      </c>
      <c r="CS101" s="8" t="s">
        <v>312</v>
      </c>
      <c r="CW101" t="s">
        <v>220</v>
      </c>
      <c r="CX101" t="s">
        <v>220</v>
      </c>
      <c r="CY101" t="s">
        <v>231</v>
      </c>
      <c r="CZ101" t="s">
        <v>220</v>
      </c>
      <c r="DA101" t="s">
        <v>220</v>
      </c>
      <c r="DB101" t="s">
        <v>220</v>
      </c>
      <c r="DC101" t="s">
        <v>220</v>
      </c>
      <c r="DD101" t="s">
        <v>220</v>
      </c>
      <c r="DE101"/>
      <c r="DF101"/>
      <c r="DG101"/>
      <c r="DH101" s="323"/>
      <c r="DI101" s="323" t="s">
        <v>312</v>
      </c>
      <c r="DJ101" s="323" t="s">
        <v>312</v>
      </c>
      <c r="DL101" t="s">
        <v>220</v>
      </c>
      <c r="DM101" t="s">
        <v>220</v>
      </c>
      <c r="DN101" t="s">
        <v>220</v>
      </c>
      <c r="DO101" t="s">
        <v>227</v>
      </c>
      <c r="DP101" t="s">
        <v>227</v>
      </c>
      <c r="DQ101" s="330" t="s">
        <v>835</v>
      </c>
      <c r="DR101" s="330" t="s">
        <v>835</v>
      </c>
      <c r="DS101" s="309">
        <v>85.293000000000006</v>
      </c>
      <c r="DU101" s="309">
        <v>258.10399999999998</v>
      </c>
      <c r="DW101"/>
      <c r="DX101" t="s">
        <v>235</v>
      </c>
      <c r="DY101"/>
      <c r="DZ101" t="s">
        <v>235</v>
      </c>
      <c r="EA101">
        <v>50</v>
      </c>
      <c r="EB101"/>
      <c r="ED101" s="410">
        <v>750</v>
      </c>
      <c r="EE101" s="1"/>
      <c r="EF101" s="8" t="s">
        <v>259</v>
      </c>
      <c r="EG101" s="410">
        <v>750</v>
      </c>
      <c r="EH101" s="8" t="s">
        <v>259</v>
      </c>
      <c r="EI101" s="410">
        <v>50</v>
      </c>
      <c r="EJ101" s="8" t="s">
        <v>259</v>
      </c>
      <c r="EK101" s="1">
        <v>375</v>
      </c>
      <c r="EL101" s="8" t="s">
        <v>323</v>
      </c>
      <c r="EM101"/>
      <c r="EN101" s="9">
        <v>124.39247040000001</v>
      </c>
      <c r="EQ101" s="344"/>
      <c r="EU101" s="344"/>
      <c r="EW101" s="409"/>
      <c r="EY101" s="1"/>
      <c r="FA101">
        <v>50.6</v>
      </c>
      <c r="FB101"/>
      <c r="FC101" s="7">
        <v>88.674755565404212</v>
      </c>
      <c r="FD101" s="357" t="s">
        <v>236</v>
      </c>
      <c r="FE101" s="8">
        <v>81.846478813479038</v>
      </c>
      <c r="FF101" t="s">
        <v>237</v>
      </c>
      <c r="FH101" s="9">
        <v>99.586392405358936</v>
      </c>
      <c r="FI101" s="9" t="s">
        <v>225</v>
      </c>
      <c r="FK101" t="s">
        <v>235</v>
      </c>
      <c r="FL101">
        <v>62.3</v>
      </c>
      <c r="FM101">
        <v>305.00011282491835</v>
      </c>
      <c r="FN101" s="5" t="s">
        <v>237</v>
      </c>
      <c r="FP101" s="6">
        <v>12.439247040000001</v>
      </c>
      <c r="FQ101" t="s">
        <v>325</v>
      </c>
      <c r="FS101" t="s">
        <v>261</v>
      </c>
      <c r="FU101" s="8">
        <v>1</v>
      </c>
      <c r="FV101" s="8">
        <v>10</v>
      </c>
      <c r="FW101" s="8">
        <v>10</v>
      </c>
      <c r="FX101" s="8">
        <v>10</v>
      </c>
      <c r="FY101" s="8">
        <v>3</v>
      </c>
      <c r="FZ101">
        <f t="shared" si="1"/>
        <v>3000</v>
      </c>
      <c r="GA101" s="7" t="s">
        <v>326</v>
      </c>
      <c r="GB101" s="7" t="s">
        <v>326</v>
      </c>
      <c r="GC101" s="6">
        <v>1.5</v>
      </c>
      <c r="GD101" s="348" t="s">
        <v>242</v>
      </c>
      <c r="GF101" s="6">
        <v>2.0766666666666666E-2</v>
      </c>
      <c r="GH101" s="7"/>
      <c r="GI101" s="441"/>
      <c r="GJ101" s="441"/>
      <c r="GK101" s="441"/>
      <c r="GL101" s="441"/>
      <c r="GM101" s="454"/>
      <c r="GN101" s="441"/>
      <c r="GO101" s="441"/>
      <c r="GP101" s="441"/>
      <c r="GQ101" s="441"/>
      <c r="GR101" s="441"/>
      <c r="GS101" s="441"/>
      <c r="GT101" s="441"/>
      <c r="GU101" s="441"/>
      <c r="GV101" s="441"/>
      <c r="GW101" s="441"/>
      <c r="GX101" s="441"/>
      <c r="GY101" s="441"/>
      <c r="GZ101" s="441"/>
      <c r="HA101" s="441"/>
      <c r="HB101" s="441"/>
      <c r="HC101" s="441"/>
      <c r="HD101" s="441"/>
      <c r="HE101" s="441"/>
      <c r="HF101" s="441"/>
      <c r="HG101" s="441"/>
      <c r="HH101" s="441"/>
      <c r="HI101" s="441"/>
      <c r="HJ101" s="441"/>
      <c r="HK101" s="441"/>
      <c r="HL101" s="441"/>
      <c r="HM101" s="441"/>
      <c r="HN101" s="441"/>
      <c r="HO101" s="441"/>
      <c r="HP101" s="441"/>
      <c r="HQ101" s="441"/>
      <c r="HR101" s="441"/>
      <c r="HS101" s="441"/>
      <c r="HT101" s="441"/>
      <c r="HU101" s="441"/>
      <c r="HV101" s="441"/>
      <c r="HW101" s="441"/>
      <c r="HX101" s="441"/>
      <c r="HY101" s="441"/>
      <c r="HZ101" s="441"/>
      <c r="IA101" s="441"/>
      <c r="IB101" s="441"/>
      <c r="IC101" s="441"/>
      <c r="ID101" s="441"/>
      <c r="IE101" s="441"/>
      <c r="IF101" s="441"/>
      <c r="IH101" t="s">
        <v>235</v>
      </c>
    </row>
    <row r="102" spans="1:242" x14ac:dyDescent="0.35">
      <c r="A102" s="310" t="s">
        <v>836</v>
      </c>
      <c r="B102" s="313" t="s">
        <v>837</v>
      </c>
      <c r="C102" s="310" t="s">
        <v>838</v>
      </c>
      <c r="D102" s="316"/>
      <c r="F102" t="s">
        <v>839</v>
      </c>
      <c r="I102" s="310" t="s">
        <v>840</v>
      </c>
      <c r="M102" s="313" t="s">
        <v>220</v>
      </c>
      <c r="O102" t="s">
        <v>221</v>
      </c>
      <c r="P102" s="381"/>
      <c r="Q102" t="s">
        <v>221</v>
      </c>
      <c r="T102" s="8"/>
      <c r="U102" t="s">
        <v>221</v>
      </c>
      <c r="V102" s="313"/>
      <c r="W102" t="s">
        <v>220</v>
      </c>
      <c r="X102" t="s">
        <v>220</v>
      </c>
      <c r="Z102" t="s">
        <v>220</v>
      </c>
      <c r="AB102"/>
      <c r="AD102" s="8" t="s">
        <v>222</v>
      </c>
      <c r="AF102" s="8" t="s">
        <v>230</v>
      </c>
      <c r="AG102"/>
      <c r="AH102"/>
      <c r="AI102"/>
      <c r="AJ102" t="s">
        <v>221</v>
      </c>
      <c r="AK102">
        <v>0</v>
      </c>
      <c r="AL102">
        <v>1</v>
      </c>
      <c r="AM102" t="s">
        <v>221</v>
      </c>
      <c r="AN102" t="s">
        <v>249</v>
      </c>
      <c r="AO102" t="s">
        <v>221</v>
      </c>
      <c r="AP102"/>
      <c r="AQ102" t="s">
        <v>221</v>
      </c>
      <c r="AR102" t="s">
        <v>225</v>
      </c>
      <c r="AS102" t="s">
        <v>221</v>
      </c>
      <c r="AT102"/>
      <c r="AU102" t="s">
        <v>220</v>
      </c>
      <c r="AV102"/>
      <c r="AW102" s="313" t="s">
        <v>220</v>
      </c>
      <c r="AX102" t="s">
        <v>226</v>
      </c>
      <c r="AY102" s="313" t="s">
        <v>220</v>
      </c>
      <c r="AZ102" s="313">
        <v>0.151</v>
      </c>
      <c r="BB102" s="313" t="s">
        <v>220</v>
      </c>
      <c r="BC102">
        <v>7.1300000000000002E-2</v>
      </c>
      <c r="BD102" t="s">
        <v>220</v>
      </c>
      <c r="BE102">
        <v>1.9599999999999999E-3</v>
      </c>
      <c r="BF102" s="2" t="s">
        <v>220</v>
      </c>
      <c r="BH102" s="2" t="s">
        <v>228</v>
      </c>
      <c r="BI102" s="2" t="s">
        <v>457</v>
      </c>
      <c r="BM102"/>
      <c r="BP102" s="8"/>
      <c r="BQ102" t="s">
        <v>230</v>
      </c>
      <c r="BR102" t="s">
        <v>230</v>
      </c>
      <c r="BU102" t="s">
        <v>317</v>
      </c>
      <c r="BV102" t="s">
        <v>236</v>
      </c>
      <c r="BW102" t="s">
        <v>293</v>
      </c>
      <c r="BX102" t="s">
        <v>458</v>
      </c>
      <c r="BY102" t="s">
        <v>220</v>
      </c>
      <c r="BZ102">
        <v>0.34100000000000003</v>
      </c>
      <c r="CA102" t="s">
        <v>372</v>
      </c>
      <c r="CF102" t="s">
        <v>220</v>
      </c>
      <c r="CG102">
        <v>0.27200000000000002</v>
      </c>
      <c r="CH102" t="s">
        <v>220</v>
      </c>
      <c r="CI102">
        <v>0.41099999999999998</v>
      </c>
      <c r="CK102"/>
      <c r="CL102"/>
      <c r="CM102"/>
      <c r="CS102" s="8"/>
      <c r="CW102" t="s">
        <v>257</v>
      </c>
      <c r="CX102" t="s">
        <v>257</v>
      </c>
      <c r="CY102" t="s">
        <v>231</v>
      </c>
      <c r="CZ102" t="s">
        <v>220</v>
      </c>
      <c r="DA102" t="s">
        <v>220</v>
      </c>
      <c r="DB102" t="s">
        <v>227</v>
      </c>
      <c r="DC102"/>
      <c r="DD102"/>
      <c r="DE102"/>
      <c r="DF102"/>
      <c r="DG102"/>
      <c r="DH102" s="323"/>
      <c r="DI102" s="323"/>
      <c r="DJ102" s="323"/>
      <c r="DL102" t="s">
        <v>257</v>
      </c>
      <c r="DM102" t="s">
        <v>220</v>
      </c>
      <c r="DN102" t="s">
        <v>227</v>
      </c>
      <c r="DO102" t="s">
        <v>257</v>
      </c>
      <c r="DP102" t="s">
        <v>257</v>
      </c>
      <c r="DS102" s="309">
        <v>58.694000000000003</v>
      </c>
      <c r="DU102" s="309">
        <v>1246.518</v>
      </c>
      <c r="DW102">
        <v>156</v>
      </c>
      <c r="DX102" t="s">
        <v>238</v>
      </c>
      <c r="DY102">
        <v>265</v>
      </c>
      <c r="DZ102" t="s">
        <v>238</v>
      </c>
      <c r="EA102"/>
      <c r="EB102">
        <v>2.4769999999999999</v>
      </c>
      <c r="ED102" s="410">
        <v>100</v>
      </c>
      <c r="EE102" s="1"/>
      <c r="EF102" s="8" t="s">
        <v>324</v>
      </c>
      <c r="EG102" s="410">
        <v>100</v>
      </c>
      <c r="EH102" s="8" t="s">
        <v>324</v>
      </c>
      <c r="EI102" s="410"/>
      <c r="EK102" s="1">
        <v>300</v>
      </c>
      <c r="EL102" s="8" t="s">
        <v>324</v>
      </c>
      <c r="EM102">
        <v>2.4769999999999999</v>
      </c>
      <c r="EQ102" s="344"/>
      <c r="EU102" s="344"/>
      <c r="EW102" s="409"/>
      <c r="EY102" s="1"/>
      <c r="FA102">
        <v>347.81</v>
      </c>
      <c r="FB102" t="s">
        <v>225</v>
      </c>
      <c r="FC102" s="7">
        <v>100</v>
      </c>
      <c r="FD102" s="357"/>
      <c r="FE102" s="8">
        <v>487.97772728648619</v>
      </c>
      <c r="FF102" t="s">
        <v>237</v>
      </c>
      <c r="FH102" s="9">
        <v>299.9162518987651</v>
      </c>
      <c r="FI102" s="9" t="s">
        <v>249</v>
      </c>
      <c r="FJ102">
        <v>288</v>
      </c>
      <c r="FK102" t="s">
        <v>238</v>
      </c>
      <c r="FL102">
        <v>1600</v>
      </c>
      <c r="FM102">
        <v>2495.1691947416007</v>
      </c>
      <c r="FN102" s="5" t="s">
        <v>237</v>
      </c>
      <c r="FP102" s="6">
        <v>100</v>
      </c>
      <c r="FQ102" t="s">
        <v>382</v>
      </c>
      <c r="FS102" t="s">
        <v>261</v>
      </c>
      <c r="FU102" s="8">
        <v>1</v>
      </c>
      <c r="FV102" s="8">
        <v>10</v>
      </c>
      <c r="FW102" s="8">
        <v>10</v>
      </c>
      <c r="FX102" s="8">
        <v>1</v>
      </c>
      <c r="FY102" s="8">
        <v>3</v>
      </c>
      <c r="FZ102">
        <f t="shared" si="1"/>
        <v>300</v>
      </c>
      <c r="GA102" s="7" t="s">
        <v>241</v>
      </c>
      <c r="GB102" s="7" t="s">
        <v>241</v>
      </c>
      <c r="GC102" s="6">
        <v>30</v>
      </c>
      <c r="GD102" s="348" t="s">
        <v>242</v>
      </c>
      <c r="GE102" s="6">
        <v>1</v>
      </c>
      <c r="GF102" s="6">
        <v>4.9986041983127512E-2</v>
      </c>
      <c r="GH102" s="7"/>
      <c r="GI102" s="441"/>
      <c r="GJ102" s="441"/>
      <c r="GK102" s="441"/>
      <c r="GL102" s="441"/>
      <c r="GM102" s="454"/>
      <c r="GN102" s="441"/>
      <c r="GO102" s="441"/>
      <c r="GP102" s="441"/>
      <c r="GQ102" s="441"/>
      <c r="GR102" s="441"/>
      <c r="GS102" s="441"/>
      <c r="GT102" s="441"/>
      <c r="GU102" s="441"/>
      <c r="GV102" s="441"/>
      <c r="GW102" s="441"/>
      <c r="GX102" s="441"/>
      <c r="GY102" s="441"/>
      <c r="GZ102" s="441"/>
      <c r="HA102" s="441"/>
      <c r="HB102" s="441"/>
      <c r="HC102" s="441"/>
      <c r="HD102" s="441"/>
      <c r="HE102" s="441"/>
      <c r="HF102" s="441"/>
      <c r="HG102" s="441"/>
      <c r="HH102" s="441"/>
      <c r="HI102" s="441"/>
      <c r="HJ102" s="441"/>
      <c r="HK102" s="441"/>
      <c r="HL102" s="441"/>
      <c r="HM102" s="441"/>
      <c r="HN102" s="441"/>
      <c r="HO102" s="441"/>
      <c r="HP102" s="441"/>
      <c r="HQ102" s="441"/>
      <c r="HR102" s="441"/>
      <c r="HS102" s="441"/>
      <c r="HT102" s="441"/>
      <c r="HU102" s="441"/>
      <c r="HV102" s="441"/>
      <c r="HW102" s="441"/>
      <c r="HX102" s="441"/>
      <c r="HY102" s="441"/>
      <c r="HZ102" s="441"/>
      <c r="IA102" s="441"/>
      <c r="IB102" s="441"/>
      <c r="IC102" s="441"/>
      <c r="ID102" s="441"/>
      <c r="IE102" s="441"/>
      <c r="IF102" s="441"/>
      <c r="IH102" t="s">
        <v>235</v>
      </c>
    </row>
    <row r="103" spans="1:242" x14ac:dyDescent="0.35">
      <c r="A103" s="310" t="s">
        <v>841</v>
      </c>
      <c r="B103" s="313" t="s">
        <v>842</v>
      </c>
      <c r="C103" s="310" t="s">
        <v>843</v>
      </c>
      <c r="D103" s="316"/>
      <c r="F103" t="s">
        <v>844</v>
      </c>
      <c r="I103" s="310" t="s">
        <v>845</v>
      </c>
      <c r="M103" s="313"/>
      <c r="O103" t="s">
        <v>221</v>
      </c>
      <c r="P103" s="381"/>
      <c r="Q103" t="s">
        <v>221</v>
      </c>
      <c r="S103" t="s">
        <v>221</v>
      </c>
      <c r="T103" s="8"/>
      <c r="U103" t="s">
        <v>221</v>
      </c>
      <c r="V103" s="313"/>
      <c r="W103" t="s">
        <v>220</v>
      </c>
      <c r="X103" t="s">
        <v>220</v>
      </c>
      <c r="Z103" t="s">
        <v>220</v>
      </c>
      <c r="AB103"/>
      <c r="AD103" s="8" t="s">
        <v>222</v>
      </c>
      <c r="AF103" s="8" t="s">
        <v>222</v>
      </c>
      <c r="AG103"/>
      <c r="AH103"/>
      <c r="AI103"/>
      <c r="AJ103" t="s">
        <v>221</v>
      </c>
      <c r="AK103">
        <v>0</v>
      </c>
      <c r="AL103">
        <v>1</v>
      </c>
      <c r="AM103" t="s">
        <v>221</v>
      </c>
      <c r="AN103" t="s">
        <v>249</v>
      </c>
      <c r="AO103" t="s">
        <v>221</v>
      </c>
      <c r="AP103"/>
      <c r="AQ103" t="s">
        <v>221</v>
      </c>
      <c r="AR103"/>
      <c r="AS103" t="s">
        <v>221</v>
      </c>
      <c r="AT103"/>
      <c r="AU103" t="s">
        <v>220</v>
      </c>
      <c r="AV103"/>
      <c r="AW103" s="313" t="s">
        <v>220</v>
      </c>
      <c r="AX103" t="s">
        <v>226</v>
      </c>
      <c r="AY103" s="313" t="s">
        <v>220</v>
      </c>
      <c r="AZ103" s="313">
        <v>0.30599999999999999</v>
      </c>
      <c r="BB103" s="313" t="s">
        <v>220</v>
      </c>
      <c r="BC103">
        <v>0.18099999999999999</v>
      </c>
      <c r="BD103" t="s">
        <v>220</v>
      </c>
      <c r="BE103">
        <v>0.307</v>
      </c>
      <c r="BF103" s="2" t="s">
        <v>220</v>
      </c>
      <c r="BH103" s="2" t="s">
        <v>228</v>
      </c>
      <c r="BI103" s="2" t="s">
        <v>229</v>
      </c>
      <c r="BM103"/>
      <c r="BP103" s="8"/>
      <c r="BQ103" t="s">
        <v>230</v>
      </c>
      <c r="BR103" t="s">
        <v>230</v>
      </c>
      <c r="BS103" t="s">
        <v>255</v>
      </c>
      <c r="BU103" t="s">
        <v>293</v>
      </c>
      <c r="BV103" t="s">
        <v>236</v>
      </c>
      <c r="BW103" t="s">
        <v>232</v>
      </c>
      <c r="BX103" t="s">
        <v>256</v>
      </c>
      <c r="BY103" t="s">
        <v>227</v>
      </c>
      <c r="BZ103">
        <v>0.66600000000000004</v>
      </c>
      <c r="CA103" t="s">
        <v>372</v>
      </c>
      <c r="CF103" t="s">
        <v>227</v>
      </c>
      <c r="CG103">
        <v>0.56200000000000006</v>
      </c>
      <c r="CH103" t="s">
        <v>257</v>
      </c>
      <c r="CI103">
        <v>0.64100000000000001</v>
      </c>
      <c r="CK103" t="s">
        <v>220</v>
      </c>
      <c r="CL103"/>
      <c r="CM103" t="s">
        <v>231</v>
      </c>
      <c r="CS103" s="8"/>
      <c r="CW103" t="s">
        <v>220</v>
      </c>
      <c r="CX103" t="s">
        <v>257</v>
      </c>
      <c r="CY103" t="s">
        <v>231</v>
      </c>
      <c r="CZ103" t="s">
        <v>227</v>
      </c>
      <c r="DA103" t="s">
        <v>227</v>
      </c>
      <c r="DB103" t="s">
        <v>227</v>
      </c>
      <c r="DC103" t="s">
        <v>220</v>
      </c>
      <c r="DD103" t="s">
        <v>220</v>
      </c>
      <c r="DE103"/>
      <c r="DF103"/>
      <c r="DG103"/>
      <c r="DH103" s="323"/>
      <c r="DI103" s="323"/>
      <c r="DJ103" s="323"/>
      <c r="DL103" t="s">
        <v>220</v>
      </c>
      <c r="DM103" t="s">
        <v>220</v>
      </c>
      <c r="DN103" t="s">
        <v>227</v>
      </c>
      <c r="DO103" t="s">
        <v>227</v>
      </c>
      <c r="DP103" t="s">
        <v>227</v>
      </c>
      <c r="DQ103" s="331" t="s">
        <v>835</v>
      </c>
      <c r="DR103" s="331" t="s">
        <v>835</v>
      </c>
      <c r="DS103" s="309">
        <v>66.981999999999999</v>
      </c>
      <c r="DU103" s="309">
        <v>605.75400000000002</v>
      </c>
      <c r="DW103"/>
      <c r="DX103" t="s">
        <v>235</v>
      </c>
      <c r="DY103"/>
      <c r="DZ103" t="s">
        <v>235</v>
      </c>
      <c r="EA103"/>
      <c r="EB103"/>
      <c r="ED103" s="410"/>
      <c r="EE103" s="1"/>
      <c r="EG103" s="410"/>
      <c r="EI103" s="410"/>
      <c r="EK103" s="1"/>
      <c r="EM103"/>
      <c r="EQ103" s="344"/>
      <c r="EU103" s="344"/>
      <c r="EW103" s="381">
        <v>150</v>
      </c>
      <c r="EX103" s="8" t="s">
        <v>259</v>
      </c>
      <c r="EY103" s="1"/>
      <c r="FA103">
        <v>110.08</v>
      </c>
      <c r="FB103" t="s">
        <v>225</v>
      </c>
      <c r="FC103" s="7">
        <v>123.31048332289105</v>
      </c>
      <c r="FD103" s="357" t="s">
        <v>225</v>
      </c>
      <c r="FE103" s="8">
        <v>262.30103243087689</v>
      </c>
      <c r="FF103" t="s">
        <v>237</v>
      </c>
      <c r="FH103" s="9">
        <v>63.401568195658406</v>
      </c>
      <c r="FI103" s="9" t="s">
        <v>225</v>
      </c>
      <c r="FK103" t="s">
        <v>235</v>
      </c>
      <c r="FL103">
        <v>124</v>
      </c>
      <c r="FM103">
        <v>489.6660566104029</v>
      </c>
      <c r="FN103" s="5" t="s">
        <v>237</v>
      </c>
      <c r="FP103" s="6">
        <v>7.5</v>
      </c>
      <c r="FQ103" t="s">
        <v>353</v>
      </c>
      <c r="FS103" t="s">
        <v>261</v>
      </c>
      <c r="FU103" s="8">
        <v>2</v>
      </c>
      <c r="FV103" s="8">
        <v>10</v>
      </c>
      <c r="FW103" s="8">
        <v>10</v>
      </c>
      <c r="FX103" s="8">
        <v>10</v>
      </c>
      <c r="FY103" s="8">
        <v>3</v>
      </c>
      <c r="FZ103">
        <f t="shared" si="1"/>
        <v>6000</v>
      </c>
      <c r="GA103" s="7" t="s">
        <v>326</v>
      </c>
      <c r="GB103" s="7" t="s">
        <v>326</v>
      </c>
      <c r="GC103" s="6">
        <v>1.5</v>
      </c>
      <c r="GD103" s="348" t="s">
        <v>242</v>
      </c>
      <c r="GF103" s="6">
        <v>2.5000000000000001E-2</v>
      </c>
      <c r="GH103" s="7"/>
      <c r="GI103" s="441"/>
      <c r="GJ103" s="441"/>
      <c r="GK103" s="441"/>
      <c r="GL103" s="441"/>
      <c r="GM103" s="454"/>
      <c r="GN103" s="441"/>
      <c r="GO103" s="441"/>
      <c r="GP103" s="441"/>
      <c r="GQ103" s="441"/>
      <c r="GR103" s="441"/>
      <c r="GS103" s="441"/>
      <c r="GT103" s="441"/>
      <c r="GU103" s="441"/>
      <c r="GV103" s="441"/>
      <c r="GW103" s="441"/>
      <c r="GX103" s="441"/>
      <c r="GY103" s="441"/>
      <c r="GZ103" s="441"/>
      <c r="HA103" s="441"/>
      <c r="HB103" s="441"/>
      <c r="HC103" s="441"/>
      <c r="HD103" s="441"/>
      <c r="HE103" s="441"/>
      <c r="HF103" s="441"/>
      <c r="HG103" s="441"/>
      <c r="HH103" s="441"/>
      <c r="HI103" s="441"/>
      <c r="HJ103" s="441"/>
      <c r="HK103" s="441"/>
      <c r="HL103" s="441"/>
      <c r="HM103" s="441"/>
      <c r="HN103" s="441"/>
      <c r="HO103" s="441"/>
      <c r="HP103" s="441"/>
      <c r="HQ103" s="441"/>
      <c r="HR103" s="441"/>
      <c r="HS103" s="441"/>
      <c r="HT103" s="441"/>
      <c r="HU103" s="441"/>
      <c r="HV103" s="441"/>
      <c r="HW103" s="441"/>
      <c r="HX103" s="441"/>
      <c r="HY103" s="441"/>
      <c r="HZ103" s="441"/>
      <c r="IA103" s="441"/>
      <c r="IB103" s="441"/>
      <c r="IC103" s="441"/>
      <c r="ID103" s="441"/>
      <c r="IE103" s="441"/>
      <c r="IF103" s="441"/>
      <c r="IH103" t="s">
        <v>235</v>
      </c>
    </row>
    <row r="104" spans="1:242" x14ac:dyDescent="0.35">
      <c r="A104" s="310" t="s">
        <v>846</v>
      </c>
      <c r="B104" s="313" t="s">
        <v>847</v>
      </c>
      <c r="C104" s="310" t="s">
        <v>848</v>
      </c>
      <c r="D104" s="316"/>
      <c r="F104" t="s">
        <v>849</v>
      </c>
      <c r="I104" s="310" t="s">
        <v>850</v>
      </c>
      <c r="M104" s="313"/>
      <c r="O104" t="s">
        <v>221</v>
      </c>
      <c r="P104" s="381"/>
      <c r="Q104" t="s">
        <v>221</v>
      </c>
      <c r="T104" s="8"/>
      <c r="U104" t="s">
        <v>221</v>
      </c>
      <c r="V104" s="313"/>
      <c r="W104" t="s">
        <v>220</v>
      </c>
      <c r="X104" t="s">
        <v>220</v>
      </c>
      <c r="Z104" t="s">
        <v>220</v>
      </c>
      <c r="AB104"/>
      <c r="AD104" s="8" t="s">
        <v>222</v>
      </c>
      <c r="AF104" s="8" t="s">
        <v>222</v>
      </c>
      <c r="AG104"/>
      <c r="AH104"/>
      <c r="AI104"/>
      <c r="AJ104" t="s">
        <v>221</v>
      </c>
      <c r="AK104">
        <v>0</v>
      </c>
      <c r="AL104">
        <v>1</v>
      </c>
      <c r="AM104" t="s">
        <v>221</v>
      </c>
      <c r="AN104" t="s">
        <v>249</v>
      </c>
      <c r="AO104" t="s">
        <v>221</v>
      </c>
      <c r="AP104"/>
      <c r="AQ104" t="s">
        <v>221</v>
      </c>
      <c r="AR104" t="s">
        <v>223</v>
      </c>
      <c r="AS104" t="s">
        <v>221</v>
      </c>
      <c r="AT104"/>
      <c r="AU104" t="s">
        <v>220</v>
      </c>
      <c r="AV104"/>
      <c r="AW104" s="313" t="s">
        <v>220</v>
      </c>
      <c r="AX104" t="s">
        <v>226</v>
      </c>
      <c r="AY104" s="313" t="s">
        <v>220</v>
      </c>
      <c r="AZ104" s="313">
        <v>0.12</v>
      </c>
      <c r="BB104" s="313" t="s">
        <v>220</v>
      </c>
      <c r="BC104">
        <v>5.5500000000000001E-2</v>
      </c>
      <c r="BD104" t="s">
        <v>220</v>
      </c>
      <c r="BE104">
        <v>8.5400000000000004E-2</v>
      </c>
      <c r="BF104" s="2" t="s">
        <v>220</v>
      </c>
      <c r="BH104" s="2" t="s">
        <v>228</v>
      </c>
      <c r="BI104" s="2" t="s">
        <v>229</v>
      </c>
      <c r="BM104"/>
      <c r="BP104" s="8"/>
      <c r="BQ104" t="s">
        <v>230</v>
      </c>
      <c r="BR104" t="s">
        <v>230</v>
      </c>
      <c r="BU104" t="s">
        <v>231</v>
      </c>
      <c r="BV104" t="s">
        <v>225</v>
      </c>
      <c r="BW104" t="s">
        <v>232</v>
      </c>
      <c r="BX104" t="s">
        <v>284</v>
      </c>
      <c r="BY104" t="s">
        <v>220</v>
      </c>
      <c r="BZ104">
        <v>0.42599999999999999</v>
      </c>
      <c r="CA104" t="s">
        <v>372</v>
      </c>
      <c r="CF104" t="s">
        <v>220</v>
      </c>
      <c r="CG104">
        <v>0.13</v>
      </c>
      <c r="CH104" t="s">
        <v>220</v>
      </c>
      <c r="CI104">
        <v>0.14699999999999999</v>
      </c>
      <c r="CK104"/>
      <c r="CL104"/>
      <c r="CM104"/>
      <c r="CS104" s="8"/>
      <c r="CW104" t="s">
        <v>220</v>
      </c>
      <c r="CX104" t="s">
        <v>220</v>
      </c>
      <c r="CY104" t="s">
        <v>231</v>
      </c>
      <c r="CZ104" t="s">
        <v>257</v>
      </c>
      <c r="DA104" t="s">
        <v>257</v>
      </c>
      <c r="DB104" t="s">
        <v>227</v>
      </c>
      <c r="DC104"/>
      <c r="DD104"/>
      <c r="DE104"/>
      <c r="DF104"/>
      <c r="DG104"/>
      <c r="DH104" s="323"/>
      <c r="DI104" s="323"/>
      <c r="DJ104" s="323"/>
      <c r="DL104" t="s">
        <v>220</v>
      </c>
      <c r="DM104" t="s">
        <v>220</v>
      </c>
      <c r="DN104" t="s">
        <v>227</v>
      </c>
      <c r="DO104" t="s">
        <v>257</v>
      </c>
      <c r="DP104" t="s">
        <v>257</v>
      </c>
      <c r="DS104" s="309">
        <v>112.44799999999999</v>
      </c>
      <c r="DU104" s="309">
        <v>355.06400000000002</v>
      </c>
      <c r="DW104">
        <v>966</v>
      </c>
      <c r="DX104" t="s">
        <v>238</v>
      </c>
      <c r="DY104">
        <v>918</v>
      </c>
      <c r="DZ104" t="s">
        <v>238</v>
      </c>
      <c r="EA104"/>
      <c r="EB104"/>
      <c r="ED104" s="410"/>
      <c r="EE104" s="1"/>
      <c r="EG104" s="410"/>
      <c r="EI104" s="410"/>
      <c r="EK104" s="1">
        <v>363</v>
      </c>
      <c r="EL104" s="8" t="s">
        <v>323</v>
      </c>
      <c r="EM104"/>
      <c r="EQ104" s="344"/>
      <c r="EU104" s="344"/>
      <c r="EW104" s="409"/>
      <c r="EY104" s="1"/>
      <c r="FA104">
        <v>38.07</v>
      </c>
      <c r="FB104" t="s">
        <v>223</v>
      </c>
      <c r="FC104" s="7">
        <v>125.66085200763324</v>
      </c>
      <c r="FD104" s="357" t="s">
        <v>223</v>
      </c>
      <c r="FE104" s="8">
        <v>113.4488244211166</v>
      </c>
      <c r="FF104" t="s">
        <v>237</v>
      </c>
      <c r="FH104" s="9">
        <v>314.70236017056624</v>
      </c>
      <c r="FI104" s="9" t="s">
        <v>223</v>
      </c>
      <c r="FJ104">
        <v>837</v>
      </c>
      <c r="FK104" t="s">
        <v>238</v>
      </c>
      <c r="FL104">
        <v>166</v>
      </c>
      <c r="FM104">
        <v>248.77114210033102</v>
      </c>
      <c r="FN104" s="5" t="s">
        <v>237</v>
      </c>
      <c r="FP104" s="6">
        <v>363</v>
      </c>
      <c r="FQ104" t="s">
        <v>260</v>
      </c>
      <c r="FS104" t="s">
        <v>261</v>
      </c>
      <c r="FU104" s="8">
        <v>1</v>
      </c>
      <c r="FV104" s="8">
        <v>10</v>
      </c>
      <c r="FW104" s="8">
        <v>10</v>
      </c>
      <c r="FX104" s="8">
        <v>1</v>
      </c>
      <c r="FY104" s="8">
        <v>1</v>
      </c>
      <c r="FZ104">
        <f t="shared" si="1"/>
        <v>100</v>
      </c>
      <c r="GA104" s="7" t="s">
        <v>241</v>
      </c>
      <c r="GB104" s="7" t="s">
        <v>241</v>
      </c>
      <c r="GC104" s="6">
        <v>30</v>
      </c>
      <c r="GD104" s="348" t="s">
        <v>242</v>
      </c>
      <c r="GF104" s="6">
        <v>0.15735118008528301</v>
      </c>
      <c r="GH104" s="7"/>
      <c r="GI104" s="441">
        <v>24.2</v>
      </c>
      <c r="GJ104" s="441">
        <v>45.375</v>
      </c>
      <c r="GK104" s="441">
        <v>72.599999999999994</v>
      </c>
      <c r="GL104" s="441">
        <v>181.5</v>
      </c>
      <c r="GM104" s="452" t="s">
        <v>262</v>
      </c>
      <c r="GN104" s="6">
        <v>0.2</v>
      </c>
      <c r="GO104" s="6">
        <v>0.375</v>
      </c>
      <c r="GP104" s="6">
        <v>0.6</v>
      </c>
      <c r="GQ104" s="6">
        <v>1.5</v>
      </c>
      <c r="GR104" s="6" t="s">
        <v>230</v>
      </c>
      <c r="GU104" t="s">
        <v>243</v>
      </c>
      <c r="GV104" t="s">
        <v>236</v>
      </c>
      <c r="GW104" t="s">
        <v>359</v>
      </c>
      <c r="GX104" t="s">
        <v>223</v>
      </c>
      <c r="GY104" t="s">
        <v>851</v>
      </c>
      <c r="HA104" t="s">
        <v>317</v>
      </c>
      <c r="HB104" t="s">
        <v>376</v>
      </c>
      <c r="HE104" t="s">
        <v>384</v>
      </c>
      <c r="HF104" t="s">
        <v>223</v>
      </c>
      <c r="HG104" t="s">
        <v>317</v>
      </c>
      <c r="HH104" t="s">
        <v>249</v>
      </c>
      <c r="HI104" t="s">
        <v>247</v>
      </c>
      <c r="HJ104" t="s">
        <v>249</v>
      </c>
      <c r="HK104" t="s">
        <v>248</v>
      </c>
      <c r="HL104" t="s">
        <v>231</v>
      </c>
      <c r="HM104" t="s">
        <v>231</v>
      </c>
      <c r="HO104" t="s">
        <v>231</v>
      </c>
      <c r="HP104" t="s">
        <v>249</v>
      </c>
      <c r="HQ104" t="s">
        <v>231</v>
      </c>
      <c r="HR104" t="s">
        <v>249</v>
      </c>
      <c r="HS104" t="s">
        <v>231</v>
      </c>
      <c r="HU104" t="s">
        <v>231</v>
      </c>
      <c r="HV104" t="s">
        <v>249</v>
      </c>
      <c r="HW104" t="s">
        <v>246</v>
      </c>
      <c r="HX104" t="s">
        <v>236</v>
      </c>
      <c r="IA104" t="s">
        <v>317</v>
      </c>
      <c r="IB104" t="s">
        <v>250</v>
      </c>
      <c r="IC104">
        <v>24.2</v>
      </c>
      <c r="ID104">
        <v>45.375</v>
      </c>
      <c r="IE104">
        <v>72.599999999999994</v>
      </c>
      <c r="IF104">
        <v>181.5</v>
      </c>
      <c r="IH104" t="s">
        <v>267</v>
      </c>
    </row>
    <row r="105" spans="1:242" ht="72.5" x14ac:dyDescent="0.35">
      <c r="A105" s="310" t="s">
        <v>852</v>
      </c>
      <c r="B105" s="313" t="s">
        <v>853</v>
      </c>
      <c r="C105" s="310" t="s">
        <v>854</v>
      </c>
      <c r="D105" s="316"/>
      <c r="F105" t="s">
        <v>855</v>
      </c>
      <c r="I105" s="310" t="s">
        <v>856</v>
      </c>
      <c r="J105" t="s">
        <v>857</v>
      </c>
      <c r="K105" t="s">
        <v>391</v>
      </c>
      <c r="L105" t="s">
        <v>481</v>
      </c>
      <c r="M105" s="313"/>
      <c r="O105"/>
      <c r="P105" s="381"/>
      <c r="Q105"/>
      <c r="T105" s="8"/>
      <c r="U105"/>
      <c r="V105" s="313"/>
      <c r="W105"/>
      <c r="X105"/>
      <c r="Z105"/>
      <c r="AB105"/>
      <c r="AD105" s="8" t="s">
        <v>230</v>
      </c>
      <c r="AF105" s="8" t="s">
        <v>230</v>
      </c>
      <c r="AG105"/>
      <c r="AH105"/>
      <c r="AI105"/>
      <c r="AJ105" t="s">
        <v>221</v>
      </c>
      <c r="AK105">
        <v>0.05</v>
      </c>
      <c r="AL105">
        <v>0.35</v>
      </c>
      <c r="AM105" t="s">
        <v>221</v>
      </c>
      <c r="AN105" t="s">
        <v>236</v>
      </c>
      <c r="AO105" t="s">
        <v>221</v>
      </c>
      <c r="AP105" t="s">
        <v>225</v>
      </c>
      <c r="AQ105" t="s">
        <v>414</v>
      </c>
      <c r="AR105" t="s">
        <v>236</v>
      </c>
      <c r="AS105" t="s">
        <v>221</v>
      </c>
      <c r="AT105" t="s">
        <v>225</v>
      </c>
      <c r="AU105" t="s">
        <v>220</v>
      </c>
      <c r="AV105"/>
      <c r="AW105" s="313" t="s">
        <v>220</v>
      </c>
      <c r="AX105" t="s">
        <v>226</v>
      </c>
      <c r="AY105" s="313" t="s">
        <v>220</v>
      </c>
      <c r="AZ105" s="313">
        <v>9.3600000000000003E-2</v>
      </c>
      <c r="BB105" s="313" t="s">
        <v>220</v>
      </c>
      <c r="BC105">
        <v>3.78E-2</v>
      </c>
      <c r="BD105" t="s">
        <v>220</v>
      </c>
      <c r="BE105">
        <v>0.27300000000000002</v>
      </c>
      <c r="BF105" s="2" t="s">
        <v>220</v>
      </c>
      <c r="BG105" s="2" t="s">
        <v>653</v>
      </c>
      <c r="BH105" s="2" t="s">
        <v>274</v>
      </c>
      <c r="BI105" s="2" t="s">
        <v>275</v>
      </c>
      <c r="BJ105" s="3" t="s">
        <v>858</v>
      </c>
      <c r="BM105"/>
      <c r="BP105" s="8"/>
      <c r="BQ105" t="s">
        <v>230</v>
      </c>
      <c r="BR105" t="s">
        <v>230</v>
      </c>
      <c r="BU105" t="s">
        <v>317</v>
      </c>
      <c r="BV105" t="s">
        <v>225</v>
      </c>
      <c r="BW105" t="s">
        <v>232</v>
      </c>
      <c r="BX105" t="s">
        <v>276</v>
      </c>
      <c r="BY105" t="s">
        <v>220</v>
      </c>
      <c r="BZ105">
        <v>0.373</v>
      </c>
      <c r="CA105" t="s">
        <v>372</v>
      </c>
      <c r="CF105" t="s">
        <v>220</v>
      </c>
      <c r="CG105">
        <v>0.28000000000000003</v>
      </c>
      <c r="CH105" t="s">
        <v>220</v>
      </c>
      <c r="CI105">
        <v>0.27300000000000002</v>
      </c>
      <c r="CK105"/>
      <c r="CL105"/>
      <c r="CM105"/>
      <c r="CS105" s="8"/>
      <c r="CW105" t="s">
        <v>227</v>
      </c>
      <c r="CX105" t="s">
        <v>220</v>
      </c>
      <c r="CY105" t="s">
        <v>231</v>
      </c>
      <c r="CZ105" t="s">
        <v>220</v>
      </c>
      <c r="DA105" t="s">
        <v>220</v>
      </c>
      <c r="DB105" t="s">
        <v>227</v>
      </c>
      <c r="DC105"/>
      <c r="DD105"/>
      <c r="DE105"/>
      <c r="DF105"/>
      <c r="DG105"/>
      <c r="DH105" s="323"/>
      <c r="DI105" s="323"/>
      <c r="DJ105" s="323"/>
      <c r="DL105" t="s">
        <v>257</v>
      </c>
      <c r="DM105" t="s">
        <v>220</v>
      </c>
      <c r="DN105" t="s">
        <v>227</v>
      </c>
      <c r="DO105" t="s">
        <v>227</v>
      </c>
      <c r="DP105" t="s">
        <v>227</v>
      </c>
      <c r="DS105" s="309">
        <v>186.21100000000001</v>
      </c>
      <c r="DU105" s="309">
        <v>325.702</v>
      </c>
      <c r="DW105"/>
      <c r="DX105" t="s">
        <v>235</v>
      </c>
      <c r="DY105"/>
      <c r="DZ105" t="s">
        <v>235</v>
      </c>
      <c r="EA105"/>
      <c r="EB105"/>
      <c r="ED105" s="410"/>
      <c r="EE105" s="1"/>
      <c r="EG105" s="410"/>
      <c r="EI105" s="410"/>
      <c r="EK105" s="1"/>
      <c r="EM105"/>
      <c r="EQ105" s="344"/>
      <c r="EU105" s="344"/>
      <c r="EW105" s="409"/>
      <c r="EY105" s="1"/>
      <c r="FA105">
        <v>52.8</v>
      </c>
      <c r="FB105" t="s">
        <v>225</v>
      </c>
      <c r="FC105" s="7">
        <v>123.02687708123821</v>
      </c>
      <c r="FD105" s="357" t="s">
        <v>225</v>
      </c>
      <c r="FE105" s="8">
        <v>5.3186327077268007</v>
      </c>
      <c r="FF105" t="s">
        <v>237</v>
      </c>
      <c r="FH105" s="9">
        <v>39.865755604057838</v>
      </c>
      <c r="FI105" s="9" t="s">
        <v>225</v>
      </c>
      <c r="FK105" t="s">
        <v>235</v>
      </c>
      <c r="FL105">
        <v>110</v>
      </c>
      <c r="FM105">
        <v>7.3858417812079713</v>
      </c>
      <c r="FN105" s="5" t="s">
        <v>237</v>
      </c>
      <c r="FP105" s="6">
        <v>0.36929208906039857</v>
      </c>
      <c r="FQ105" t="s">
        <v>277</v>
      </c>
      <c r="FS105" t="s">
        <v>240</v>
      </c>
      <c r="FU105" s="8">
        <v>2</v>
      </c>
      <c r="FV105" s="8">
        <v>10</v>
      </c>
      <c r="FW105" s="8">
        <v>10</v>
      </c>
      <c r="FX105" s="8">
        <v>10</v>
      </c>
      <c r="FY105" s="8">
        <v>1</v>
      </c>
      <c r="FZ105">
        <f t="shared" si="1"/>
        <v>2000</v>
      </c>
      <c r="GA105" s="7" t="s">
        <v>326</v>
      </c>
      <c r="GB105" s="7" t="s">
        <v>326</v>
      </c>
      <c r="GC105" s="6">
        <v>1.5</v>
      </c>
      <c r="GD105" s="348" t="s">
        <v>242</v>
      </c>
      <c r="GF105" s="6">
        <v>8.864387846211335E-3</v>
      </c>
      <c r="GH105" s="7"/>
      <c r="GI105">
        <v>0.18</v>
      </c>
      <c r="GJ105">
        <v>0.33</v>
      </c>
      <c r="GK105">
        <v>0.53</v>
      </c>
      <c r="GL105">
        <v>1.32</v>
      </c>
      <c r="GM105" s="452" t="s">
        <v>859</v>
      </c>
      <c r="GN105" s="6">
        <v>0.01</v>
      </c>
      <c r="GO105" s="6">
        <v>1.8749999999999999E-2</v>
      </c>
      <c r="GP105" s="6">
        <v>0.03</v>
      </c>
      <c r="GQ105" s="6">
        <v>7.4999999999999997E-2</v>
      </c>
      <c r="GR105" s="6" t="s">
        <v>230</v>
      </c>
      <c r="GU105" t="s">
        <v>365</v>
      </c>
      <c r="GV105" t="s">
        <v>223</v>
      </c>
      <c r="GW105" t="s">
        <v>244</v>
      </c>
      <c r="GX105" t="s">
        <v>236</v>
      </c>
      <c r="GY105" t="s">
        <v>245</v>
      </c>
      <c r="HE105" t="s">
        <v>384</v>
      </c>
      <c r="HF105" t="s">
        <v>225</v>
      </c>
      <c r="HG105" t="s">
        <v>231</v>
      </c>
      <c r="HH105" t="s">
        <v>225</v>
      </c>
      <c r="HI105" t="s">
        <v>247</v>
      </c>
      <c r="HJ105" t="s">
        <v>225</v>
      </c>
      <c r="HK105" t="s">
        <v>248</v>
      </c>
      <c r="HO105" t="s">
        <v>231</v>
      </c>
      <c r="HP105" t="s">
        <v>223</v>
      </c>
      <c r="HQ105" t="s">
        <v>231</v>
      </c>
      <c r="HR105" t="s">
        <v>223</v>
      </c>
      <c r="HU105" t="s">
        <v>231</v>
      </c>
      <c r="HV105" t="s">
        <v>223</v>
      </c>
      <c r="HW105" t="s">
        <v>563</v>
      </c>
      <c r="HX105" t="s">
        <v>236</v>
      </c>
      <c r="IA105" t="s">
        <v>231</v>
      </c>
      <c r="IB105" t="s">
        <v>250</v>
      </c>
      <c r="IC105">
        <v>0.18</v>
      </c>
      <c r="ID105">
        <v>0.33</v>
      </c>
      <c r="IE105">
        <v>0.53</v>
      </c>
      <c r="IF105">
        <v>1.32</v>
      </c>
      <c r="IH105" t="s">
        <v>267</v>
      </c>
    </row>
    <row r="106" spans="1:242" x14ac:dyDescent="0.35">
      <c r="A106" s="310" t="s">
        <v>860</v>
      </c>
      <c r="B106" s="313" t="s">
        <v>861</v>
      </c>
      <c r="C106" s="310" t="s">
        <v>862</v>
      </c>
      <c r="D106" s="316"/>
      <c r="F106" t="s">
        <v>863</v>
      </c>
      <c r="I106" s="310" t="s">
        <v>864</v>
      </c>
      <c r="M106" s="313"/>
      <c r="O106"/>
      <c r="P106" s="381"/>
      <c r="Q106"/>
      <c r="T106" s="8"/>
      <c r="U106"/>
      <c r="V106" s="313"/>
      <c r="W106" t="s">
        <v>301</v>
      </c>
      <c r="X106"/>
      <c r="Z106"/>
      <c r="AB106"/>
      <c r="AD106" s="8" t="s">
        <v>222</v>
      </c>
      <c r="AF106" s="8" t="s">
        <v>230</v>
      </c>
      <c r="AG106"/>
      <c r="AH106"/>
      <c r="AI106"/>
      <c r="AJ106" t="s">
        <v>221</v>
      </c>
      <c r="AK106">
        <v>0</v>
      </c>
      <c r="AL106">
        <v>0.9</v>
      </c>
      <c r="AM106" t="s">
        <v>221</v>
      </c>
      <c r="AN106" t="s">
        <v>223</v>
      </c>
      <c r="AO106" t="s">
        <v>221</v>
      </c>
      <c r="AP106" t="s">
        <v>223</v>
      </c>
      <c r="AQ106" t="s">
        <v>221</v>
      </c>
      <c r="AR106" t="s">
        <v>223</v>
      </c>
      <c r="AS106" t="s">
        <v>221</v>
      </c>
      <c r="AT106" t="s">
        <v>223</v>
      </c>
      <c r="AU106" t="s">
        <v>220</v>
      </c>
      <c r="AV106"/>
      <c r="AW106" s="313" t="s">
        <v>220</v>
      </c>
      <c r="AX106" t="s">
        <v>226</v>
      </c>
      <c r="AY106" s="313" t="s">
        <v>220</v>
      </c>
      <c r="AZ106" s="313">
        <v>9.1399999999999995E-2</v>
      </c>
      <c r="BB106" s="313" t="s">
        <v>220</v>
      </c>
      <c r="BC106">
        <v>3.5700000000000003E-2</v>
      </c>
      <c r="BD106" t="s">
        <v>220</v>
      </c>
      <c r="BE106">
        <v>1.4E-2</v>
      </c>
      <c r="BF106" s="2" t="s">
        <v>220</v>
      </c>
      <c r="BH106" s="2" t="s">
        <v>228</v>
      </c>
      <c r="BI106" s="2" t="s">
        <v>302</v>
      </c>
      <c r="BM106"/>
      <c r="BP106" s="8"/>
      <c r="BQ106" t="s">
        <v>230</v>
      </c>
      <c r="BR106" t="s">
        <v>230</v>
      </c>
      <c r="BU106" t="s">
        <v>231</v>
      </c>
      <c r="BV106" t="s">
        <v>223</v>
      </c>
      <c r="BW106" t="s">
        <v>232</v>
      </c>
      <c r="BX106" t="s">
        <v>284</v>
      </c>
      <c r="BY106" t="s">
        <v>220</v>
      </c>
      <c r="BZ106">
        <v>0.25900000000000001</v>
      </c>
      <c r="CA106" t="s">
        <v>234</v>
      </c>
      <c r="CF106" t="s">
        <v>220</v>
      </c>
      <c r="CG106">
        <v>1.2699999999999999E-2</v>
      </c>
      <c r="CH106" t="s">
        <v>220</v>
      </c>
      <c r="CI106">
        <v>2.0299999999999999E-2</v>
      </c>
      <c r="CK106"/>
      <c r="CL106"/>
      <c r="CM106"/>
      <c r="CS106" s="8"/>
      <c r="CW106" t="s">
        <v>220</v>
      </c>
      <c r="CX106" t="s">
        <v>220</v>
      </c>
      <c r="CY106" t="s">
        <v>231</v>
      </c>
      <c r="CZ106" t="s">
        <v>220</v>
      </c>
      <c r="DA106" t="s">
        <v>220</v>
      </c>
      <c r="DB106" t="s">
        <v>220</v>
      </c>
      <c r="DC106"/>
      <c r="DD106"/>
      <c r="DE106"/>
      <c r="DF106"/>
      <c r="DG106"/>
      <c r="DH106" s="323"/>
      <c r="DI106" s="323"/>
      <c r="DJ106" s="323"/>
      <c r="DL106" t="s">
        <v>257</v>
      </c>
      <c r="DM106" t="s">
        <v>220</v>
      </c>
      <c r="DN106" t="s">
        <v>257</v>
      </c>
      <c r="DO106" t="s">
        <v>257</v>
      </c>
      <c r="DP106" t="s">
        <v>257</v>
      </c>
      <c r="DS106" s="309">
        <v>184.48699999999999</v>
      </c>
      <c r="DU106" s="309">
        <v>431.26900000000001</v>
      </c>
      <c r="DW106">
        <v>140</v>
      </c>
      <c r="DX106" t="s">
        <v>238</v>
      </c>
      <c r="DY106">
        <v>743</v>
      </c>
      <c r="DZ106" t="s">
        <v>238</v>
      </c>
      <c r="EA106"/>
      <c r="EB106"/>
      <c r="ED106" s="410"/>
      <c r="EE106" s="1"/>
      <c r="EG106" s="410"/>
      <c r="EI106" s="410"/>
      <c r="EK106" s="1"/>
      <c r="EM106"/>
      <c r="EQ106" s="344"/>
      <c r="EU106" s="344"/>
      <c r="EW106" s="409"/>
      <c r="EY106" s="1"/>
      <c r="FA106">
        <v>112.08</v>
      </c>
      <c r="FB106" t="s">
        <v>225</v>
      </c>
      <c r="FC106" s="7">
        <v>200.67810900181914</v>
      </c>
      <c r="FD106" s="357" t="s">
        <v>225</v>
      </c>
      <c r="FE106" s="8">
        <v>39.856577231340133</v>
      </c>
      <c r="FF106" t="s">
        <v>237</v>
      </c>
      <c r="FH106" s="9">
        <v>101.20454110965424</v>
      </c>
      <c r="FI106" s="9" t="s">
        <v>225</v>
      </c>
      <c r="FJ106">
        <v>502</v>
      </c>
      <c r="FK106" t="s">
        <v>238</v>
      </c>
      <c r="FL106">
        <v>220</v>
      </c>
      <c r="FM106">
        <v>161.58461209490019</v>
      </c>
      <c r="FN106" s="5" t="s">
        <v>237</v>
      </c>
      <c r="FP106" s="6">
        <v>8.0792306047450104</v>
      </c>
      <c r="FQ106" t="s">
        <v>277</v>
      </c>
      <c r="FS106" t="s">
        <v>240</v>
      </c>
      <c r="FU106" s="8">
        <v>2</v>
      </c>
      <c r="FV106" s="8">
        <v>10</v>
      </c>
      <c r="FW106" s="8">
        <v>10</v>
      </c>
      <c r="FX106" s="8">
        <v>10</v>
      </c>
      <c r="FY106" s="8">
        <v>3</v>
      </c>
      <c r="FZ106">
        <f t="shared" si="1"/>
        <v>6000</v>
      </c>
      <c r="GA106" s="7" t="s">
        <v>241</v>
      </c>
      <c r="GB106" s="7" t="s">
        <v>241</v>
      </c>
      <c r="GC106" s="6">
        <v>30</v>
      </c>
      <c r="GD106" s="348" t="s">
        <v>242</v>
      </c>
      <c r="GF106" s="6">
        <v>6.642762871890022E-2</v>
      </c>
      <c r="GH106" s="7"/>
      <c r="GI106" s="445"/>
      <c r="GJ106" s="445"/>
      <c r="GK106" s="445"/>
      <c r="GL106" s="445"/>
      <c r="GM106" s="453"/>
      <c r="GN106" s="6">
        <v>0.2</v>
      </c>
      <c r="GO106" s="6">
        <v>0.375</v>
      </c>
      <c r="GP106" s="6">
        <v>0.6</v>
      </c>
      <c r="GQ106" s="6">
        <v>1.5</v>
      </c>
      <c r="GR106" s="6" t="s">
        <v>230</v>
      </c>
      <c r="GU106" t="s">
        <v>243</v>
      </c>
      <c r="GV106" t="s">
        <v>223</v>
      </c>
      <c r="GW106" t="s">
        <v>244</v>
      </c>
      <c r="GX106" t="s">
        <v>236</v>
      </c>
      <c r="GY106" t="s">
        <v>245</v>
      </c>
      <c r="HE106" t="s">
        <v>247</v>
      </c>
      <c r="HF106" t="s">
        <v>223</v>
      </c>
      <c r="HG106" t="s">
        <v>231</v>
      </c>
      <c r="HH106" t="s">
        <v>225</v>
      </c>
      <c r="HI106" t="s">
        <v>247</v>
      </c>
      <c r="HJ106" t="s">
        <v>223</v>
      </c>
      <c r="HK106" t="s">
        <v>266</v>
      </c>
      <c r="HO106" t="s">
        <v>231</v>
      </c>
      <c r="HP106" t="s">
        <v>223</v>
      </c>
      <c r="HQ106" t="s">
        <v>231</v>
      </c>
      <c r="HR106" t="s">
        <v>223</v>
      </c>
      <c r="HU106" t="s">
        <v>231</v>
      </c>
      <c r="HV106" t="s">
        <v>223</v>
      </c>
      <c r="HW106" t="s">
        <v>563</v>
      </c>
      <c r="HX106" t="s">
        <v>223</v>
      </c>
      <c r="IA106" t="s">
        <v>231</v>
      </c>
      <c r="IB106" t="s">
        <v>250</v>
      </c>
      <c r="IC106" s="447"/>
      <c r="ID106" s="447"/>
      <c r="IE106" s="447"/>
      <c r="IF106" s="447"/>
      <c r="IH106" t="s">
        <v>235</v>
      </c>
    </row>
    <row r="107" spans="1:242" s="482" customFormat="1" x14ac:dyDescent="0.35">
      <c r="A107" s="477" t="s">
        <v>865</v>
      </c>
      <c r="B107" s="463" t="s">
        <v>866</v>
      </c>
      <c r="C107" s="462" t="s">
        <v>867</v>
      </c>
      <c r="D107" s="464"/>
      <c r="E107" s="93"/>
      <c r="F107" s="93" t="s">
        <v>868</v>
      </c>
      <c r="G107" s="93"/>
      <c r="H107" s="93"/>
      <c r="I107" s="477" t="s">
        <v>869</v>
      </c>
      <c r="J107" s="93"/>
      <c r="K107" s="93"/>
      <c r="L107" s="93"/>
      <c r="M107" s="463"/>
      <c r="N107" s="93"/>
      <c r="O107" s="93"/>
      <c r="P107" s="465"/>
      <c r="Q107" s="93"/>
      <c r="R107" s="93"/>
      <c r="S107" s="93"/>
      <c r="T107" s="466"/>
      <c r="U107" s="93"/>
      <c r="V107" s="463"/>
      <c r="W107" s="93"/>
      <c r="X107" s="93"/>
      <c r="Y107" s="89"/>
      <c r="Z107" s="93"/>
      <c r="AA107" s="89"/>
      <c r="AB107" s="93"/>
      <c r="AC107" s="466"/>
      <c r="AD107" s="466" t="s">
        <v>230</v>
      </c>
      <c r="AE107" s="466"/>
      <c r="AF107" s="466" t="s">
        <v>230</v>
      </c>
      <c r="AG107" s="93"/>
      <c r="AH107" s="93"/>
      <c r="AI107" s="93"/>
      <c r="AJ107" s="93" t="s">
        <v>221</v>
      </c>
      <c r="AK107" s="93">
        <v>0</v>
      </c>
      <c r="AL107" s="93">
        <v>0.5</v>
      </c>
      <c r="AM107" s="93" t="s">
        <v>221</v>
      </c>
      <c r="AN107" s="93" t="s">
        <v>225</v>
      </c>
      <c r="AO107" s="93" t="s">
        <v>221</v>
      </c>
      <c r="AP107" s="93" t="s">
        <v>225</v>
      </c>
      <c r="AQ107" s="93" t="s">
        <v>221</v>
      </c>
      <c r="AR107" s="93" t="s">
        <v>225</v>
      </c>
      <c r="AS107" s="93" t="s">
        <v>221</v>
      </c>
      <c r="AT107" s="93" t="s">
        <v>236</v>
      </c>
      <c r="AU107" s="93" t="s">
        <v>220</v>
      </c>
      <c r="AV107" s="93"/>
      <c r="AW107" s="463" t="s">
        <v>220</v>
      </c>
      <c r="AX107" s="93" t="s">
        <v>226</v>
      </c>
      <c r="AY107" s="463" t="s">
        <v>220</v>
      </c>
      <c r="AZ107" s="463">
        <v>0.16500000000000001</v>
      </c>
      <c r="BA107" s="467"/>
      <c r="BB107" s="463" t="s">
        <v>220</v>
      </c>
      <c r="BC107" s="93">
        <v>4.8500000000000001E-2</v>
      </c>
      <c r="BD107" s="93" t="s">
        <v>220</v>
      </c>
      <c r="BE107" s="93">
        <v>2.5600000000000001E-2</v>
      </c>
      <c r="BF107" s="89" t="s">
        <v>220</v>
      </c>
      <c r="BG107" s="89" t="s">
        <v>273</v>
      </c>
      <c r="BH107" s="89" t="s">
        <v>274</v>
      </c>
      <c r="BI107" s="89" t="s">
        <v>275</v>
      </c>
      <c r="BJ107" s="89"/>
      <c r="BK107" s="89"/>
      <c r="BL107" s="89"/>
      <c r="BM107" s="93"/>
      <c r="BN107" s="89"/>
      <c r="BO107" s="93"/>
      <c r="BP107" s="466"/>
      <c r="BQ107" s="93" t="s">
        <v>230</v>
      </c>
      <c r="BR107" s="93" t="s">
        <v>230</v>
      </c>
      <c r="BS107" s="93"/>
      <c r="BT107" s="93"/>
      <c r="BU107" s="93" t="s">
        <v>317</v>
      </c>
      <c r="BV107" s="93" t="s">
        <v>236</v>
      </c>
      <c r="BW107" s="93" t="s">
        <v>232</v>
      </c>
      <c r="BX107" s="93" t="s">
        <v>276</v>
      </c>
      <c r="BY107" s="93" t="s">
        <v>220</v>
      </c>
      <c r="BZ107" s="93">
        <v>0.32100000000000001</v>
      </c>
      <c r="CA107" s="93" t="s">
        <v>372</v>
      </c>
      <c r="CB107" s="93"/>
      <c r="CC107" s="93"/>
      <c r="CD107" s="93"/>
      <c r="CE107" s="93"/>
      <c r="CF107" s="93" t="s">
        <v>220</v>
      </c>
      <c r="CG107" s="93">
        <v>0.29899999999999999</v>
      </c>
      <c r="CH107" s="93" t="s">
        <v>257</v>
      </c>
      <c r="CI107" s="93">
        <v>0.92</v>
      </c>
      <c r="CJ107" s="89"/>
      <c r="CK107" s="93"/>
      <c r="CL107" s="93"/>
      <c r="CM107" s="93"/>
      <c r="CN107" s="89"/>
      <c r="CO107" s="89"/>
      <c r="CP107" s="93"/>
      <c r="CQ107" s="93"/>
      <c r="CR107" s="93"/>
      <c r="CS107" s="466"/>
      <c r="CT107" s="93"/>
      <c r="CU107" s="93"/>
      <c r="CV107" s="93"/>
      <c r="CW107" s="93" t="s">
        <v>220</v>
      </c>
      <c r="CX107" s="93" t="s">
        <v>257</v>
      </c>
      <c r="CY107" s="93" t="s">
        <v>231</v>
      </c>
      <c r="CZ107" s="93" t="s">
        <v>220</v>
      </c>
      <c r="DA107" s="93" t="s">
        <v>220</v>
      </c>
      <c r="DB107" s="93" t="s">
        <v>220</v>
      </c>
      <c r="DC107" s="93"/>
      <c r="DD107" s="93"/>
      <c r="DE107" s="93"/>
      <c r="DF107" s="93"/>
      <c r="DG107" s="93"/>
      <c r="DH107" s="468"/>
      <c r="DI107" s="468"/>
      <c r="DJ107" s="468"/>
      <c r="DK107" s="104"/>
      <c r="DL107" s="93" t="s">
        <v>257</v>
      </c>
      <c r="DM107" s="93" t="s">
        <v>220</v>
      </c>
      <c r="DN107" s="93" t="s">
        <v>227</v>
      </c>
      <c r="DO107" s="93" t="s">
        <v>257</v>
      </c>
      <c r="DP107" s="93" t="s">
        <v>257</v>
      </c>
      <c r="DQ107" s="93"/>
      <c r="DR107" s="93"/>
      <c r="DS107" s="469">
        <v>165.14599999999999</v>
      </c>
      <c r="DT107" s="466"/>
      <c r="DU107" s="469">
        <v>987.86</v>
      </c>
      <c r="DV107" s="466"/>
      <c r="DW107" s="93"/>
      <c r="DX107" s="93" t="s">
        <v>235</v>
      </c>
      <c r="DY107" s="93"/>
      <c r="DZ107" s="93" t="s">
        <v>235</v>
      </c>
      <c r="EA107" s="93"/>
      <c r="EB107" s="93"/>
      <c r="EC107" s="466"/>
      <c r="ED107" s="470"/>
      <c r="EE107" s="471"/>
      <c r="EF107" s="466"/>
      <c r="EG107" s="470"/>
      <c r="EH107" s="466"/>
      <c r="EI107" s="470"/>
      <c r="EJ107" s="466"/>
      <c r="EK107" s="471"/>
      <c r="EL107" s="466"/>
      <c r="EM107" s="93"/>
      <c r="EN107" s="472"/>
      <c r="EO107" s="466"/>
      <c r="EP107" s="466"/>
      <c r="EQ107" s="473"/>
      <c r="ER107" s="466"/>
      <c r="ES107" s="466"/>
      <c r="ET107" s="466"/>
      <c r="EU107" s="473"/>
      <c r="EV107" s="466"/>
      <c r="EW107" s="474"/>
      <c r="EX107" s="466"/>
      <c r="EY107" s="471"/>
      <c r="EZ107" s="472"/>
      <c r="FA107" s="93">
        <v>281.58999999999997</v>
      </c>
      <c r="FB107" s="93" t="s">
        <v>225</v>
      </c>
      <c r="FC107" s="104">
        <v>225.7355711021448</v>
      </c>
      <c r="FD107" s="475" t="s">
        <v>225</v>
      </c>
      <c r="FE107" s="466">
        <v>178.11479689657705</v>
      </c>
      <c r="FF107" s="93" t="s">
        <v>237</v>
      </c>
      <c r="FG107" s="93"/>
      <c r="FH107" s="472">
        <v>284.31514862737595</v>
      </c>
      <c r="FI107" s="472" t="s">
        <v>225</v>
      </c>
      <c r="FJ107" s="93">
        <v>23.3</v>
      </c>
      <c r="FK107" s="93" t="s">
        <v>238</v>
      </c>
      <c r="FL107" s="93">
        <v>895</v>
      </c>
      <c r="FM107" s="93">
        <v>552.20457444535953</v>
      </c>
      <c r="FN107" s="476" t="s">
        <v>237</v>
      </c>
      <c r="FO107" s="93"/>
      <c r="FP107" s="363">
        <v>2.33</v>
      </c>
      <c r="FQ107" s="93" t="s">
        <v>450</v>
      </c>
      <c r="FR107" s="93"/>
      <c r="FS107" s="93" t="s">
        <v>240</v>
      </c>
      <c r="FT107" s="93"/>
      <c r="FU107" s="466">
        <v>1</v>
      </c>
      <c r="FV107" s="466">
        <v>10</v>
      </c>
      <c r="FW107" s="466">
        <v>10</v>
      </c>
      <c r="FX107" s="466">
        <v>10</v>
      </c>
      <c r="FY107" s="466">
        <v>3</v>
      </c>
      <c r="FZ107" s="93">
        <f t="shared" si="1"/>
        <v>3000</v>
      </c>
      <c r="GA107" s="104" t="s">
        <v>326</v>
      </c>
      <c r="GB107" s="104" t="s">
        <v>326</v>
      </c>
      <c r="GC107" s="363">
        <v>1.5</v>
      </c>
      <c r="GD107" s="350" t="s">
        <v>383</v>
      </c>
      <c r="GE107" s="363"/>
      <c r="GF107" s="363">
        <v>7.7666666666666674E-3</v>
      </c>
      <c r="GG107" s="104"/>
      <c r="GH107" s="478"/>
      <c r="GI107" s="479">
        <v>5.1999999999999998E-2</v>
      </c>
      <c r="GJ107" s="479">
        <v>9.7000000000000003E-2</v>
      </c>
      <c r="GK107" s="479">
        <v>0.155</v>
      </c>
      <c r="GL107" s="479">
        <v>0.38800000000000001</v>
      </c>
      <c r="GM107" s="480"/>
      <c r="GN107" s="481"/>
      <c r="GO107" s="481"/>
      <c r="GP107" s="481"/>
      <c r="GQ107" s="481"/>
      <c r="GR107" s="481" t="s">
        <v>230</v>
      </c>
      <c r="GS107" s="93"/>
      <c r="GT107" s="93"/>
      <c r="GU107" s="93" t="s">
        <v>243</v>
      </c>
      <c r="GV107" s="93" t="s">
        <v>236</v>
      </c>
      <c r="GW107" s="93" t="s">
        <v>244</v>
      </c>
      <c r="GX107" s="93" t="s">
        <v>236</v>
      </c>
      <c r="GY107" s="93" t="s">
        <v>245</v>
      </c>
      <c r="GZ107" s="93"/>
      <c r="HA107" s="93"/>
      <c r="HB107" s="93"/>
      <c r="HC107" s="93"/>
      <c r="HD107" s="93"/>
      <c r="HE107" s="93" t="s">
        <v>384</v>
      </c>
      <c r="HF107" s="93" t="s">
        <v>223</v>
      </c>
      <c r="HG107" s="93" t="s">
        <v>231</v>
      </c>
      <c r="HH107" s="93" t="s">
        <v>223</v>
      </c>
      <c r="HI107" s="93" t="s">
        <v>247</v>
      </c>
      <c r="HJ107" s="93" t="s">
        <v>223</v>
      </c>
      <c r="HK107" s="93" t="s">
        <v>266</v>
      </c>
      <c r="HL107" s="93"/>
      <c r="HM107" s="93"/>
      <c r="HN107" s="93"/>
      <c r="HO107" s="93" t="s">
        <v>231</v>
      </c>
      <c r="HP107" s="93" t="s">
        <v>223</v>
      </c>
      <c r="HQ107" s="93" t="s">
        <v>231</v>
      </c>
      <c r="HR107" s="93" t="s">
        <v>223</v>
      </c>
      <c r="HS107" s="93"/>
      <c r="HT107" s="93"/>
      <c r="HU107" s="93" t="s">
        <v>231</v>
      </c>
      <c r="HV107" s="93" t="s">
        <v>223</v>
      </c>
      <c r="HW107" s="93" t="s">
        <v>563</v>
      </c>
      <c r="HX107" s="93" t="s">
        <v>236</v>
      </c>
      <c r="HY107" s="93"/>
      <c r="HZ107" s="93"/>
      <c r="IA107" s="93" t="s">
        <v>231</v>
      </c>
      <c r="IB107" s="93" t="s">
        <v>250</v>
      </c>
      <c r="IC107" s="482">
        <v>5.1999999999999998E-2</v>
      </c>
      <c r="ID107" s="482">
        <v>9.7000000000000003E-2</v>
      </c>
      <c r="IE107" s="482">
        <v>0.155</v>
      </c>
      <c r="IF107" s="482">
        <v>0.38800000000000001</v>
      </c>
      <c r="IG107" s="483"/>
      <c r="IH107" t="s">
        <v>267</v>
      </c>
    </row>
    <row r="108" spans="1:242" x14ac:dyDescent="0.35">
      <c r="A108" s="310" t="s">
        <v>870</v>
      </c>
      <c r="B108" s="313" t="s">
        <v>871</v>
      </c>
      <c r="C108" s="310" t="s">
        <v>872</v>
      </c>
      <c r="D108" s="316"/>
      <c r="F108" t="s">
        <v>873</v>
      </c>
      <c r="I108" s="310" t="s">
        <v>874</v>
      </c>
      <c r="M108" s="313"/>
      <c r="O108"/>
      <c r="P108" s="381"/>
      <c r="Q108"/>
      <c r="T108" s="8"/>
      <c r="U108"/>
      <c r="V108" s="313"/>
      <c r="W108" t="s">
        <v>301</v>
      </c>
      <c r="X108"/>
      <c r="Z108"/>
      <c r="AB108"/>
      <c r="AD108" s="8" t="s">
        <v>222</v>
      </c>
      <c r="AF108" s="8" t="s">
        <v>230</v>
      </c>
      <c r="AG108"/>
      <c r="AH108"/>
      <c r="AI108"/>
      <c r="AJ108" t="s">
        <v>221</v>
      </c>
      <c r="AK108">
        <v>0</v>
      </c>
      <c r="AL108">
        <v>0.75</v>
      </c>
      <c r="AM108" t="s">
        <v>221</v>
      </c>
      <c r="AN108" t="s">
        <v>225</v>
      </c>
      <c r="AO108" t="s">
        <v>221</v>
      </c>
      <c r="AP108" t="s">
        <v>225</v>
      </c>
      <c r="AQ108" t="s">
        <v>221</v>
      </c>
      <c r="AR108" t="s">
        <v>223</v>
      </c>
      <c r="AS108" t="s">
        <v>221</v>
      </c>
      <c r="AT108" t="s">
        <v>223</v>
      </c>
      <c r="AU108" t="s">
        <v>220</v>
      </c>
      <c r="AV108"/>
      <c r="AW108" s="313" t="s">
        <v>220</v>
      </c>
      <c r="AX108" t="s">
        <v>226</v>
      </c>
      <c r="AY108" s="313" t="s">
        <v>220</v>
      </c>
      <c r="AZ108" s="313">
        <v>9.0800000000000006E-2</v>
      </c>
      <c r="BB108" s="313" t="s">
        <v>220</v>
      </c>
      <c r="BC108">
        <v>6.4500000000000002E-2</v>
      </c>
      <c r="BD108" t="s">
        <v>220</v>
      </c>
      <c r="BE108">
        <v>3.2800000000000003E-2</v>
      </c>
      <c r="BF108" s="2" t="s">
        <v>220</v>
      </c>
      <c r="BH108" s="2" t="s">
        <v>228</v>
      </c>
      <c r="BI108" s="2" t="s">
        <v>302</v>
      </c>
      <c r="BM108"/>
      <c r="BP108" s="8"/>
      <c r="BQ108" t="s">
        <v>230</v>
      </c>
      <c r="BR108" t="s">
        <v>222</v>
      </c>
      <c r="BU108" t="s">
        <v>231</v>
      </c>
      <c r="BV108" t="s">
        <v>225</v>
      </c>
      <c r="BW108" t="s">
        <v>232</v>
      </c>
      <c r="BX108" t="s">
        <v>284</v>
      </c>
      <c r="BY108" t="s">
        <v>220</v>
      </c>
      <c r="BZ108">
        <v>0.41899999999999998</v>
      </c>
      <c r="CA108" t="s">
        <v>372</v>
      </c>
      <c r="CF108" t="s">
        <v>220</v>
      </c>
      <c r="CG108">
        <v>0.14899999999999999</v>
      </c>
      <c r="CH108" t="s">
        <v>220</v>
      </c>
      <c r="CI108">
        <v>0.114</v>
      </c>
      <c r="CK108"/>
      <c r="CL108"/>
      <c r="CM108"/>
      <c r="CS108" s="8"/>
      <c r="CW108" t="s">
        <v>220</v>
      </c>
      <c r="CX108" t="s">
        <v>220</v>
      </c>
      <c r="CY108" t="s">
        <v>231</v>
      </c>
      <c r="CZ108" t="s">
        <v>220</v>
      </c>
      <c r="DA108" t="s">
        <v>220</v>
      </c>
      <c r="DB108" t="s">
        <v>220</v>
      </c>
      <c r="DC108"/>
      <c r="DD108"/>
      <c r="DE108"/>
      <c r="DF108"/>
      <c r="DG108"/>
      <c r="DH108" s="323"/>
      <c r="DI108" s="323"/>
      <c r="DJ108" s="323"/>
      <c r="DL108" t="s">
        <v>257</v>
      </c>
      <c r="DM108" t="s">
        <v>220</v>
      </c>
      <c r="DN108" t="s">
        <v>227</v>
      </c>
      <c r="DO108" t="s">
        <v>227</v>
      </c>
      <c r="DP108" t="s">
        <v>227</v>
      </c>
      <c r="DS108" s="309">
        <v>29.201000000000001</v>
      </c>
      <c r="DU108" s="309">
        <v>317.61399999999998</v>
      </c>
      <c r="DW108"/>
      <c r="DX108" t="s">
        <v>235</v>
      </c>
      <c r="DY108"/>
      <c r="DZ108" t="s">
        <v>235</v>
      </c>
      <c r="EA108"/>
      <c r="EB108"/>
      <c r="ED108" s="410"/>
      <c r="EE108" s="1"/>
      <c r="EG108" s="410"/>
      <c r="EI108" s="410"/>
      <c r="EK108" s="1">
        <v>300</v>
      </c>
      <c r="EL108" s="8" t="s">
        <v>323</v>
      </c>
      <c r="EM108"/>
      <c r="EQ108" s="344"/>
      <c r="EU108" s="344"/>
      <c r="EW108" s="409"/>
      <c r="EY108" s="1"/>
      <c r="FA108">
        <v>26.96</v>
      </c>
      <c r="FB108" t="s">
        <v>236</v>
      </c>
      <c r="FC108" s="7">
        <v>145.0440774304997</v>
      </c>
      <c r="FD108" s="357" t="s">
        <v>225</v>
      </c>
      <c r="FE108" s="8">
        <v>18.914723628330151</v>
      </c>
      <c r="FF108" t="s">
        <v>237</v>
      </c>
      <c r="FH108" s="9">
        <v>122.34888053268156</v>
      </c>
      <c r="FI108" s="9" t="s">
        <v>223</v>
      </c>
      <c r="FK108" t="s">
        <v>235</v>
      </c>
      <c r="FL108">
        <v>81.599999999999994</v>
      </c>
      <c r="FM108">
        <v>114.9476243419836</v>
      </c>
      <c r="FN108" s="5" t="s">
        <v>237</v>
      </c>
      <c r="FP108" s="6">
        <v>300</v>
      </c>
      <c r="FQ108" t="s">
        <v>260</v>
      </c>
      <c r="FS108" t="s">
        <v>261</v>
      </c>
      <c r="FU108" s="8">
        <v>1</v>
      </c>
      <c r="FV108" s="8">
        <v>10</v>
      </c>
      <c r="FW108" s="8">
        <v>10</v>
      </c>
      <c r="FX108" s="8">
        <v>1</v>
      </c>
      <c r="FY108" s="8">
        <v>1</v>
      </c>
      <c r="FZ108">
        <f t="shared" si="1"/>
        <v>100</v>
      </c>
      <c r="GA108" s="7" t="s">
        <v>303</v>
      </c>
      <c r="GB108" s="7" t="s">
        <v>303</v>
      </c>
      <c r="GC108" s="6">
        <v>9</v>
      </c>
      <c r="GD108" s="348" t="s">
        <v>304</v>
      </c>
      <c r="GF108" s="6">
        <v>8.1600000000000006E-2</v>
      </c>
      <c r="GH108" s="7"/>
      <c r="GI108" s="441">
        <v>20</v>
      </c>
      <c r="GJ108" s="441">
        <v>37.5</v>
      </c>
      <c r="GK108" s="441">
        <v>60</v>
      </c>
      <c r="GL108" s="441">
        <v>150</v>
      </c>
      <c r="GM108" s="452" t="s">
        <v>262</v>
      </c>
      <c r="GN108" s="6">
        <v>0.06</v>
      </c>
      <c r="GO108" s="6">
        <v>0.1125</v>
      </c>
      <c r="GP108" s="6">
        <v>0.18</v>
      </c>
      <c r="GQ108" s="6">
        <v>0.45</v>
      </c>
      <c r="GR108" s="6" t="s">
        <v>230</v>
      </c>
      <c r="GU108" t="s">
        <v>365</v>
      </c>
      <c r="GV108" t="s">
        <v>223</v>
      </c>
      <c r="GW108" t="s">
        <v>244</v>
      </c>
      <c r="GX108" t="s">
        <v>236</v>
      </c>
      <c r="GY108" t="s">
        <v>245</v>
      </c>
      <c r="HE108" t="s">
        <v>247</v>
      </c>
      <c r="HF108" t="s">
        <v>225</v>
      </c>
      <c r="HG108" t="s">
        <v>231</v>
      </c>
      <c r="HH108" t="s">
        <v>225</v>
      </c>
      <c r="HI108" t="s">
        <v>247</v>
      </c>
      <c r="HJ108" t="s">
        <v>223</v>
      </c>
      <c r="HK108" t="s">
        <v>418</v>
      </c>
      <c r="HL108" t="s">
        <v>231</v>
      </c>
      <c r="HM108" t="s">
        <v>231</v>
      </c>
      <c r="HO108" t="s">
        <v>231</v>
      </c>
      <c r="HP108" t="s">
        <v>249</v>
      </c>
      <c r="HQ108" t="s">
        <v>231</v>
      </c>
      <c r="HR108" t="s">
        <v>249</v>
      </c>
      <c r="HS108" t="s">
        <v>231</v>
      </c>
      <c r="HU108" t="s">
        <v>231</v>
      </c>
      <c r="HV108" t="s">
        <v>249</v>
      </c>
      <c r="HW108" t="s">
        <v>246</v>
      </c>
      <c r="HX108" t="s">
        <v>236</v>
      </c>
      <c r="IA108" t="s">
        <v>231</v>
      </c>
      <c r="IB108" t="s">
        <v>250</v>
      </c>
      <c r="IC108">
        <v>20</v>
      </c>
      <c r="ID108">
        <v>37.5</v>
      </c>
      <c r="IE108">
        <v>60</v>
      </c>
      <c r="IF108">
        <v>150</v>
      </c>
      <c r="IH108" t="s">
        <v>267</v>
      </c>
    </row>
    <row r="109" spans="1:242" x14ac:dyDescent="0.35">
      <c r="A109" s="310" t="s">
        <v>875</v>
      </c>
      <c r="B109" s="313" t="s">
        <v>876</v>
      </c>
      <c r="C109" s="310" t="s">
        <v>877</v>
      </c>
      <c r="D109" s="316"/>
      <c r="F109" t="s">
        <v>878</v>
      </c>
      <c r="I109" s="310" t="s">
        <v>879</v>
      </c>
      <c r="M109" s="313"/>
      <c r="O109" t="s">
        <v>221</v>
      </c>
      <c r="P109" s="381"/>
      <c r="Q109" t="s">
        <v>221</v>
      </c>
      <c r="T109" s="8"/>
      <c r="U109" t="s">
        <v>221</v>
      </c>
      <c r="V109" s="313"/>
      <c r="W109" t="s">
        <v>220</v>
      </c>
      <c r="X109" t="s">
        <v>220</v>
      </c>
      <c r="Z109"/>
      <c r="AB109"/>
      <c r="AD109" s="8" t="s">
        <v>222</v>
      </c>
      <c r="AF109" s="8" t="s">
        <v>222</v>
      </c>
      <c r="AG109"/>
      <c r="AH109"/>
      <c r="AI109"/>
      <c r="AJ109" t="s">
        <v>221</v>
      </c>
      <c r="AK109">
        <v>0</v>
      </c>
      <c r="AL109">
        <v>1</v>
      </c>
      <c r="AM109" t="s">
        <v>221</v>
      </c>
      <c r="AN109" t="s">
        <v>249</v>
      </c>
      <c r="AO109" t="s">
        <v>221</v>
      </c>
      <c r="AP109"/>
      <c r="AQ109" t="s">
        <v>221</v>
      </c>
      <c r="AR109" t="s">
        <v>223</v>
      </c>
      <c r="AS109" t="s">
        <v>221</v>
      </c>
      <c r="AT109"/>
      <c r="AU109" t="s">
        <v>220</v>
      </c>
      <c r="AV109"/>
      <c r="AW109" s="313" t="s">
        <v>220</v>
      </c>
      <c r="AX109" t="s">
        <v>226</v>
      </c>
      <c r="AY109" s="313" t="s">
        <v>220</v>
      </c>
      <c r="AZ109" s="313">
        <v>7.5200000000000003E-2</v>
      </c>
      <c r="BB109" s="313" t="s">
        <v>220</v>
      </c>
      <c r="BC109">
        <v>4.8000000000000001E-2</v>
      </c>
      <c r="BD109" t="s">
        <v>220</v>
      </c>
      <c r="BE109">
        <v>4.3900000000000002E-2</v>
      </c>
      <c r="BF109" s="2" t="s">
        <v>220</v>
      </c>
      <c r="BH109" s="2" t="s">
        <v>228</v>
      </c>
      <c r="BI109" s="2" t="s">
        <v>229</v>
      </c>
      <c r="BM109"/>
      <c r="BP109" s="8"/>
      <c r="BQ109" t="s">
        <v>230</v>
      </c>
      <c r="BR109" t="s">
        <v>230</v>
      </c>
      <c r="BU109" t="s">
        <v>231</v>
      </c>
      <c r="BV109" t="s">
        <v>225</v>
      </c>
      <c r="BW109" t="s">
        <v>232</v>
      </c>
      <c r="BX109" t="s">
        <v>284</v>
      </c>
      <c r="BY109" t="s">
        <v>220</v>
      </c>
      <c r="BZ109">
        <v>0.27400000000000002</v>
      </c>
      <c r="CA109" t="s">
        <v>234</v>
      </c>
      <c r="CF109" t="s">
        <v>220</v>
      </c>
      <c r="CG109">
        <v>0.29699999999999999</v>
      </c>
      <c r="CH109" t="s">
        <v>220</v>
      </c>
      <c r="CI109">
        <v>0.19600000000000001</v>
      </c>
      <c r="CK109"/>
      <c r="CL109"/>
      <c r="CM109"/>
      <c r="CS109" s="8"/>
      <c r="CW109" t="s">
        <v>220</v>
      </c>
      <c r="CX109" t="s">
        <v>220</v>
      </c>
      <c r="CY109" t="s">
        <v>231</v>
      </c>
      <c r="CZ109" t="s">
        <v>220</v>
      </c>
      <c r="DA109" t="s">
        <v>220</v>
      </c>
      <c r="DB109" t="s">
        <v>220</v>
      </c>
      <c r="DC109"/>
      <c r="DD109"/>
      <c r="DE109"/>
      <c r="DF109"/>
      <c r="DG109"/>
      <c r="DH109" s="323"/>
      <c r="DI109" s="323"/>
      <c r="DJ109" s="323"/>
      <c r="DL109" t="s">
        <v>257</v>
      </c>
      <c r="DM109" t="s">
        <v>220</v>
      </c>
      <c r="DN109" t="s">
        <v>257</v>
      </c>
      <c r="DO109" t="s">
        <v>220</v>
      </c>
      <c r="DP109" t="s">
        <v>220</v>
      </c>
      <c r="DS109" s="309">
        <v>141.63900000000001</v>
      </c>
      <c r="DU109" s="309">
        <v>551.17399999999998</v>
      </c>
      <c r="DW109">
        <v>43.1</v>
      </c>
      <c r="DX109" t="s">
        <v>238</v>
      </c>
      <c r="DY109">
        <v>361</v>
      </c>
      <c r="DZ109" t="s">
        <v>238</v>
      </c>
      <c r="EA109"/>
      <c r="EB109"/>
      <c r="ED109" s="410"/>
      <c r="EE109" s="1"/>
      <c r="EG109" s="410"/>
      <c r="EI109" s="410"/>
      <c r="EK109" s="1"/>
      <c r="EM109"/>
      <c r="EQ109" s="344"/>
      <c r="EU109" s="344"/>
      <c r="EW109" s="409"/>
      <c r="EY109" s="1"/>
      <c r="FA109">
        <v>126.2</v>
      </c>
      <c r="FB109" t="s">
        <v>236</v>
      </c>
      <c r="FC109" s="7">
        <v>106.56142021585192</v>
      </c>
      <c r="FD109" s="357" t="s">
        <v>225</v>
      </c>
      <c r="FE109" s="8">
        <v>56.78060295486646</v>
      </c>
      <c r="FF109" t="s">
        <v>237</v>
      </c>
      <c r="FH109" s="9">
        <v>121.89895989248669</v>
      </c>
      <c r="FI109" s="9" t="s">
        <v>225</v>
      </c>
      <c r="FJ109">
        <v>145</v>
      </c>
      <c r="FK109" t="s">
        <v>238</v>
      </c>
      <c r="FL109">
        <v>176</v>
      </c>
      <c r="FM109">
        <v>178.44319885403675</v>
      </c>
      <c r="FN109" s="5" t="s">
        <v>237</v>
      </c>
      <c r="FP109" s="6">
        <v>8.9221599427018372</v>
      </c>
      <c r="FQ109" t="s">
        <v>277</v>
      </c>
      <c r="FS109" t="s">
        <v>240</v>
      </c>
      <c r="FU109" s="8">
        <v>2</v>
      </c>
      <c r="FV109" s="8">
        <v>10</v>
      </c>
      <c r="FW109" s="8">
        <v>10</v>
      </c>
      <c r="FX109" s="8">
        <v>10</v>
      </c>
      <c r="FY109" s="8">
        <v>3</v>
      </c>
      <c r="FZ109">
        <f t="shared" si="1"/>
        <v>6000</v>
      </c>
      <c r="GA109" s="7" t="s">
        <v>241</v>
      </c>
      <c r="GB109" s="7" t="s">
        <v>241</v>
      </c>
      <c r="GC109" s="6">
        <v>30</v>
      </c>
      <c r="GD109" s="348" t="s">
        <v>242</v>
      </c>
      <c r="GF109" s="6">
        <v>2.0316493315414449E-2</v>
      </c>
      <c r="GH109" s="7"/>
      <c r="GI109" s="441"/>
      <c r="GJ109" s="441"/>
      <c r="GK109" s="441"/>
      <c r="GL109" s="441"/>
      <c r="GM109" s="454"/>
      <c r="GN109" s="441"/>
      <c r="GO109" s="441"/>
      <c r="GP109" s="441"/>
      <c r="GQ109" s="441"/>
      <c r="GR109" s="441"/>
      <c r="GS109" s="441"/>
      <c r="GT109" s="441"/>
      <c r="GU109" s="441"/>
      <c r="GV109" s="441"/>
      <c r="GW109" s="441"/>
      <c r="GX109" s="441"/>
      <c r="GY109" s="441"/>
      <c r="GZ109" s="441"/>
      <c r="HA109" s="441"/>
      <c r="HB109" s="441"/>
      <c r="HC109" s="441"/>
      <c r="HD109" s="441"/>
      <c r="HE109" s="441"/>
      <c r="HF109" s="441"/>
      <c r="HG109" s="441"/>
      <c r="HH109" s="441"/>
      <c r="HI109" s="441"/>
      <c r="HJ109" s="441"/>
      <c r="HK109" s="441"/>
      <c r="HL109" s="441"/>
      <c r="HM109" s="441"/>
      <c r="HN109" s="441"/>
      <c r="HO109" s="441"/>
      <c r="HP109" s="441"/>
      <c r="HQ109" s="441"/>
      <c r="HR109" s="441"/>
      <c r="HS109" s="441"/>
      <c r="HT109" s="441"/>
      <c r="HU109" s="441"/>
      <c r="HV109" s="441"/>
      <c r="HW109" s="441"/>
      <c r="HX109" s="441"/>
      <c r="HY109" s="441"/>
      <c r="HZ109" s="441"/>
      <c r="IA109" s="441"/>
      <c r="IB109" s="441"/>
      <c r="IC109" s="441"/>
      <c r="ID109" s="441"/>
      <c r="IE109" s="441"/>
      <c r="IF109" s="441"/>
      <c r="IH109" t="s">
        <v>235</v>
      </c>
    </row>
    <row r="110" spans="1:242" x14ac:dyDescent="0.35">
      <c r="A110" s="310" t="s">
        <v>880</v>
      </c>
      <c r="B110" s="313" t="s">
        <v>881</v>
      </c>
      <c r="C110" s="310" t="s">
        <v>882</v>
      </c>
      <c r="D110" s="316"/>
      <c r="F110" t="s">
        <v>883</v>
      </c>
      <c r="I110" s="310" t="s">
        <v>884</v>
      </c>
      <c r="M110" s="313"/>
      <c r="O110"/>
      <c r="P110" s="381"/>
      <c r="Q110"/>
      <c r="T110" s="8"/>
      <c r="U110"/>
      <c r="V110" s="313"/>
      <c r="W110"/>
      <c r="X110"/>
      <c r="Z110"/>
      <c r="AB110"/>
      <c r="AD110" s="8" t="s">
        <v>230</v>
      </c>
      <c r="AF110" s="8" t="s">
        <v>230</v>
      </c>
      <c r="AG110"/>
      <c r="AH110"/>
      <c r="AI110"/>
      <c r="AJ110" t="s">
        <v>221</v>
      </c>
      <c r="AK110">
        <v>0</v>
      </c>
      <c r="AL110">
        <v>0.82499999999999996</v>
      </c>
      <c r="AM110" t="s">
        <v>221</v>
      </c>
      <c r="AN110" t="s">
        <v>223</v>
      </c>
      <c r="AO110" t="s">
        <v>221</v>
      </c>
      <c r="AP110" t="s">
        <v>223</v>
      </c>
      <c r="AQ110" t="s">
        <v>221</v>
      </c>
      <c r="AR110" t="s">
        <v>223</v>
      </c>
      <c r="AS110" t="s">
        <v>221</v>
      </c>
      <c r="AT110" t="s">
        <v>225</v>
      </c>
      <c r="AU110" t="s">
        <v>220</v>
      </c>
      <c r="AV110"/>
      <c r="AW110" s="313" t="s">
        <v>220</v>
      </c>
      <c r="AX110" t="s">
        <v>226</v>
      </c>
      <c r="AY110" s="313" t="s">
        <v>220</v>
      </c>
      <c r="AZ110" s="313">
        <v>2.2100000000000002E-2</v>
      </c>
      <c r="BB110" s="313" t="s">
        <v>220</v>
      </c>
      <c r="BC110">
        <v>1.7100000000000001E-2</v>
      </c>
      <c r="BD110" t="s">
        <v>220</v>
      </c>
      <c r="BE110">
        <v>5.5800000000000002E-2</v>
      </c>
      <c r="BF110" s="2" t="s">
        <v>220</v>
      </c>
      <c r="BG110" s="2" t="s">
        <v>273</v>
      </c>
      <c r="BH110" s="2" t="s">
        <v>274</v>
      </c>
      <c r="BI110" s="2" t="s">
        <v>275</v>
      </c>
      <c r="BM110"/>
      <c r="BP110" s="8"/>
      <c r="BQ110" t="s">
        <v>230</v>
      </c>
      <c r="BR110" t="s">
        <v>230</v>
      </c>
      <c r="BU110" t="s">
        <v>317</v>
      </c>
      <c r="BV110" t="s">
        <v>225</v>
      </c>
      <c r="BW110" t="s">
        <v>232</v>
      </c>
      <c r="BX110" t="s">
        <v>284</v>
      </c>
      <c r="BY110" t="s">
        <v>220</v>
      </c>
      <c r="BZ110">
        <v>0.16200000000000001</v>
      </c>
      <c r="CA110" t="s">
        <v>234</v>
      </c>
      <c r="CF110" t="s">
        <v>220</v>
      </c>
      <c r="CG110">
        <v>0.127</v>
      </c>
      <c r="CH110" t="s">
        <v>220</v>
      </c>
      <c r="CI110">
        <v>0.11600000000000001</v>
      </c>
      <c r="CK110"/>
      <c r="CL110"/>
      <c r="CM110"/>
      <c r="CS110" s="8"/>
      <c r="CW110" t="s">
        <v>220</v>
      </c>
      <c r="CX110" t="s">
        <v>220</v>
      </c>
      <c r="CY110" t="s">
        <v>231</v>
      </c>
      <c r="CZ110" t="s">
        <v>227</v>
      </c>
      <c r="DA110" t="s">
        <v>227</v>
      </c>
      <c r="DB110" t="s">
        <v>227</v>
      </c>
      <c r="DC110"/>
      <c r="DD110"/>
      <c r="DE110"/>
      <c r="DF110"/>
      <c r="DG110"/>
      <c r="DH110" s="323"/>
      <c r="DI110" s="323"/>
      <c r="DJ110" s="323"/>
      <c r="DL110" t="s">
        <v>220</v>
      </c>
      <c r="DM110" t="s">
        <v>220</v>
      </c>
      <c r="DN110" t="s">
        <v>227</v>
      </c>
      <c r="DO110" t="s">
        <v>220</v>
      </c>
      <c r="DP110" t="s">
        <v>220</v>
      </c>
      <c r="DS110" s="309">
        <v>600.06899999999996</v>
      </c>
      <c r="DU110" s="309">
        <v>689.51700000000005</v>
      </c>
      <c r="DW110"/>
      <c r="DX110" t="s">
        <v>235</v>
      </c>
      <c r="DY110">
        <v>1870</v>
      </c>
      <c r="DZ110" t="s">
        <v>238</v>
      </c>
      <c r="EA110"/>
      <c r="EB110"/>
      <c r="ED110" s="410"/>
      <c r="EE110" s="1"/>
      <c r="EG110" s="410"/>
      <c r="EI110" s="410"/>
      <c r="EK110" s="1"/>
      <c r="EM110"/>
      <c r="EQ110" s="344"/>
      <c r="EU110" s="344"/>
      <c r="EW110" s="409"/>
      <c r="EY110" s="1"/>
      <c r="FA110">
        <v>67.7</v>
      </c>
      <c r="FB110" t="s">
        <v>225</v>
      </c>
      <c r="FC110" s="7">
        <v>65.659867197835695</v>
      </c>
      <c r="FD110" s="357" t="s">
        <v>225</v>
      </c>
      <c r="FE110" s="8">
        <v>1.2189895989248665</v>
      </c>
      <c r="FF110" t="s">
        <v>237</v>
      </c>
      <c r="FH110" s="9">
        <v>74.541821337899094</v>
      </c>
      <c r="FI110" s="9" t="s">
        <v>225</v>
      </c>
      <c r="FK110" t="s">
        <v>235</v>
      </c>
      <c r="FL110">
        <v>151</v>
      </c>
      <c r="FM110">
        <v>10.09020523764357</v>
      </c>
      <c r="FN110" s="5" t="s">
        <v>237</v>
      </c>
      <c r="FP110" s="6">
        <v>15.1</v>
      </c>
      <c r="FQ110" t="s">
        <v>239</v>
      </c>
      <c r="FS110" t="s">
        <v>240</v>
      </c>
      <c r="FU110" s="8">
        <v>1</v>
      </c>
      <c r="FV110" s="8">
        <v>10</v>
      </c>
      <c r="FW110" s="8">
        <v>10</v>
      </c>
      <c r="FX110" s="8">
        <v>10</v>
      </c>
      <c r="FY110" s="8">
        <v>3</v>
      </c>
      <c r="FZ110">
        <f t="shared" si="1"/>
        <v>3000</v>
      </c>
      <c r="GA110" s="7" t="s">
        <v>326</v>
      </c>
      <c r="GB110" s="7" t="s">
        <v>326</v>
      </c>
      <c r="GC110" s="6">
        <v>1.5</v>
      </c>
      <c r="GD110" s="348" t="s">
        <v>304</v>
      </c>
      <c r="GF110" s="6">
        <v>1.2423636889649849E-2</v>
      </c>
      <c r="GH110" s="7"/>
      <c r="GI110" s="441">
        <v>0.33600000000000002</v>
      </c>
      <c r="GJ110" s="441">
        <v>0.629</v>
      </c>
      <c r="GK110" s="441">
        <v>1.0069999999999999</v>
      </c>
      <c r="GL110" s="441">
        <v>2.5169999999999999</v>
      </c>
      <c r="GM110" s="452" t="s">
        <v>262</v>
      </c>
      <c r="GN110" s="6">
        <v>0.01</v>
      </c>
      <c r="GO110" s="6">
        <v>1.8749999999999999E-2</v>
      </c>
      <c r="GP110" s="6">
        <v>0.03</v>
      </c>
      <c r="GQ110" s="6">
        <v>7.4999999999999997E-2</v>
      </c>
      <c r="GR110" s="6" t="s">
        <v>230</v>
      </c>
      <c r="GU110" t="s">
        <v>365</v>
      </c>
      <c r="GV110" t="s">
        <v>225</v>
      </c>
      <c r="GW110" t="s">
        <v>359</v>
      </c>
      <c r="GX110" t="s">
        <v>225</v>
      </c>
      <c r="GY110" t="s">
        <v>245</v>
      </c>
      <c r="HE110" t="s">
        <v>247</v>
      </c>
      <c r="HF110" t="s">
        <v>223</v>
      </c>
      <c r="HG110" t="s">
        <v>317</v>
      </c>
      <c r="HH110" t="s">
        <v>236</v>
      </c>
      <c r="HI110" t="s">
        <v>247</v>
      </c>
      <c r="HJ110" t="s">
        <v>223</v>
      </c>
      <c r="HK110" t="s">
        <v>418</v>
      </c>
      <c r="HO110" t="s">
        <v>231</v>
      </c>
      <c r="HP110" t="s">
        <v>223</v>
      </c>
      <c r="HQ110" t="s">
        <v>231</v>
      </c>
      <c r="HR110" t="s">
        <v>223</v>
      </c>
      <c r="HU110" t="s">
        <v>231</v>
      </c>
      <c r="HV110" t="s">
        <v>223</v>
      </c>
      <c r="HW110" t="s">
        <v>506</v>
      </c>
      <c r="HX110" t="s">
        <v>223</v>
      </c>
      <c r="IA110" t="s">
        <v>231</v>
      </c>
      <c r="IB110" t="s">
        <v>250</v>
      </c>
      <c r="IC110">
        <v>0.33600000000000002</v>
      </c>
      <c r="ID110">
        <v>0.629</v>
      </c>
      <c r="IE110">
        <v>1.0069999999999999</v>
      </c>
      <c r="IF110">
        <v>2.5169999999999999</v>
      </c>
      <c r="IH110" t="s">
        <v>267</v>
      </c>
    </row>
    <row r="111" spans="1:242" x14ac:dyDescent="0.35">
      <c r="A111" s="310" t="s">
        <v>885</v>
      </c>
      <c r="B111" s="313" t="s">
        <v>886</v>
      </c>
      <c r="C111" s="310" t="s">
        <v>887</v>
      </c>
      <c r="D111" s="316"/>
      <c r="F111" t="s">
        <v>888</v>
      </c>
      <c r="I111" s="310" t="s">
        <v>889</v>
      </c>
      <c r="M111" s="313"/>
      <c r="O111"/>
      <c r="P111" s="381"/>
      <c r="Q111"/>
      <c r="T111" s="8"/>
      <c r="U111"/>
      <c r="V111" s="313"/>
      <c r="W111" t="s">
        <v>220</v>
      </c>
      <c r="X111" t="s">
        <v>220</v>
      </c>
      <c r="Z111" t="s">
        <v>220</v>
      </c>
      <c r="AB111"/>
      <c r="AD111" s="8" t="s">
        <v>230</v>
      </c>
      <c r="AF111" s="8" t="s">
        <v>230</v>
      </c>
      <c r="AG111"/>
      <c r="AH111"/>
      <c r="AI111"/>
      <c r="AJ111" t="s">
        <v>221</v>
      </c>
      <c r="AK111">
        <v>0.05</v>
      </c>
      <c r="AL111">
        <v>0.67500000000000004</v>
      </c>
      <c r="AM111" t="s">
        <v>221</v>
      </c>
      <c r="AN111" t="s">
        <v>223</v>
      </c>
      <c r="AO111" t="s">
        <v>221</v>
      </c>
      <c r="AP111" t="s">
        <v>223</v>
      </c>
      <c r="AQ111" t="s">
        <v>414</v>
      </c>
      <c r="AR111" t="s">
        <v>236</v>
      </c>
      <c r="AS111" t="s">
        <v>221</v>
      </c>
      <c r="AT111" t="s">
        <v>223</v>
      </c>
      <c r="AU111" t="s">
        <v>220</v>
      </c>
      <c r="AV111"/>
      <c r="AW111" s="313" t="s">
        <v>220</v>
      </c>
      <c r="AX111" t="s">
        <v>226</v>
      </c>
      <c r="AY111" s="313" t="s">
        <v>220</v>
      </c>
      <c r="AZ111" s="313">
        <v>5.9299999999999999E-2</v>
      </c>
      <c r="BB111" s="313" t="s">
        <v>220</v>
      </c>
      <c r="BC111">
        <v>3.1699999999999999E-2</v>
      </c>
      <c r="BD111" t="s">
        <v>220</v>
      </c>
      <c r="BE111">
        <v>0.214</v>
      </c>
      <c r="BF111" s="2" t="s">
        <v>220</v>
      </c>
      <c r="BH111" s="2" t="s">
        <v>228</v>
      </c>
      <c r="BI111" s="2" t="s">
        <v>800</v>
      </c>
      <c r="BM111"/>
      <c r="BP111" s="8"/>
      <c r="BQ111" t="s">
        <v>230</v>
      </c>
      <c r="BR111" t="s">
        <v>230</v>
      </c>
      <c r="BU111" t="s">
        <v>231</v>
      </c>
      <c r="BV111" t="s">
        <v>223</v>
      </c>
      <c r="BW111" t="s">
        <v>232</v>
      </c>
      <c r="BX111" t="s">
        <v>284</v>
      </c>
      <c r="BY111" t="s">
        <v>220</v>
      </c>
      <c r="BZ111">
        <v>0.28799999999999998</v>
      </c>
      <c r="CA111" t="s">
        <v>372</v>
      </c>
      <c r="CF111" t="s">
        <v>220</v>
      </c>
      <c r="CG111">
        <v>0.12</v>
      </c>
      <c r="CH111" t="s">
        <v>257</v>
      </c>
      <c r="CI111">
        <v>0.76600000000000001</v>
      </c>
      <c r="CK111"/>
      <c r="CL111" t="s">
        <v>220</v>
      </c>
      <c r="CM111"/>
      <c r="CS111" s="8"/>
      <c r="CW111" t="s">
        <v>220</v>
      </c>
      <c r="CX111" t="s">
        <v>220</v>
      </c>
      <c r="CY111" t="s">
        <v>231</v>
      </c>
      <c r="CZ111" t="s">
        <v>220</v>
      </c>
      <c r="DA111" t="s">
        <v>227</v>
      </c>
      <c r="DB111" t="s">
        <v>220</v>
      </c>
      <c r="DC111"/>
      <c r="DD111"/>
      <c r="DE111"/>
      <c r="DF111"/>
      <c r="DG111"/>
      <c r="DH111" s="323"/>
      <c r="DI111" s="323"/>
      <c r="DJ111" s="323"/>
      <c r="DL111" t="s">
        <v>257</v>
      </c>
      <c r="DM111" t="s">
        <v>220</v>
      </c>
      <c r="DN111" t="s">
        <v>257</v>
      </c>
      <c r="DO111" t="s">
        <v>220</v>
      </c>
      <c r="DP111" t="s">
        <v>257</v>
      </c>
      <c r="DS111" s="309">
        <v>73.171000000000006</v>
      </c>
      <c r="DU111" s="309">
        <v>334.76100000000002</v>
      </c>
      <c r="DW111">
        <v>5.76</v>
      </c>
      <c r="DX111" t="s">
        <v>238</v>
      </c>
      <c r="DY111">
        <v>558</v>
      </c>
      <c r="DZ111" t="s">
        <v>238</v>
      </c>
      <c r="EA111"/>
      <c r="EB111"/>
      <c r="ED111" s="410"/>
      <c r="EE111" s="1"/>
      <c r="EG111" s="410">
        <v>120</v>
      </c>
      <c r="EH111" s="8" t="s">
        <v>259</v>
      </c>
      <c r="EI111" s="410"/>
      <c r="EK111" s="1"/>
      <c r="EM111"/>
      <c r="EQ111" s="344"/>
      <c r="EU111" s="344"/>
      <c r="EW111" s="409"/>
      <c r="EY111" s="1"/>
      <c r="FA111">
        <v>94.23</v>
      </c>
      <c r="FB111" t="s">
        <v>236</v>
      </c>
      <c r="FC111" s="7">
        <v>187.32683693442138</v>
      </c>
      <c r="FD111" s="357" t="s">
        <v>236</v>
      </c>
      <c r="FE111" s="8">
        <v>49.249292960502714</v>
      </c>
      <c r="FF111" t="s">
        <v>237</v>
      </c>
      <c r="FH111" s="9">
        <v>95.653309337491393</v>
      </c>
      <c r="FI111" s="9" t="s">
        <v>236</v>
      </c>
      <c r="FJ111">
        <v>195</v>
      </c>
      <c r="FK111" t="s">
        <v>238</v>
      </c>
      <c r="FL111">
        <v>185</v>
      </c>
      <c r="FM111">
        <v>160.73113075127932</v>
      </c>
      <c r="FN111" s="5" t="s">
        <v>237</v>
      </c>
      <c r="FP111" s="6">
        <v>60</v>
      </c>
      <c r="FQ111" t="s">
        <v>615</v>
      </c>
      <c r="FS111" t="s">
        <v>261</v>
      </c>
      <c r="FU111" s="8">
        <v>2</v>
      </c>
      <c r="FV111" s="8">
        <v>10</v>
      </c>
      <c r="FW111" s="8">
        <v>10</v>
      </c>
      <c r="FX111" s="8">
        <v>1</v>
      </c>
      <c r="FY111" s="8">
        <v>3</v>
      </c>
      <c r="FZ111">
        <f t="shared" si="1"/>
        <v>600</v>
      </c>
      <c r="GA111" s="7" t="s">
        <v>241</v>
      </c>
      <c r="GB111" s="7" t="s">
        <v>241</v>
      </c>
      <c r="GC111" s="6">
        <v>30</v>
      </c>
      <c r="GD111" s="348" t="s">
        <v>242</v>
      </c>
      <c r="GF111" s="6">
        <v>6.1666666666666668E-2</v>
      </c>
      <c r="GH111" s="7"/>
      <c r="GI111" s="441">
        <v>1.333</v>
      </c>
      <c r="GJ111" s="441">
        <v>2.5</v>
      </c>
      <c r="GK111" s="441">
        <v>4</v>
      </c>
      <c r="GL111" s="441">
        <v>10</v>
      </c>
      <c r="GM111" s="452" t="s">
        <v>262</v>
      </c>
      <c r="GN111" s="6">
        <v>0.2</v>
      </c>
      <c r="GO111" s="6">
        <v>0.375</v>
      </c>
      <c r="GP111" s="6">
        <v>0.6</v>
      </c>
      <c r="GQ111" s="6">
        <v>1.5</v>
      </c>
      <c r="GU111" t="s">
        <v>243</v>
      </c>
      <c r="GV111" t="s">
        <v>236</v>
      </c>
      <c r="GW111" t="s">
        <v>244</v>
      </c>
      <c r="GX111" t="s">
        <v>225</v>
      </c>
      <c r="GY111" t="s">
        <v>245</v>
      </c>
      <c r="GZ111" t="s">
        <v>376</v>
      </c>
      <c r="HB111" t="s">
        <v>376</v>
      </c>
      <c r="HE111" t="s">
        <v>247</v>
      </c>
      <c r="HF111" t="s">
        <v>249</v>
      </c>
      <c r="HG111" t="s">
        <v>231</v>
      </c>
      <c r="HH111" t="s">
        <v>236</v>
      </c>
      <c r="HI111" t="s">
        <v>247</v>
      </c>
      <c r="HJ111" t="s">
        <v>249</v>
      </c>
      <c r="HK111" t="s">
        <v>266</v>
      </c>
      <c r="HL111" t="s">
        <v>231</v>
      </c>
      <c r="HM111" t="s">
        <v>231</v>
      </c>
      <c r="HO111" t="s">
        <v>231</v>
      </c>
      <c r="HP111" t="s">
        <v>249</v>
      </c>
      <c r="HQ111" t="s">
        <v>231</v>
      </c>
      <c r="HR111" t="s">
        <v>249</v>
      </c>
      <c r="HU111" t="s">
        <v>231</v>
      </c>
      <c r="HV111" t="s">
        <v>223</v>
      </c>
      <c r="HW111" t="s">
        <v>246</v>
      </c>
      <c r="HX111" t="s">
        <v>236</v>
      </c>
      <c r="IA111" t="s">
        <v>231</v>
      </c>
      <c r="IB111" t="s">
        <v>250</v>
      </c>
      <c r="IC111">
        <v>1.333</v>
      </c>
      <c r="ID111">
        <v>2.5</v>
      </c>
      <c r="IE111">
        <v>4</v>
      </c>
      <c r="IF111">
        <v>10</v>
      </c>
      <c r="IH111" t="s">
        <v>267</v>
      </c>
    </row>
    <row r="112" spans="1:242" x14ac:dyDescent="0.35">
      <c r="A112" s="310" t="s">
        <v>890</v>
      </c>
      <c r="B112" s="313" t="s">
        <v>891</v>
      </c>
      <c r="C112" s="310" t="s">
        <v>892</v>
      </c>
      <c r="D112" s="316"/>
      <c r="F112" t="s">
        <v>893</v>
      </c>
      <c r="I112" s="310" t="s">
        <v>894</v>
      </c>
      <c r="M112" s="313" t="s">
        <v>759</v>
      </c>
      <c r="O112"/>
      <c r="P112" s="381"/>
      <c r="Q112"/>
      <c r="T112" s="8"/>
      <c r="U112"/>
      <c r="V112" s="313"/>
      <c r="W112" t="s">
        <v>220</v>
      </c>
      <c r="X112" t="s">
        <v>220</v>
      </c>
      <c r="Z112" t="s">
        <v>220</v>
      </c>
      <c r="AB112"/>
      <c r="AD112" s="8" t="s">
        <v>222</v>
      </c>
      <c r="AF112" s="8" t="s">
        <v>230</v>
      </c>
      <c r="AG112"/>
      <c r="AH112"/>
      <c r="AI112"/>
      <c r="AJ112" t="s">
        <v>221</v>
      </c>
      <c r="AK112">
        <v>0</v>
      </c>
      <c r="AL112">
        <v>0.9</v>
      </c>
      <c r="AM112" t="s">
        <v>221</v>
      </c>
      <c r="AN112" t="s">
        <v>223</v>
      </c>
      <c r="AO112" t="s">
        <v>221</v>
      </c>
      <c r="AP112" t="s">
        <v>223</v>
      </c>
      <c r="AQ112" t="s">
        <v>221</v>
      </c>
      <c r="AR112" t="s">
        <v>223</v>
      </c>
      <c r="AS112" t="s">
        <v>221</v>
      </c>
      <c r="AT112" t="s">
        <v>223</v>
      </c>
      <c r="AU112" t="s">
        <v>220</v>
      </c>
      <c r="AV112"/>
      <c r="AW112" s="313" t="s">
        <v>220</v>
      </c>
      <c r="AX112" t="s">
        <v>226</v>
      </c>
      <c r="AY112" s="313" t="s">
        <v>220</v>
      </c>
      <c r="AZ112" s="313">
        <v>5.16E-2</v>
      </c>
      <c r="BB112" s="313" t="s">
        <v>220</v>
      </c>
      <c r="BC112">
        <v>2.0400000000000001E-2</v>
      </c>
      <c r="BD112" t="s">
        <v>220</v>
      </c>
      <c r="BE112">
        <v>3.61E-2</v>
      </c>
      <c r="BF112" s="2" t="s">
        <v>220</v>
      </c>
      <c r="BH112" s="2" t="s">
        <v>228</v>
      </c>
      <c r="BI112" s="2" t="s">
        <v>392</v>
      </c>
      <c r="BM112"/>
      <c r="BP112" s="8"/>
      <c r="BQ112" t="s">
        <v>230</v>
      </c>
      <c r="BR112" t="s">
        <v>230</v>
      </c>
      <c r="BU112" t="s">
        <v>231</v>
      </c>
      <c r="BV112" t="s">
        <v>223</v>
      </c>
      <c r="BW112" t="s">
        <v>232</v>
      </c>
      <c r="BX112" t="s">
        <v>284</v>
      </c>
      <c r="BY112" t="s">
        <v>220</v>
      </c>
      <c r="BZ112">
        <v>0.255</v>
      </c>
      <c r="CA112" t="s">
        <v>234</v>
      </c>
      <c r="CF112" t="s">
        <v>220</v>
      </c>
      <c r="CG112">
        <v>2.9899999999999999E-2</v>
      </c>
      <c r="CH112" t="s">
        <v>220</v>
      </c>
      <c r="CI112">
        <v>2.5399999999999999E-2</v>
      </c>
      <c r="CK112"/>
      <c r="CL112"/>
      <c r="CM112"/>
      <c r="CS112" s="8"/>
      <c r="CW112" t="s">
        <v>220</v>
      </c>
      <c r="CX112" t="s">
        <v>220</v>
      </c>
      <c r="CY112" t="s">
        <v>231</v>
      </c>
      <c r="CZ112" t="s">
        <v>220</v>
      </c>
      <c r="DA112" t="s">
        <v>220</v>
      </c>
      <c r="DB112" t="s">
        <v>227</v>
      </c>
      <c r="DC112"/>
      <c r="DD112"/>
      <c r="DE112"/>
      <c r="DF112"/>
      <c r="DG112"/>
      <c r="DH112" s="323"/>
      <c r="DI112" s="323"/>
      <c r="DJ112" s="323"/>
      <c r="DL112" t="s">
        <v>257</v>
      </c>
      <c r="DM112" t="s">
        <v>220</v>
      </c>
      <c r="DN112" t="s">
        <v>257</v>
      </c>
      <c r="DO112" t="s">
        <v>257</v>
      </c>
      <c r="DP112" t="s">
        <v>257</v>
      </c>
      <c r="DS112" s="309">
        <v>255.79599999999999</v>
      </c>
      <c r="DU112" s="309">
        <v>510.42200000000003</v>
      </c>
      <c r="DW112">
        <v>225</v>
      </c>
      <c r="DX112" t="s">
        <v>238</v>
      </c>
      <c r="DY112">
        <v>1360</v>
      </c>
      <c r="DZ112" t="s">
        <v>238</v>
      </c>
      <c r="EA112"/>
      <c r="EB112"/>
      <c r="ED112" s="410"/>
      <c r="EE112" s="1"/>
      <c r="EG112" s="410"/>
      <c r="EI112" s="410"/>
      <c r="EK112" s="1"/>
      <c r="EM112"/>
      <c r="EQ112" s="344"/>
      <c r="EU112" s="344"/>
      <c r="EW112" s="409"/>
      <c r="EY112" s="1"/>
      <c r="FA112">
        <v>107.46</v>
      </c>
      <c r="FB112" t="s">
        <v>225</v>
      </c>
      <c r="FC112" s="7">
        <v>342.68887043278653</v>
      </c>
      <c r="FD112" s="357" t="s">
        <v>225</v>
      </c>
      <c r="FE112" s="8">
        <v>26.872000567171142</v>
      </c>
      <c r="FF112" t="s">
        <v>237</v>
      </c>
      <c r="FH112" s="9">
        <v>254.50715720695092</v>
      </c>
      <c r="FI112" s="9" t="s">
        <v>225</v>
      </c>
      <c r="FJ112">
        <v>161</v>
      </c>
      <c r="FK112" t="s">
        <v>238</v>
      </c>
      <c r="FL112">
        <v>159</v>
      </c>
      <c r="FM112">
        <v>96.627334603659989</v>
      </c>
      <c r="FN112" s="5" t="s">
        <v>237</v>
      </c>
      <c r="FP112" s="6">
        <v>4.8313667301829994</v>
      </c>
      <c r="FQ112" t="s">
        <v>277</v>
      </c>
      <c r="FS112" t="s">
        <v>240</v>
      </c>
      <c r="FU112" s="8">
        <v>2</v>
      </c>
      <c r="FV112" s="8">
        <v>10</v>
      </c>
      <c r="FW112" s="8">
        <v>10</v>
      </c>
      <c r="FX112" s="8">
        <v>10</v>
      </c>
      <c r="FY112" s="8">
        <v>3</v>
      </c>
      <c r="FZ112">
        <f t="shared" si="1"/>
        <v>6000</v>
      </c>
      <c r="GA112" s="7" t="s">
        <v>241</v>
      </c>
      <c r="GB112" s="7" t="s">
        <v>241</v>
      </c>
      <c r="GC112" s="6">
        <v>30</v>
      </c>
      <c r="GD112" s="348" t="s">
        <v>242</v>
      </c>
      <c r="GF112" s="6">
        <v>4.4786667611951901E-2</v>
      </c>
      <c r="GH112" s="7"/>
      <c r="GI112" s="445"/>
      <c r="GJ112" s="445"/>
      <c r="GK112" s="445"/>
      <c r="GL112" s="445"/>
      <c r="GM112" s="453"/>
      <c r="GN112" s="6">
        <v>0.2</v>
      </c>
      <c r="GO112" s="6">
        <v>0.375</v>
      </c>
      <c r="GP112" s="6">
        <v>0.6</v>
      </c>
      <c r="GQ112" s="6">
        <v>1.5</v>
      </c>
      <c r="GR112" s="6" t="s">
        <v>230</v>
      </c>
      <c r="GU112" t="s">
        <v>243</v>
      </c>
      <c r="GV112" t="s">
        <v>223</v>
      </c>
      <c r="GW112" t="s">
        <v>244</v>
      </c>
      <c r="GX112" t="s">
        <v>236</v>
      </c>
      <c r="GY112" t="s">
        <v>245</v>
      </c>
      <c r="GZ112" t="s">
        <v>376</v>
      </c>
      <c r="HB112" t="s">
        <v>376</v>
      </c>
      <c r="HE112" t="s">
        <v>247</v>
      </c>
      <c r="HF112" t="s">
        <v>249</v>
      </c>
      <c r="HG112" t="s">
        <v>317</v>
      </c>
      <c r="HH112" t="s">
        <v>236</v>
      </c>
      <c r="HI112" t="s">
        <v>247</v>
      </c>
      <c r="HJ112" t="s">
        <v>249</v>
      </c>
      <c r="HK112" t="s">
        <v>266</v>
      </c>
      <c r="HL112" t="s">
        <v>231</v>
      </c>
      <c r="HM112" t="s">
        <v>231</v>
      </c>
      <c r="HO112" t="s">
        <v>231</v>
      </c>
      <c r="HP112" t="s">
        <v>249</v>
      </c>
      <c r="HQ112" t="s">
        <v>231</v>
      </c>
      <c r="HR112" t="s">
        <v>249</v>
      </c>
      <c r="HS112" t="s">
        <v>231</v>
      </c>
      <c r="HU112" t="s">
        <v>231</v>
      </c>
      <c r="HV112" t="s">
        <v>249</v>
      </c>
      <c r="HW112" t="s">
        <v>563</v>
      </c>
      <c r="HX112" t="s">
        <v>223</v>
      </c>
      <c r="IA112" t="s">
        <v>231</v>
      </c>
      <c r="IB112" t="s">
        <v>250</v>
      </c>
      <c r="IC112" s="447"/>
      <c r="ID112" s="447"/>
      <c r="IE112" s="447"/>
      <c r="IF112" s="447"/>
      <c r="IH112" t="s">
        <v>235</v>
      </c>
    </row>
    <row r="113" spans="1:242" x14ac:dyDescent="0.35">
      <c r="A113" s="310" t="s">
        <v>895</v>
      </c>
      <c r="B113" s="313" t="s">
        <v>896</v>
      </c>
      <c r="C113" s="310" t="s">
        <v>897</v>
      </c>
      <c r="D113" s="316"/>
      <c r="F113" t="s">
        <v>898</v>
      </c>
      <c r="I113" s="310" t="s">
        <v>899</v>
      </c>
      <c r="M113" s="313"/>
      <c r="O113"/>
      <c r="P113" s="381"/>
      <c r="Q113"/>
      <c r="T113" s="8"/>
      <c r="U113"/>
      <c r="V113" s="313"/>
      <c r="W113"/>
      <c r="X113"/>
      <c r="Z113"/>
      <c r="AB113"/>
      <c r="AD113" s="8" t="s">
        <v>230</v>
      </c>
      <c r="AF113" s="8" t="s">
        <v>230</v>
      </c>
      <c r="AG113"/>
      <c r="AH113"/>
      <c r="AI113"/>
      <c r="AJ113" t="s">
        <v>221</v>
      </c>
      <c r="AK113">
        <v>0.05</v>
      </c>
      <c r="AL113">
        <v>0.67500000000000004</v>
      </c>
      <c r="AM113" t="s">
        <v>221</v>
      </c>
      <c r="AN113" t="s">
        <v>223</v>
      </c>
      <c r="AO113" t="s">
        <v>221</v>
      </c>
      <c r="AP113" t="s">
        <v>223</v>
      </c>
      <c r="AQ113" s="442" t="s">
        <v>414</v>
      </c>
      <c r="AR113" t="s">
        <v>236</v>
      </c>
      <c r="AS113" t="s">
        <v>221</v>
      </c>
      <c r="AT113" t="s">
        <v>223</v>
      </c>
      <c r="AU113" t="s">
        <v>220</v>
      </c>
      <c r="AV113"/>
      <c r="AW113" s="313" t="s">
        <v>220</v>
      </c>
      <c r="AX113" t="s">
        <v>226</v>
      </c>
      <c r="AY113" s="313" t="s">
        <v>220</v>
      </c>
      <c r="AZ113" s="313">
        <v>2.7400000000000001E-2</v>
      </c>
      <c r="BB113" s="313" t="s">
        <v>220</v>
      </c>
      <c r="BC113">
        <v>1.21E-2</v>
      </c>
      <c r="BD113" t="s">
        <v>220</v>
      </c>
      <c r="BE113">
        <v>2.8799999999999999E-2</v>
      </c>
      <c r="BF113" s="2" t="s">
        <v>220</v>
      </c>
      <c r="BG113" s="3" t="s">
        <v>416</v>
      </c>
      <c r="BH113" s="2" t="s">
        <v>274</v>
      </c>
      <c r="BI113" s="2" t="s">
        <v>275</v>
      </c>
      <c r="BM113"/>
      <c r="BP113" s="8"/>
      <c r="BQ113" t="s">
        <v>230</v>
      </c>
      <c r="BR113" t="s">
        <v>230</v>
      </c>
      <c r="BU113" t="s">
        <v>317</v>
      </c>
      <c r="BV113" t="s">
        <v>236</v>
      </c>
      <c r="BW113" t="s">
        <v>232</v>
      </c>
      <c r="BX113" t="s">
        <v>284</v>
      </c>
      <c r="BY113" t="s">
        <v>220</v>
      </c>
      <c r="BZ113">
        <v>0.308</v>
      </c>
      <c r="CA113" t="s">
        <v>372</v>
      </c>
      <c r="CF113" t="s">
        <v>220</v>
      </c>
      <c r="CG113">
        <v>0.32800000000000001</v>
      </c>
      <c r="CH113" t="s">
        <v>220</v>
      </c>
      <c r="CI113">
        <v>5.1999999999999998E-2</v>
      </c>
      <c r="CK113"/>
      <c r="CL113"/>
      <c r="CM113"/>
      <c r="CS113" s="8"/>
      <c r="CW113" t="s">
        <v>257</v>
      </c>
      <c r="CX113" t="s">
        <v>220</v>
      </c>
      <c r="CY113" t="s">
        <v>231</v>
      </c>
      <c r="CZ113" t="s">
        <v>220</v>
      </c>
      <c r="DA113" t="s">
        <v>220</v>
      </c>
      <c r="DB113" t="s">
        <v>220</v>
      </c>
      <c r="DC113"/>
      <c r="DD113"/>
      <c r="DE113"/>
      <c r="DF113"/>
      <c r="DG113"/>
      <c r="DH113" s="323"/>
      <c r="DI113" s="323"/>
      <c r="DJ113" s="323"/>
      <c r="DL113" t="s">
        <v>257</v>
      </c>
      <c r="DM113" t="s">
        <v>220</v>
      </c>
      <c r="DN113" t="s">
        <v>257</v>
      </c>
      <c r="DO113" t="s">
        <v>257</v>
      </c>
      <c r="DP113" t="s">
        <v>257</v>
      </c>
      <c r="DS113" s="309">
        <v>359.34699999999998</v>
      </c>
      <c r="DU113" s="309">
        <v>874.97400000000005</v>
      </c>
      <c r="DW113"/>
      <c r="DX113" t="s">
        <v>235</v>
      </c>
      <c r="DY113">
        <v>2270</v>
      </c>
      <c r="DZ113" t="s">
        <v>238</v>
      </c>
      <c r="EA113"/>
      <c r="EB113"/>
      <c r="ED113" s="410"/>
      <c r="EE113" s="1"/>
      <c r="EG113" s="410"/>
      <c r="EI113" s="410"/>
      <c r="EK113" s="1"/>
      <c r="EM113"/>
      <c r="EQ113" s="344"/>
      <c r="EU113" s="344"/>
      <c r="EW113" s="409"/>
      <c r="EY113" s="1"/>
      <c r="FA113">
        <v>37.020000000000003</v>
      </c>
      <c r="FB113" t="s">
        <v>236</v>
      </c>
      <c r="FC113" s="7">
        <v>57.729792964823446</v>
      </c>
      <c r="FD113" s="357" t="s">
        <v>236</v>
      </c>
      <c r="FE113" s="8">
        <v>45.488330733814536</v>
      </c>
      <c r="FF113" t="s">
        <v>237</v>
      </c>
      <c r="FH113" s="9">
        <v>42.121128675406688</v>
      </c>
      <c r="FI113" s="9" t="s">
        <v>236</v>
      </c>
      <c r="FK113" t="s">
        <v>235</v>
      </c>
      <c r="FL113">
        <v>129</v>
      </c>
      <c r="FM113">
        <v>229.77353193606376</v>
      </c>
      <c r="FN113" s="5" t="s">
        <v>237</v>
      </c>
      <c r="FP113" s="6">
        <v>11.488676596803188</v>
      </c>
      <c r="FQ113" t="s">
        <v>277</v>
      </c>
      <c r="FS113" t="s">
        <v>240</v>
      </c>
      <c r="FU113" s="8">
        <v>2</v>
      </c>
      <c r="FV113" s="8">
        <v>10</v>
      </c>
      <c r="FW113" s="8">
        <v>10</v>
      </c>
      <c r="FX113" s="8">
        <v>10</v>
      </c>
      <c r="FY113" s="8">
        <v>3</v>
      </c>
      <c r="FZ113">
        <f t="shared" si="1"/>
        <v>6000</v>
      </c>
      <c r="GA113" s="7" t="s">
        <v>326</v>
      </c>
      <c r="GB113" s="7" t="s">
        <v>326</v>
      </c>
      <c r="GC113" s="6">
        <v>1.5</v>
      </c>
      <c r="GD113" s="348" t="s">
        <v>383</v>
      </c>
      <c r="GF113" s="6">
        <v>7.0201881125677816E-3</v>
      </c>
      <c r="GH113" s="7"/>
      <c r="GI113" s="441">
        <v>0.255</v>
      </c>
      <c r="GJ113" s="441">
        <v>0.47899999999999998</v>
      </c>
      <c r="GK113" s="441">
        <v>0.76600000000000001</v>
      </c>
      <c r="GL113" s="441">
        <v>1.915</v>
      </c>
      <c r="GM113" s="452" t="s">
        <v>262</v>
      </c>
      <c r="GN113" s="6">
        <v>0.01</v>
      </c>
      <c r="GO113" s="6">
        <v>1.8749999999999999E-2</v>
      </c>
      <c r="GP113" s="6">
        <v>0.03</v>
      </c>
      <c r="GQ113" s="6">
        <v>7.4999999999999997E-2</v>
      </c>
      <c r="GR113" s="6" t="s">
        <v>230</v>
      </c>
      <c r="GU113" t="s">
        <v>365</v>
      </c>
      <c r="GV113" t="s">
        <v>236</v>
      </c>
      <c r="GW113" t="s">
        <v>359</v>
      </c>
      <c r="GX113" t="s">
        <v>225</v>
      </c>
      <c r="GY113" t="s">
        <v>900</v>
      </c>
      <c r="HE113" t="s">
        <v>901</v>
      </c>
      <c r="HF113" t="s">
        <v>223</v>
      </c>
      <c r="HG113" t="s">
        <v>231</v>
      </c>
      <c r="HH113" t="s">
        <v>236</v>
      </c>
      <c r="HI113" t="s">
        <v>247</v>
      </c>
      <c r="HJ113" t="s">
        <v>223</v>
      </c>
      <c r="HK113" t="s">
        <v>418</v>
      </c>
      <c r="HO113" t="s">
        <v>231</v>
      </c>
      <c r="HP113" t="s">
        <v>223</v>
      </c>
      <c r="HQ113" t="s">
        <v>231</v>
      </c>
      <c r="HR113" t="s">
        <v>223</v>
      </c>
      <c r="HU113" t="s">
        <v>231</v>
      </c>
      <c r="HV113" t="s">
        <v>223</v>
      </c>
      <c r="HW113" t="s">
        <v>246</v>
      </c>
      <c r="HX113" t="s">
        <v>236</v>
      </c>
      <c r="IA113" t="s">
        <v>231</v>
      </c>
      <c r="IB113" t="s">
        <v>250</v>
      </c>
      <c r="IC113">
        <v>0.255</v>
      </c>
      <c r="ID113">
        <v>0.47899999999999998</v>
      </c>
      <c r="IE113">
        <v>0.76600000000000001</v>
      </c>
      <c r="IF113">
        <v>1.915</v>
      </c>
      <c r="IH113" t="s">
        <v>267</v>
      </c>
    </row>
    <row r="114" spans="1:242" x14ac:dyDescent="0.35">
      <c r="A114" s="310" t="s">
        <v>902</v>
      </c>
      <c r="B114" s="313" t="s">
        <v>903</v>
      </c>
      <c r="C114" s="310" t="s">
        <v>904</v>
      </c>
      <c r="D114" s="316"/>
      <c r="F114" t="s">
        <v>905</v>
      </c>
      <c r="I114" s="310" t="s">
        <v>906</v>
      </c>
      <c r="M114" s="313"/>
      <c r="O114"/>
      <c r="P114" s="381"/>
      <c r="Q114"/>
      <c r="S114" t="s">
        <v>221</v>
      </c>
      <c r="T114" s="8"/>
      <c r="U114" t="s">
        <v>221</v>
      </c>
      <c r="V114" s="313"/>
      <c r="W114" t="s">
        <v>220</v>
      </c>
      <c r="X114" t="s">
        <v>220</v>
      </c>
      <c r="Z114" t="s">
        <v>220</v>
      </c>
      <c r="AB114"/>
      <c r="AD114" s="8" t="s">
        <v>222</v>
      </c>
      <c r="AF114" s="8" t="s">
        <v>222</v>
      </c>
      <c r="AG114"/>
      <c r="AH114"/>
      <c r="AI114"/>
      <c r="AJ114" t="s">
        <v>221</v>
      </c>
      <c r="AK114">
        <v>0</v>
      </c>
      <c r="AL114">
        <v>1</v>
      </c>
      <c r="AM114" t="s">
        <v>221</v>
      </c>
      <c r="AN114" t="s">
        <v>223</v>
      </c>
      <c r="AO114" t="s">
        <v>221</v>
      </c>
      <c r="AP114" t="s">
        <v>223</v>
      </c>
      <c r="AQ114" t="s">
        <v>221</v>
      </c>
      <c r="AR114"/>
      <c r="AS114" t="s">
        <v>221</v>
      </c>
      <c r="AT114"/>
      <c r="AU114" t="s">
        <v>220</v>
      </c>
      <c r="AV114"/>
      <c r="AW114" s="313" t="s">
        <v>220</v>
      </c>
      <c r="AX114" t="s">
        <v>226</v>
      </c>
      <c r="AY114" s="313" t="s">
        <v>220</v>
      </c>
      <c r="AZ114" s="313">
        <v>0.183</v>
      </c>
      <c r="BB114" s="313" t="s">
        <v>220</v>
      </c>
      <c r="BC114">
        <v>9.7600000000000006E-2</v>
      </c>
      <c r="BD114" t="s">
        <v>220</v>
      </c>
      <c r="BE114">
        <v>0.17199999999999999</v>
      </c>
      <c r="BF114" s="2" t="s">
        <v>220</v>
      </c>
      <c r="BH114" s="2" t="s">
        <v>228</v>
      </c>
      <c r="BI114" s="2" t="s">
        <v>229</v>
      </c>
      <c r="BM114"/>
      <c r="BP114" s="8"/>
      <c r="BQ114" t="s">
        <v>230</v>
      </c>
      <c r="BR114" t="s">
        <v>230</v>
      </c>
      <c r="BU114" t="s">
        <v>293</v>
      </c>
      <c r="BV114" t="s">
        <v>236</v>
      </c>
      <c r="BW114" t="s">
        <v>232</v>
      </c>
      <c r="BX114" t="s">
        <v>284</v>
      </c>
      <c r="BY114" t="s">
        <v>227</v>
      </c>
      <c r="BZ114">
        <v>0.61199999999999999</v>
      </c>
      <c r="CA114" t="s">
        <v>372</v>
      </c>
      <c r="CF114" t="s">
        <v>220</v>
      </c>
      <c r="CG114">
        <v>0.18099999999999999</v>
      </c>
      <c r="CH114" t="s">
        <v>220</v>
      </c>
      <c r="CI114">
        <v>0.26100000000000001</v>
      </c>
      <c r="CK114" t="s">
        <v>220</v>
      </c>
      <c r="CL114" t="s">
        <v>220</v>
      </c>
      <c r="CM114" t="s">
        <v>231</v>
      </c>
      <c r="CS114" s="8"/>
      <c r="CW114" t="s">
        <v>220</v>
      </c>
      <c r="CX114" t="s">
        <v>220</v>
      </c>
      <c r="CY114" t="s">
        <v>231</v>
      </c>
      <c r="CZ114" t="s">
        <v>257</v>
      </c>
      <c r="DA114" t="s">
        <v>257</v>
      </c>
      <c r="DB114" t="s">
        <v>227</v>
      </c>
      <c r="DC114" t="s">
        <v>257</v>
      </c>
      <c r="DD114" t="s">
        <v>257</v>
      </c>
      <c r="DE114"/>
      <c r="DF114"/>
      <c r="DG114"/>
      <c r="DH114" s="323"/>
      <c r="DI114" s="323"/>
      <c r="DJ114" s="323"/>
      <c r="DL114" t="s">
        <v>257</v>
      </c>
      <c r="DM114" t="s">
        <v>257</v>
      </c>
      <c r="DN114" t="s">
        <v>227</v>
      </c>
      <c r="DO114" t="s">
        <v>257</v>
      </c>
      <c r="DP114" t="s">
        <v>257</v>
      </c>
      <c r="DS114" s="309">
        <v>107.66500000000001</v>
      </c>
      <c r="DU114" s="309">
        <v>487.20299999999997</v>
      </c>
      <c r="DW114">
        <v>821</v>
      </c>
      <c r="DX114" t="s">
        <v>238</v>
      </c>
      <c r="DY114">
        <v>849</v>
      </c>
      <c r="DZ114" t="s">
        <v>238</v>
      </c>
      <c r="EA114"/>
      <c r="EB114"/>
      <c r="ED114" s="410"/>
      <c r="EE114" s="1"/>
      <c r="EG114" s="410"/>
      <c r="EI114" s="410"/>
      <c r="EK114" s="1">
        <v>150</v>
      </c>
      <c r="EL114" s="8" t="s">
        <v>259</v>
      </c>
      <c r="EM114"/>
      <c r="EN114" s="9">
        <v>4441.7841779999999</v>
      </c>
      <c r="EQ114" s="344"/>
      <c r="EU114" s="344"/>
      <c r="EW114" s="381">
        <v>4435</v>
      </c>
      <c r="EX114" s="8" t="s">
        <v>324</v>
      </c>
      <c r="EY114" s="1"/>
      <c r="FA114">
        <v>37.32</v>
      </c>
      <c r="FB114" t="s">
        <v>225</v>
      </c>
      <c r="FC114" s="7">
        <v>116.94993910198721</v>
      </c>
      <c r="FD114" s="357" t="s">
        <v>223</v>
      </c>
      <c r="FE114" s="8">
        <v>282.22793621181091</v>
      </c>
      <c r="FF114" t="s">
        <v>237</v>
      </c>
      <c r="FH114" s="9">
        <v>550.30061732345757</v>
      </c>
      <c r="FI114" s="9" t="s">
        <v>223</v>
      </c>
      <c r="FJ114">
        <v>1410</v>
      </c>
      <c r="FK114" t="s">
        <v>267</v>
      </c>
      <c r="FL114">
        <v>188</v>
      </c>
      <c r="FM114">
        <v>705.9923578936681</v>
      </c>
      <c r="FN114" s="5" t="s">
        <v>237</v>
      </c>
      <c r="FP114" s="6">
        <v>75</v>
      </c>
      <c r="FQ114" t="s">
        <v>260</v>
      </c>
      <c r="FS114" t="s">
        <v>261</v>
      </c>
      <c r="FU114" s="8">
        <v>2</v>
      </c>
      <c r="FV114" s="8">
        <v>10</v>
      </c>
      <c r="FW114" s="8">
        <v>10</v>
      </c>
      <c r="FX114" s="8">
        <v>1</v>
      </c>
      <c r="FY114" s="8">
        <v>3</v>
      </c>
      <c r="FZ114">
        <f t="shared" si="1"/>
        <v>600</v>
      </c>
      <c r="GA114" s="7" t="s">
        <v>241</v>
      </c>
      <c r="GB114" s="7" t="s">
        <v>241</v>
      </c>
      <c r="GC114" s="6">
        <v>30</v>
      </c>
      <c r="GD114" s="348" t="s">
        <v>242</v>
      </c>
      <c r="GF114" s="6">
        <v>6.2199999999999998E-2</v>
      </c>
      <c r="GH114" s="7"/>
      <c r="GI114" s="441">
        <v>1.667</v>
      </c>
      <c r="GJ114" s="441">
        <v>3.125</v>
      </c>
      <c r="GK114" s="441">
        <v>5</v>
      </c>
      <c r="GL114" s="441">
        <v>12.5</v>
      </c>
      <c r="GM114" s="452" t="s">
        <v>262</v>
      </c>
      <c r="GN114" s="6">
        <v>0.2</v>
      </c>
      <c r="GO114" s="6">
        <v>0.375</v>
      </c>
      <c r="GP114" s="6">
        <v>0.6</v>
      </c>
      <c r="GQ114" s="6">
        <v>1.5</v>
      </c>
      <c r="GR114" s="6" t="s">
        <v>230</v>
      </c>
      <c r="GU114" t="s">
        <v>365</v>
      </c>
      <c r="GV114" t="s">
        <v>225</v>
      </c>
      <c r="GW114" t="s">
        <v>359</v>
      </c>
      <c r="GX114" t="s">
        <v>223</v>
      </c>
      <c r="GY114" t="s">
        <v>851</v>
      </c>
      <c r="GZ114" t="s">
        <v>376</v>
      </c>
      <c r="HA114" t="s">
        <v>231</v>
      </c>
      <c r="HB114" t="s">
        <v>376</v>
      </c>
      <c r="HE114" t="s">
        <v>247</v>
      </c>
      <c r="HF114" t="s">
        <v>249</v>
      </c>
      <c r="HG114" t="s">
        <v>231</v>
      </c>
      <c r="HH114" t="s">
        <v>249</v>
      </c>
      <c r="HI114" t="s">
        <v>247</v>
      </c>
      <c r="HJ114" t="s">
        <v>249</v>
      </c>
      <c r="HK114" t="s">
        <v>248</v>
      </c>
      <c r="HL114" t="s">
        <v>231</v>
      </c>
      <c r="HM114" t="s">
        <v>231</v>
      </c>
      <c r="HO114" t="s">
        <v>231</v>
      </c>
      <c r="HP114" t="s">
        <v>249</v>
      </c>
      <c r="HQ114" t="s">
        <v>231</v>
      </c>
      <c r="HR114" t="s">
        <v>249</v>
      </c>
      <c r="HS114" t="s">
        <v>231</v>
      </c>
      <c r="HU114" t="s">
        <v>231</v>
      </c>
      <c r="HV114" t="s">
        <v>249</v>
      </c>
      <c r="HW114" t="s">
        <v>246</v>
      </c>
      <c r="HX114" t="s">
        <v>236</v>
      </c>
      <c r="IA114" t="s">
        <v>317</v>
      </c>
      <c r="IB114" t="s">
        <v>250</v>
      </c>
      <c r="IC114">
        <v>1.667</v>
      </c>
      <c r="ID114">
        <v>3.125</v>
      </c>
      <c r="IE114">
        <v>5</v>
      </c>
      <c r="IF114">
        <v>12.5</v>
      </c>
      <c r="IH114" t="s">
        <v>267</v>
      </c>
    </row>
    <row r="115" spans="1:242" x14ac:dyDescent="0.35">
      <c r="A115" s="310" t="s">
        <v>907</v>
      </c>
      <c r="B115" s="313" t="s">
        <v>908</v>
      </c>
      <c r="C115" s="310" t="s">
        <v>909</v>
      </c>
      <c r="D115" s="316"/>
      <c r="F115" t="s">
        <v>910</v>
      </c>
      <c r="I115" s="310" t="s">
        <v>911</v>
      </c>
      <c r="M115" s="313"/>
      <c r="O115" t="s">
        <v>221</v>
      </c>
      <c r="P115" s="381"/>
      <c r="Q115" t="s">
        <v>221</v>
      </c>
      <c r="T115" s="8"/>
      <c r="U115" t="s">
        <v>221</v>
      </c>
      <c r="V115" s="313"/>
      <c r="W115" t="s">
        <v>220</v>
      </c>
      <c r="X115" t="s">
        <v>220</v>
      </c>
      <c r="Z115" t="s">
        <v>220</v>
      </c>
      <c r="AB115"/>
      <c r="AD115" s="8" t="s">
        <v>222</v>
      </c>
      <c r="AF115" s="8" t="s">
        <v>222</v>
      </c>
      <c r="AG115"/>
      <c r="AH115"/>
      <c r="AI115"/>
      <c r="AJ115" t="s">
        <v>221</v>
      </c>
      <c r="AK115">
        <v>0</v>
      </c>
      <c r="AL115">
        <v>1</v>
      </c>
      <c r="AM115" t="s">
        <v>221</v>
      </c>
      <c r="AN115" t="s">
        <v>249</v>
      </c>
      <c r="AO115" t="s">
        <v>221</v>
      </c>
      <c r="AP115"/>
      <c r="AQ115" t="s">
        <v>221</v>
      </c>
      <c r="AR115" t="s">
        <v>223</v>
      </c>
      <c r="AS115" t="s">
        <v>221</v>
      </c>
      <c r="AT115"/>
      <c r="AU115" t="s">
        <v>220</v>
      </c>
      <c r="AV115"/>
      <c r="AW115" s="313" t="s">
        <v>220</v>
      </c>
      <c r="AX115" t="s">
        <v>226</v>
      </c>
      <c r="AY115" s="313" t="s">
        <v>220</v>
      </c>
      <c r="AZ115" s="313">
        <v>7.4800000000000005E-2</v>
      </c>
      <c r="BB115" s="313" t="s">
        <v>220</v>
      </c>
      <c r="BC115">
        <v>4.8000000000000001E-2</v>
      </c>
      <c r="BD115" t="s">
        <v>220</v>
      </c>
      <c r="BE115">
        <v>3.3099999999999997E-2</v>
      </c>
      <c r="BF115" s="2" t="s">
        <v>220</v>
      </c>
      <c r="BH115" s="2" t="s">
        <v>228</v>
      </c>
      <c r="BI115" s="2" t="s">
        <v>229</v>
      </c>
      <c r="BM115"/>
      <c r="BP115" s="8"/>
      <c r="BQ115" t="s">
        <v>230</v>
      </c>
      <c r="BR115" t="s">
        <v>230</v>
      </c>
      <c r="BU115" t="s">
        <v>231</v>
      </c>
      <c r="BV115" t="s">
        <v>223</v>
      </c>
      <c r="BW115" t="s">
        <v>232</v>
      </c>
      <c r="BX115" t="s">
        <v>284</v>
      </c>
      <c r="BY115" t="s">
        <v>220</v>
      </c>
      <c r="BZ115">
        <v>0.26900000000000002</v>
      </c>
      <c r="CA115" t="s">
        <v>234</v>
      </c>
      <c r="CF115" t="s">
        <v>220</v>
      </c>
      <c r="CG115">
        <v>0.23100000000000001</v>
      </c>
      <c r="CH115" t="s">
        <v>220</v>
      </c>
      <c r="CI115">
        <v>5.2600000000000001E-2</v>
      </c>
      <c r="CK115"/>
      <c r="CL115"/>
      <c r="CM115"/>
      <c r="CS115" s="8"/>
      <c r="CW115" t="s">
        <v>220</v>
      </c>
      <c r="CX115" t="s">
        <v>220</v>
      </c>
      <c r="CY115" t="s">
        <v>231</v>
      </c>
      <c r="CZ115" t="s">
        <v>220</v>
      </c>
      <c r="DA115" t="s">
        <v>220</v>
      </c>
      <c r="DB115" t="s">
        <v>220</v>
      </c>
      <c r="DC115"/>
      <c r="DD115"/>
      <c r="DE115"/>
      <c r="DF115"/>
      <c r="DG115"/>
      <c r="DH115" s="323"/>
      <c r="DI115" s="323"/>
      <c r="DJ115" s="323"/>
      <c r="DL115" t="s">
        <v>257</v>
      </c>
      <c r="DM115" t="s">
        <v>220</v>
      </c>
      <c r="DN115" t="s">
        <v>257</v>
      </c>
      <c r="DO115" t="s">
        <v>220</v>
      </c>
      <c r="DP115" t="s">
        <v>220</v>
      </c>
      <c r="DS115" s="309">
        <v>153.16200000000001</v>
      </c>
      <c r="DU115" s="309">
        <v>547.33299999999997</v>
      </c>
      <c r="DW115">
        <v>112</v>
      </c>
      <c r="DX115" t="s">
        <v>238</v>
      </c>
      <c r="DY115">
        <v>411</v>
      </c>
      <c r="DZ115" t="s">
        <v>238</v>
      </c>
      <c r="EA115"/>
      <c r="EB115"/>
      <c r="ED115" s="410"/>
      <c r="EE115" s="1"/>
      <c r="EG115" s="410">
        <v>120</v>
      </c>
      <c r="EH115" s="8" t="s">
        <v>259</v>
      </c>
      <c r="EI115" s="410"/>
      <c r="EK115" s="1">
        <v>1000</v>
      </c>
      <c r="EL115" s="8" t="s">
        <v>259</v>
      </c>
      <c r="EM115"/>
      <c r="EQ115" s="344"/>
      <c r="EU115" s="344"/>
      <c r="EW115" s="409"/>
      <c r="EY115" s="1"/>
      <c r="FA115">
        <v>132.93</v>
      </c>
      <c r="FB115" t="s">
        <v>236</v>
      </c>
      <c r="FC115" s="7">
        <v>142.7907254367376</v>
      </c>
      <c r="FD115" s="357" t="s">
        <v>225</v>
      </c>
      <c r="FE115" s="8">
        <v>53.394927357417686</v>
      </c>
      <c r="FF115" t="s">
        <v>237</v>
      </c>
      <c r="FH115" s="9">
        <v>204.31488145171687</v>
      </c>
      <c r="FI115" s="9" t="s">
        <v>225</v>
      </c>
      <c r="FJ115">
        <v>155</v>
      </c>
      <c r="FK115" t="s">
        <v>238</v>
      </c>
      <c r="FL115">
        <v>196</v>
      </c>
      <c r="FM115">
        <v>177.13321286869814</v>
      </c>
      <c r="FN115" s="5" t="s">
        <v>237</v>
      </c>
      <c r="FP115" s="6">
        <v>60</v>
      </c>
      <c r="FQ115" t="s">
        <v>615</v>
      </c>
      <c r="FS115" t="s">
        <v>261</v>
      </c>
      <c r="FU115" s="8">
        <v>2</v>
      </c>
      <c r="FV115" s="8">
        <v>10</v>
      </c>
      <c r="FW115" s="8">
        <v>10</v>
      </c>
      <c r="FX115" s="8">
        <v>1</v>
      </c>
      <c r="FY115" s="8">
        <v>3</v>
      </c>
      <c r="FZ115">
        <f t="shared" si="1"/>
        <v>600</v>
      </c>
      <c r="GA115" s="7" t="s">
        <v>241</v>
      </c>
      <c r="GB115" s="7" t="s">
        <v>241</v>
      </c>
      <c r="GC115" s="6">
        <v>30</v>
      </c>
      <c r="GD115" s="348" t="s">
        <v>242</v>
      </c>
      <c r="GF115" s="6">
        <v>3.4052480241952815E-2</v>
      </c>
      <c r="GH115" s="7"/>
      <c r="GI115" s="441"/>
      <c r="GJ115" s="441"/>
      <c r="GK115" s="441"/>
      <c r="GL115" s="441"/>
      <c r="GM115" s="454"/>
      <c r="GN115" s="441"/>
      <c r="GO115" s="441"/>
      <c r="GP115" s="441"/>
      <c r="GQ115" s="441"/>
      <c r="GR115" s="441"/>
      <c r="GS115" s="441"/>
      <c r="GT115" s="441"/>
      <c r="GU115" s="441"/>
      <c r="GV115" s="441"/>
      <c r="GW115" s="441"/>
      <c r="GX115" s="441"/>
      <c r="GY115" s="441"/>
      <c r="GZ115" s="441"/>
      <c r="HA115" s="441"/>
      <c r="HB115" s="441"/>
      <c r="HC115" s="441"/>
      <c r="HD115" s="441"/>
      <c r="HE115" s="441"/>
      <c r="HF115" s="441"/>
      <c r="HG115" s="441"/>
      <c r="HH115" s="441"/>
      <c r="HI115" s="441"/>
      <c r="HJ115" s="441"/>
      <c r="HK115" s="441"/>
      <c r="HL115" s="441"/>
      <c r="HM115" s="441"/>
      <c r="HN115" s="441"/>
      <c r="HO115" s="441"/>
      <c r="HP115" s="441"/>
      <c r="HQ115" s="441"/>
      <c r="HR115" s="441"/>
      <c r="HS115" s="441"/>
      <c r="HT115" s="441"/>
      <c r="HU115" s="441"/>
      <c r="HV115" s="441"/>
      <c r="HW115" s="441"/>
      <c r="HX115" s="441"/>
      <c r="HY115" s="441"/>
      <c r="HZ115" s="441"/>
      <c r="IA115" s="441"/>
      <c r="IB115" s="441"/>
      <c r="IC115" s="441"/>
      <c r="ID115" s="441"/>
      <c r="IE115" s="441"/>
      <c r="IF115" s="441"/>
      <c r="IH115" t="s">
        <v>235</v>
      </c>
    </row>
    <row r="116" spans="1:242" x14ac:dyDescent="0.35">
      <c r="A116" s="310" t="s">
        <v>912</v>
      </c>
      <c r="B116" s="313" t="s">
        <v>913</v>
      </c>
      <c r="C116" s="310" t="s">
        <v>914</v>
      </c>
      <c r="D116" s="316"/>
      <c r="F116" t="s">
        <v>915</v>
      </c>
      <c r="I116" s="310" t="s">
        <v>916</v>
      </c>
      <c r="M116" s="313" t="s">
        <v>220</v>
      </c>
      <c r="O116"/>
      <c r="P116" s="381"/>
      <c r="Q116"/>
      <c r="T116" s="8"/>
      <c r="U116"/>
      <c r="V116" s="313"/>
      <c r="W116" t="s">
        <v>301</v>
      </c>
      <c r="X116"/>
      <c r="Z116"/>
      <c r="AB116"/>
      <c r="AD116" s="8" t="s">
        <v>222</v>
      </c>
      <c r="AF116" s="8" t="s">
        <v>230</v>
      </c>
      <c r="AG116"/>
      <c r="AH116"/>
      <c r="AI116"/>
      <c r="AJ116" t="s">
        <v>221</v>
      </c>
      <c r="AK116">
        <v>0</v>
      </c>
      <c r="AL116">
        <v>0.82499999999999996</v>
      </c>
      <c r="AM116" t="s">
        <v>221</v>
      </c>
      <c r="AN116" t="s">
        <v>223</v>
      </c>
      <c r="AO116" t="s">
        <v>221</v>
      </c>
      <c r="AP116" t="s">
        <v>225</v>
      </c>
      <c r="AQ116" t="s">
        <v>221</v>
      </c>
      <c r="AR116" t="s">
        <v>223</v>
      </c>
      <c r="AS116" t="s">
        <v>221</v>
      </c>
      <c r="AT116" t="s">
        <v>223</v>
      </c>
      <c r="AU116" t="s">
        <v>220</v>
      </c>
      <c r="AV116"/>
      <c r="AW116" s="313" t="s">
        <v>220</v>
      </c>
      <c r="AX116" t="s">
        <v>226</v>
      </c>
      <c r="AY116" s="313" t="s">
        <v>220</v>
      </c>
      <c r="AZ116" s="313">
        <v>3.3500000000000002E-2</v>
      </c>
      <c r="BB116" s="313" t="s">
        <v>220</v>
      </c>
      <c r="BC116">
        <v>1.0999999999999999E-2</v>
      </c>
      <c r="BD116" t="s">
        <v>220</v>
      </c>
      <c r="BE116">
        <v>8.2199999999999995E-2</v>
      </c>
      <c r="BF116" s="2" t="s">
        <v>220</v>
      </c>
      <c r="BH116" s="2" t="s">
        <v>228</v>
      </c>
      <c r="BI116" s="2" t="s">
        <v>302</v>
      </c>
      <c r="BM116"/>
      <c r="BP116" s="8"/>
      <c r="BQ116" t="s">
        <v>230</v>
      </c>
      <c r="BR116" t="s">
        <v>230</v>
      </c>
      <c r="BU116" t="s">
        <v>317</v>
      </c>
      <c r="BV116" t="s">
        <v>236</v>
      </c>
      <c r="BW116" t="s">
        <v>232</v>
      </c>
      <c r="BX116" t="s">
        <v>276</v>
      </c>
      <c r="BY116" t="s">
        <v>220</v>
      </c>
      <c r="BZ116">
        <v>0.42099999999999999</v>
      </c>
      <c r="CA116" t="s">
        <v>372</v>
      </c>
      <c r="CF116" t="s">
        <v>220</v>
      </c>
      <c r="CG116">
        <v>1.9900000000000001E-2</v>
      </c>
      <c r="CH116" t="s">
        <v>220</v>
      </c>
      <c r="CI116">
        <v>5.4699999999999999E-2</v>
      </c>
      <c r="CK116"/>
      <c r="CL116"/>
      <c r="CM116"/>
      <c r="CS116" s="8"/>
      <c r="CW116" t="s">
        <v>257</v>
      </c>
      <c r="CX116" t="s">
        <v>220</v>
      </c>
      <c r="CY116" t="s">
        <v>231</v>
      </c>
      <c r="CZ116" t="s">
        <v>220</v>
      </c>
      <c r="DA116" t="s">
        <v>257</v>
      </c>
      <c r="DB116" t="s">
        <v>220</v>
      </c>
      <c r="DC116"/>
      <c r="DD116"/>
      <c r="DE116"/>
      <c r="DF116"/>
      <c r="DG116"/>
      <c r="DH116" s="323"/>
      <c r="DI116" s="323"/>
      <c r="DJ116" s="323"/>
      <c r="DL116" t="s">
        <v>257</v>
      </c>
      <c r="DM116" t="s">
        <v>220</v>
      </c>
      <c r="DN116" t="s">
        <v>257</v>
      </c>
      <c r="DO116" t="s">
        <v>257</v>
      </c>
      <c r="DP116" t="s">
        <v>257</v>
      </c>
      <c r="DS116" s="309">
        <v>293.149</v>
      </c>
      <c r="DU116" s="309">
        <v>931.79200000000003</v>
      </c>
      <c r="DW116">
        <v>385</v>
      </c>
      <c r="DX116" t="s">
        <v>238</v>
      </c>
      <c r="DY116">
        <v>1170</v>
      </c>
      <c r="DZ116" t="s">
        <v>238</v>
      </c>
      <c r="EA116"/>
      <c r="EB116"/>
      <c r="ED116" s="410"/>
      <c r="EE116" s="1"/>
      <c r="EG116" s="410"/>
      <c r="EI116" s="410"/>
      <c r="EK116" s="1"/>
      <c r="EM116"/>
      <c r="EQ116" s="344"/>
      <c r="EU116" s="344"/>
      <c r="EW116" s="409"/>
      <c r="EY116" s="1"/>
      <c r="FA116">
        <v>45.14</v>
      </c>
      <c r="FB116" t="s">
        <v>236</v>
      </c>
      <c r="FC116" s="7">
        <v>97.364356979888669</v>
      </c>
      <c r="FD116" s="357" t="s">
        <v>223</v>
      </c>
      <c r="FE116" s="8">
        <v>104.08784089172661</v>
      </c>
      <c r="FF116" t="s">
        <v>237</v>
      </c>
      <c r="FH116" s="9">
        <v>215.42693374042378</v>
      </c>
      <c r="FI116" s="9" t="s">
        <v>225</v>
      </c>
      <c r="FJ116">
        <v>530</v>
      </c>
      <c r="FK116" t="s">
        <v>238</v>
      </c>
      <c r="FL116">
        <v>196</v>
      </c>
      <c r="FM116">
        <v>364.41815078886123</v>
      </c>
      <c r="FN116" s="5" t="s">
        <v>237</v>
      </c>
      <c r="FP116" s="6">
        <v>18.220907539443061</v>
      </c>
      <c r="FQ116" t="s">
        <v>277</v>
      </c>
      <c r="FS116" t="s">
        <v>240</v>
      </c>
      <c r="FU116" s="8">
        <v>2</v>
      </c>
      <c r="FV116" s="8">
        <v>10</v>
      </c>
      <c r="FW116" s="8">
        <v>10</v>
      </c>
      <c r="FX116" s="8">
        <v>10</v>
      </c>
      <c r="FY116" s="8">
        <v>3</v>
      </c>
      <c r="FZ116">
        <f t="shared" si="1"/>
        <v>6000</v>
      </c>
      <c r="GA116" s="7" t="s">
        <v>241</v>
      </c>
      <c r="GB116" s="7" t="s">
        <v>241</v>
      </c>
      <c r="GC116" s="6">
        <v>30</v>
      </c>
      <c r="GD116" s="348" t="s">
        <v>242</v>
      </c>
      <c r="GF116" s="6">
        <v>6.533333333333334E-2</v>
      </c>
      <c r="GH116" s="7"/>
      <c r="GI116" s="441">
        <v>0.40500000000000003</v>
      </c>
      <c r="GJ116" s="441">
        <v>0.75900000000000001</v>
      </c>
      <c r="GK116" s="441">
        <v>1.2150000000000001</v>
      </c>
      <c r="GL116" s="441">
        <v>3.0369999999999999</v>
      </c>
      <c r="GM116" s="452" t="s">
        <v>262</v>
      </c>
      <c r="GN116" s="6">
        <v>0.2</v>
      </c>
      <c r="GO116" s="6">
        <v>0.375</v>
      </c>
      <c r="GP116" s="6">
        <v>0.6</v>
      </c>
      <c r="GQ116" s="6">
        <v>1.5</v>
      </c>
      <c r="GR116" s="6" t="s">
        <v>230</v>
      </c>
      <c r="GU116" t="s">
        <v>243</v>
      </c>
      <c r="GV116" t="s">
        <v>223</v>
      </c>
      <c r="GW116" t="s">
        <v>359</v>
      </c>
      <c r="GX116" t="s">
        <v>223</v>
      </c>
      <c r="GY116" t="s">
        <v>851</v>
      </c>
      <c r="HA116" t="s">
        <v>231</v>
      </c>
      <c r="HE116" t="s">
        <v>384</v>
      </c>
      <c r="HF116" t="s">
        <v>236</v>
      </c>
      <c r="HG116" t="s">
        <v>231</v>
      </c>
      <c r="HH116" t="s">
        <v>249</v>
      </c>
      <c r="HI116" t="s">
        <v>247</v>
      </c>
      <c r="HJ116" t="s">
        <v>225</v>
      </c>
      <c r="HK116" t="s">
        <v>536</v>
      </c>
      <c r="HO116" t="s">
        <v>231</v>
      </c>
      <c r="HP116" t="s">
        <v>223</v>
      </c>
      <c r="HQ116" t="s">
        <v>231</v>
      </c>
      <c r="HR116" t="s">
        <v>223</v>
      </c>
      <c r="HU116" t="s">
        <v>231</v>
      </c>
      <c r="HV116" t="s">
        <v>225</v>
      </c>
      <c r="HW116" t="s">
        <v>246</v>
      </c>
      <c r="HX116" t="s">
        <v>236</v>
      </c>
      <c r="IA116" t="s">
        <v>231</v>
      </c>
      <c r="IB116" t="s">
        <v>250</v>
      </c>
      <c r="IC116">
        <v>0.40500000000000003</v>
      </c>
      <c r="ID116">
        <v>0.75900000000000001</v>
      </c>
      <c r="IE116">
        <v>1.2150000000000001</v>
      </c>
      <c r="IF116">
        <v>3.0369999999999999</v>
      </c>
      <c r="IH116" t="s">
        <v>267</v>
      </c>
    </row>
    <row r="117" spans="1:242" x14ac:dyDescent="0.35">
      <c r="A117" s="310" t="s">
        <v>917</v>
      </c>
      <c r="B117" s="313" t="s">
        <v>918</v>
      </c>
      <c r="C117" s="310" t="s">
        <v>919</v>
      </c>
      <c r="D117" s="316"/>
      <c r="F117" t="s">
        <v>920</v>
      </c>
      <c r="I117" s="310" t="s">
        <v>921</v>
      </c>
      <c r="J117" t="s">
        <v>922</v>
      </c>
      <c r="K117" t="s">
        <v>391</v>
      </c>
      <c r="M117" s="313"/>
      <c r="O117"/>
      <c r="P117" s="381"/>
      <c r="Q117"/>
      <c r="T117" s="8"/>
      <c r="U117"/>
      <c r="V117" s="313"/>
      <c r="W117" t="s">
        <v>220</v>
      </c>
      <c r="X117" t="s">
        <v>220</v>
      </c>
      <c r="Z117"/>
      <c r="AB117"/>
      <c r="AD117" s="8" t="s">
        <v>222</v>
      </c>
      <c r="AF117" s="8" t="s">
        <v>222</v>
      </c>
      <c r="AG117"/>
      <c r="AH117"/>
      <c r="AI117"/>
      <c r="AJ117" t="s">
        <v>221</v>
      </c>
      <c r="AK117">
        <v>0</v>
      </c>
      <c r="AL117">
        <v>0.9</v>
      </c>
      <c r="AM117" t="s">
        <v>221</v>
      </c>
      <c r="AN117" t="s">
        <v>223</v>
      </c>
      <c r="AO117" t="s">
        <v>221</v>
      </c>
      <c r="AP117" t="s">
        <v>223</v>
      </c>
      <c r="AQ117" t="s">
        <v>221</v>
      </c>
      <c r="AR117" t="s">
        <v>223</v>
      </c>
      <c r="AS117" t="s">
        <v>221</v>
      </c>
      <c r="AT117" t="s">
        <v>223</v>
      </c>
      <c r="AU117" t="s">
        <v>220</v>
      </c>
      <c r="AV117"/>
      <c r="AW117" s="313" t="s">
        <v>220</v>
      </c>
      <c r="AX117" t="s">
        <v>226</v>
      </c>
      <c r="AY117" s="313" t="s">
        <v>220</v>
      </c>
      <c r="AZ117" s="313">
        <v>3.5000000000000003E-2</v>
      </c>
      <c r="BB117" s="313" t="s">
        <v>220</v>
      </c>
      <c r="BC117">
        <v>2.24E-2</v>
      </c>
      <c r="BD117" t="s">
        <v>220</v>
      </c>
      <c r="BE117">
        <v>4.3999999999999997E-2</v>
      </c>
      <c r="BF117" s="2" t="s">
        <v>220</v>
      </c>
      <c r="BH117" s="2" t="s">
        <v>228</v>
      </c>
      <c r="BI117" s="2" t="s">
        <v>402</v>
      </c>
      <c r="BM117"/>
      <c r="BP117" s="8"/>
      <c r="BQ117" t="s">
        <v>230</v>
      </c>
      <c r="BR117" t="s">
        <v>230</v>
      </c>
      <c r="BU117" t="s">
        <v>293</v>
      </c>
      <c r="BV117" t="s">
        <v>236</v>
      </c>
      <c r="BW117" t="s">
        <v>232</v>
      </c>
      <c r="BX117" t="s">
        <v>276</v>
      </c>
      <c r="BY117" t="s">
        <v>220</v>
      </c>
      <c r="BZ117">
        <v>0.33</v>
      </c>
      <c r="CA117" t="s">
        <v>234</v>
      </c>
      <c r="CF117" t="s">
        <v>227</v>
      </c>
      <c r="CG117">
        <v>0.22</v>
      </c>
      <c r="CH117" t="s">
        <v>220</v>
      </c>
      <c r="CI117">
        <v>0.20499999999999999</v>
      </c>
      <c r="CK117"/>
      <c r="CL117"/>
      <c r="CM117"/>
      <c r="CS117" s="8"/>
      <c r="CW117" t="s">
        <v>220</v>
      </c>
      <c r="CX117" t="s">
        <v>220</v>
      </c>
      <c r="CY117" t="s">
        <v>231</v>
      </c>
      <c r="CZ117" t="s">
        <v>227</v>
      </c>
      <c r="DA117" t="s">
        <v>227</v>
      </c>
      <c r="DB117" t="s">
        <v>227</v>
      </c>
      <c r="DC117"/>
      <c r="DD117"/>
      <c r="DE117"/>
      <c r="DF117"/>
      <c r="DG117"/>
      <c r="DH117" s="323"/>
      <c r="DI117" s="323"/>
      <c r="DJ117" s="323"/>
      <c r="DL117" t="s">
        <v>257</v>
      </c>
      <c r="DM117" t="s">
        <v>220</v>
      </c>
      <c r="DN117" t="s">
        <v>257</v>
      </c>
      <c r="DO117" t="s">
        <v>220</v>
      </c>
      <c r="DP117" t="s">
        <v>220</v>
      </c>
      <c r="DS117" s="309">
        <v>54.213000000000001</v>
      </c>
      <c r="DU117" s="309">
        <v>581.05799999999999</v>
      </c>
      <c r="DW117"/>
      <c r="DX117" t="s">
        <v>235</v>
      </c>
      <c r="DY117">
        <v>55.4</v>
      </c>
      <c r="DZ117" t="s">
        <v>238</v>
      </c>
      <c r="EA117"/>
      <c r="EB117"/>
      <c r="ED117" s="410"/>
      <c r="EE117" s="1"/>
      <c r="EG117" s="410"/>
      <c r="EI117" s="410"/>
      <c r="EK117" s="1">
        <v>40</v>
      </c>
      <c r="EL117" s="8" t="s">
        <v>323</v>
      </c>
      <c r="EM117"/>
      <c r="EQ117" s="344"/>
      <c r="EU117" s="344"/>
      <c r="EW117" s="409"/>
      <c r="EY117" s="1"/>
      <c r="FA117">
        <v>24.26</v>
      </c>
      <c r="FB117" t="s">
        <v>236</v>
      </c>
      <c r="FC117" s="7">
        <v>148.08122552675113</v>
      </c>
      <c r="FD117" s="357" t="s">
        <v>236</v>
      </c>
      <c r="FE117" s="8">
        <v>18.531048811186729</v>
      </c>
      <c r="FF117" t="s">
        <v>237</v>
      </c>
      <c r="FH117" s="9">
        <v>344.6672348717895</v>
      </c>
      <c r="FI117" s="9" t="s">
        <v>236</v>
      </c>
      <c r="FK117" t="s">
        <v>235</v>
      </c>
      <c r="FL117">
        <v>176</v>
      </c>
      <c r="FM117">
        <v>31.608217127583487</v>
      </c>
      <c r="FN117" s="5" t="s">
        <v>237</v>
      </c>
      <c r="FP117" s="6">
        <v>40</v>
      </c>
      <c r="FQ117" t="s">
        <v>260</v>
      </c>
      <c r="FS117" t="s">
        <v>261</v>
      </c>
      <c r="FU117" s="8">
        <v>1</v>
      </c>
      <c r="FV117" s="8">
        <v>10</v>
      </c>
      <c r="FW117" s="8">
        <v>10</v>
      </c>
      <c r="FX117" s="8">
        <v>1</v>
      </c>
      <c r="FY117" s="8">
        <v>1</v>
      </c>
      <c r="FZ117">
        <f t="shared" si="1"/>
        <v>100</v>
      </c>
      <c r="GA117" s="7" t="s">
        <v>326</v>
      </c>
      <c r="GB117" s="7" t="s">
        <v>326</v>
      </c>
      <c r="GC117" s="6">
        <v>1.5</v>
      </c>
      <c r="GD117" s="348" t="s">
        <v>242</v>
      </c>
      <c r="GF117" s="6">
        <v>9.2655244055933644E-2</v>
      </c>
      <c r="GH117" s="7"/>
      <c r="GI117" s="441">
        <v>0.57999999999999996</v>
      </c>
      <c r="GJ117" s="441">
        <v>1.08</v>
      </c>
      <c r="GK117" s="441">
        <v>1.73</v>
      </c>
      <c r="GL117" s="441">
        <v>4.33</v>
      </c>
      <c r="GM117" s="452"/>
      <c r="GN117" s="6">
        <v>0.01</v>
      </c>
      <c r="GO117" s="6">
        <v>1.8749999999999999E-2</v>
      </c>
      <c r="GP117" s="6">
        <v>0.03</v>
      </c>
      <c r="GQ117" s="6">
        <v>7.4999999999999997E-2</v>
      </c>
      <c r="GR117" s="6" t="s">
        <v>230</v>
      </c>
      <c r="GU117" t="s">
        <v>365</v>
      </c>
      <c r="GV117" t="s">
        <v>223</v>
      </c>
      <c r="GW117" t="s">
        <v>244</v>
      </c>
      <c r="GX117" t="s">
        <v>236</v>
      </c>
      <c r="GY117" t="s">
        <v>245</v>
      </c>
      <c r="GZ117" t="s">
        <v>376</v>
      </c>
      <c r="HB117" t="s">
        <v>376</v>
      </c>
      <c r="HE117" t="s">
        <v>247</v>
      </c>
      <c r="HF117" t="s">
        <v>249</v>
      </c>
      <c r="HG117" t="s">
        <v>231</v>
      </c>
      <c r="HH117" t="s">
        <v>236</v>
      </c>
      <c r="HI117" t="s">
        <v>247</v>
      </c>
      <c r="HJ117" t="s">
        <v>249</v>
      </c>
      <c r="HK117" t="s">
        <v>248</v>
      </c>
      <c r="HL117" t="s">
        <v>231</v>
      </c>
      <c r="HM117" t="s">
        <v>231</v>
      </c>
      <c r="HO117" t="s">
        <v>231</v>
      </c>
      <c r="HP117" t="s">
        <v>249</v>
      </c>
      <c r="HQ117" t="s">
        <v>231</v>
      </c>
      <c r="HR117" t="s">
        <v>249</v>
      </c>
      <c r="HU117" t="s">
        <v>231</v>
      </c>
      <c r="HV117" t="s">
        <v>223</v>
      </c>
      <c r="HW117" t="s">
        <v>506</v>
      </c>
      <c r="HX117" t="s">
        <v>223</v>
      </c>
      <c r="IA117" t="s">
        <v>231</v>
      </c>
      <c r="IB117" t="s">
        <v>250</v>
      </c>
      <c r="IC117">
        <v>0.57999999999999996</v>
      </c>
      <c r="ID117">
        <v>1.08</v>
      </c>
      <c r="IE117">
        <v>1.73</v>
      </c>
      <c r="IF117">
        <v>4.33</v>
      </c>
      <c r="IH117" t="s">
        <v>267</v>
      </c>
    </row>
    <row r="118" spans="1:242" ht="14.25" customHeight="1" x14ac:dyDescent="0.35">
      <c r="A118" s="310" t="s">
        <v>923</v>
      </c>
      <c r="B118" s="313" t="s">
        <v>924</v>
      </c>
      <c r="C118" s="310" t="s">
        <v>925</v>
      </c>
      <c r="D118" s="316"/>
      <c r="F118" t="s">
        <v>925</v>
      </c>
      <c r="I118" s="310" t="s">
        <v>926</v>
      </c>
      <c r="M118" s="313" t="s">
        <v>220</v>
      </c>
      <c r="O118" t="s">
        <v>221</v>
      </c>
      <c r="P118" s="381"/>
      <c r="Q118" t="s">
        <v>221</v>
      </c>
      <c r="T118" s="8"/>
      <c r="U118" t="s">
        <v>221</v>
      </c>
      <c r="V118" s="313"/>
      <c r="W118" t="s">
        <v>220</v>
      </c>
      <c r="X118" t="s">
        <v>220</v>
      </c>
      <c r="Z118" t="s">
        <v>220</v>
      </c>
      <c r="AB118"/>
      <c r="AD118" s="8" t="s">
        <v>222</v>
      </c>
      <c r="AF118" s="8" t="s">
        <v>222</v>
      </c>
      <c r="AG118"/>
      <c r="AH118"/>
      <c r="AI118"/>
      <c r="AJ118" t="s">
        <v>221</v>
      </c>
      <c r="AK118">
        <v>0</v>
      </c>
      <c r="AL118">
        <v>1</v>
      </c>
      <c r="AM118" t="s">
        <v>221</v>
      </c>
      <c r="AN118" t="s">
        <v>249</v>
      </c>
      <c r="AO118" t="s">
        <v>224</v>
      </c>
      <c r="AP118"/>
      <c r="AQ118" t="s">
        <v>221</v>
      </c>
      <c r="AR118" t="s">
        <v>223</v>
      </c>
      <c r="AS118" t="s">
        <v>221</v>
      </c>
      <c r="AT118"/>
      <c r="AU118" t="s">
        <v>220</v>
      </c>
      <c r="AV118"/>
      <c r="AW118" s="313" t="s">
        <v>220</v>
      </c>
      <c r="AX118" t="s">
        <v>226</v>
      </c>
      <c r="AY118" s="313" t="s">
        <v>220</v>
      </c>
      <c r="AZ118" s="313">
        <v>0.17100000000000001</v>
      </c>
      <c r="BB118" s="313" t="s">
        <v>220</v>
      </c>
      <c r="BC118">
        <v>0.107</v>
      </c>
      <c r="BD118" t="s">
        <v>220</v>
      </c>
      <c r="BE118">
        <v>0.23100000000000001</v>
      </c>
      <c r="BF118" s="2" t="s">
        <v>220</v>
      </c>
      <c r="BH118" s="2" t="s">
        <v>228</v>
      </c>
      <c r="BI118" s="2" t="s">
        <v>229</v>
      </c>
      <c r="BM118"/>
      <c r="BP118" s="8"/>
      <c r="BQ118" t="s">
        <v>230</v>
      </c>
      <c r="BR118" t="s">
        <v>230</v>
      </c>
      <c r="BU118" t="s">
        <v>317</v>
      </c>
      <c r="BV118" t="s">
        <v>236</v>
      </c>
      <c r="BW118" t="s">
        <v>232</v>
      </c>
      <c r="BX118" t="s">
        <v>284</v>
      </c>
      <c r="BY118" t="s">
        <v>220</v>
      </c>
      <c r="BZ118">
        <v>0.376</v>
      </c>
      <c r="CA118" t="s">
        <v>234</v>
      </c>
      <c r="CF118" t="s">
        <v>220</v>
      </c>
      <c r="CG118">
        <v>0.497</v>
      </c>
      <c r="CH118" t="s">
        <v>257</v>
      </c>
      <c r="CI118">
        <v>0.63100000000000001</v>
      </c>
      <c r="CK118"/>
      <c r="CL118" t="s">
        <v>220</v>
      </c>
      <c r="CM118" t="s">
        <v>231</v>
      </c>
      <c r="CS118" s="8"/>
      <c r="CW118" t="s">
        <v>227</v>
      </c>
      <c r="CX118" t="s">
        <v>220</v>
      </c>
      <c r="CY118" t="s">
        <v>231</v>
      </c>
      <c r="CZ118" t="s">
        <v>220</v>
      </c>
      <c r="DA118" t="s">
        <v>220</v>
      </c>
      <c r="DB118" t="s">
        <v>220</v>
      </c>
      <c r="DC118"/>
      <c r="DD118"/>
      <c r="DE118"/>
      <c r="DF118"/>
      <c r="DG118"/>
      <c r="DH118" s="323"/>
      <c r="DI118" s="323"/>
      <c r="DJ118" s="323"/>
      <c r="DL118" t="s">
        <v>257</v>
      </c>
      <c r="DM118" t="s">
        <v>220</v>
      </c>
      <c r="DN118" t="s">
        <v>257</v>
      </c>
      <c r="DO118" t="s">
        <v>220</v>
      </c>
      <c r="DP118" t="s">
        <v>220</v>
      </c>
      <c r="DS118" s="309">
        <v>87.259</v>
      </c>
      <c r="DU118" s="309">
        <v>150.166</v>
      </c>
      <c r="DW118">
        <v>128</v>
      </c>
      <c r="DX118" t="s">
        <v>238</v>
      </c>
      <c r="DY118">
        <v>1450</v>
      </c>
      <c r="DZ118" t="s">
        <v>238</v>
      </c>
      <c r="EA118"/>
      <c r="EB118"/>
      <c r="ED118" s="410"/>
      <c r="EE118" s="1"/>
      <c r="EG118" s="410"/>
      <c r="EI118" s="410"/>
      <c r="EK118" s="1">
        <v>168</v>
      </c>
      <c r="EL118" s="8" t="s">
        <v>324</v>
      </c>
      <c r="EM118"/>
      <c r="EQ118" s="344"/>
      <c r="EU118" s="344"/>
      <c r="EW118" s="409"/>
      <c r="EY118" s="1"/>
      <c r="FA118">
        <v>164.89</v>
      </c>
      <c r="FB118" t="s">
        <v>236</v>
      </c>
      <c r="FC118" s="7">
        <v>97.521416322641343</v>
      </c>
      <c r="FD118" s="357" t="s">
        <v>225</v>
      </c>
      <c r="FE118" s="8">
        <v>238.56130399309137</v>
      </c>
      <c r="FF118" t="s">
        <v>237</v>
      </c>
      <c r="FH118" s="9">
        <v>89.002047962552624</v>
      </c>
      <c r="FI118" s="9" t="s">
        <v>225</v>
      </c>
      <c r="FJ118">
        <v>1030</v>
      </c>
      <c r="FK118" t="s">
        <v>238</v>
      </c>
      <c r="FL118">
        <v>853</v>
      </c>
      <c r="FM118">
        <v>588.3015599888829</v>
      </c>
      <c r="FN118" s="5" t="s">
        <v>237</v>
      </c>
      <c r="FP118" s="6">
        <v>168</v>
      </c>
      <c r="FQ118" t="s">
        <v>260</v>
      </c>
      <c r="FS118" t="s">
        <v>261</v>
      </c>
      <c r="FU118" s="8">
        <v>1</v>
      </c>
      <c r="FV118" s="8">
        <v>10</v>
      </c>
      <c r="FW118" s="8">
        <v>10</v>
      </c>
      <c r="FX118" s="8">
        <v>1</v>
      </c>
      <c r="FY118" s="8">
        <v>3</v>
      </c>
      <c r="FZ118">
        <f t="shared" si="1"/>
        <v>300</v>
      </c>
      <c r="GA118" s="7" t="s">
        <v>241</v>
      </c>
      <c r="GB118" s="7" t="s">
        <v>241</v>
      </c>
      <c r="GC118" s="6">
        <v>30</v>
      </c>
      <c r="GD118" s="348" t="s">
        <v>242</v>
      </c>
      <c r="GE118" s="6">
        <v>0.1</v>
      </c>
      <c r="GF118" s="6">
        <v>0.28433333333333333</v>
      </c>
      <c r="GH118" s="7"/>
      <c r="GI118" s="441"/>
      <c r="GJ118" s="441"/>
      <c r="GK118" s="441"/>
      <c r="GL118" s="441"/>
      <c r="GM118" s="454"/>
      <c r="GN118" s="441"/>
      <c r="GO118" s="441"/>
      <c r="GP118" s="441"/>
      <c r="GQ118" s="441"/>
      <c r="GR118" s="441"/>
      <c r="GS118" s="441"/>
      <c r="GT118" s="441"/>
      <c r="GU118" s="441"/>
      <c r="GV118" s="441"/>
      <c r="GW118" s="441"/>
      <c r="GX118" s="441"/>
      <c r="GY118" s="441"/>
      <c r="GZ118" s="441"/>
      <c r="HA118" s="441"/>
      <c r="HB118" s="441"/>
      <c r="HC118" s="441"/>
      <c r="HD118" s="441"/>
      <c r="HE118" s="441"/>
      <c r="HF118" s="441"/>
      <c r="HG118" s="441"/>
      <c r="HH118" s="441"/>
      <c r="HI118" s="441"/>
      <c r="HJ118" s="441"/>
      <c r="HK118" s="441"/>
      <c r="HL118" s="441"/>
      <c r="HM118" s="441"/>
      <c r="HN118" s="441"/>
      <c r="HO118" s="441"/>
      <c r="HP118" s="441"/>
      <c r="HQ118" s="441"/>
      <c r="HR118" s="441"/>
      <c r="HS118" s="441"/>
      <c r="HT118" s="441"/>
      <c r="HU118" s="441"/>
      <c r="HV118" s="441"/>
      <c r="HW118" s="441"/>
      <c r="HX118" s="441"/>
      <c r="HY118" s="441"/>
      <c r="HZ118" s="441"/>
      <c r="IA118" s="441"/>
      <c r="IB118" s="441"/>
      <c r="IC118" s="441"/>
      <c r="ID118" s="441"/>
      <c r="IE118" s="441"/>
      <c r="IF118" s="441"/>
      <c r="IH118" t="s">
        <v>235</v>
      </c>
    </row>
    <row r="119" spans="1:242" hidden="1" x14ac:dyDescent="0.35">
      <c r="A119" s="310" t="s">
        <v>927</v>
      </c>
      <c r="B119" s="313" t="s">
        <v>928</v>
      </c>
      <c r="C119" s="310" t="s">
        <v>929</v>
      </c>
      <c r="D119" s="316"/>
      <c r="F119" t="s">
        <v>930</v>
      </c>
      <c r="I119" s="310" t="s">
        <v>931</v>
      </c>
      <c r="M119" s="313"/>
      <c r="O119"/>
      <c r="P119" s="381"/>
      <c r="Q119"/>
      <c r="T119" s="8"/>
      <c r="U119"/>
      <c r="V119" s="313"/>
      <c r="W119"/>
      <c r="X119"/>
      <c r="Z119"/>
      <c r="AB119"/>
      <c r="AD119" s="8" t="s">
        <v>230</v>
      </c>
      <c r="AF119" s="8" t="s">
        <v>230</v>
      </c>
      <c r="AG119"/>
      <c r="AH119"/>
      <c r="AI119"/>
      <c r="AJ119" t="s">
        <v>221</v>
      </c>
      <c r="AK119">
        <v>0.05</v>
      </c>
      <c r="AL119">
        <v>0.6</v>
      </c>
      <c r="AM119" t="s">
        <v>221</v>
      </c>
      <c r="AN119" t="s">
        <v>223</v>
      </c>
      <c r="AO119" t="s">
        <v>224</v>
      </c>
      <c r="AP119" t="s">
        <v>223</v>
      </c>
      <c r="AQ119" t="s">
        <v>414</v>
      </c>
      <c r="AR119" t="s">
        <v>236</v>
      </c>
      <c r="AS119" t="s">
        <v>221</v>
      </c>
      <c r="AT119" t="s">
        <v>225</v>
      </c>
      <c r="AU119" t="s">
        <v>257</v>
      </c>
      <c r="AV119"/>
      <c r="AW119" s="313" t="s">
        <v>257</v>
      </c>
      <c r="AX119" t="s">
        <v>932</v>
      </c>
      <c r="AY119" s="313" t="s">
        <v>257</v>
      </c>
      <c r="AZ119" s="313">
        <v>0.96099999999999997</v>
      </c>
      <c r="BB119" s="313" t="s">
        <v>257</v>
      </c>
      <c r="BC119">
        <v>0.96</v>
      </c>
      <c r="BD119" t="s">
        <v>257</v>
      </c>
      <c r="BE119">
        <v>0.93200000000000005</v>
      </c>
      <c r="BF119" s="2" t="s">
        <v>257</v>
      </c>
      <c r="BG119" s="2" t="s">
        <v>273</v>
      </c>
      <c r="BH119" s="2" t="s">
        <v>274</v>
      </c>
      <c r="BI119" s="2" t="s">
        <v>432</v>
      </c>
      <c r="BM119"/>
      <c r="BP119" s="8"/>
      <c r="BQ119" t="s">
        <v>230</v>
      </c>
      <c r="BR119" t="s">
        <v>230</v>
      </c>
      <c r="BU119" t="s">
        <v>231</v>
      </c>
      <c r="BV119" t="s">
        <v>225</v>
      </c>
      <c r="BW119" t="s">
        <v>232</v>
      </c>
      <c r="BX119" t="s">
        <v>276</v>
      </c>
      <c r="BY119" t="s">
        <v>220</v>
      </c>
      <c r="BZ119">
        <v>0.32</v>
      </c>
      <c r="CA119" t="s">
        <v>234</v>
      </c>
      <c r="CF119" t="s">
        <v>220</v>
      </c>
      <c r="CG119">
        <v>0.16700000000000001</v>
      </c>
      <c r="CH119" t="s">
        <v>220</v>
      </c>
      <c r="CI119">
        <v>0.35299999999999998</v>
      </c>
      <c r="CK119"/>
      <c r="CL119"/>
      <c r="CM119"/>
      <c r="CS119" s="8"/>
      <c r="CW119" t="s">
        <v>220</v>
      </c>
      <c r="CX119" t="s">
        <v>227</v>
      </c>
      <c r="CY119" t="s">
        <v>231</v>
      </c>
      <c r="CZ119" t="s">
        <v>220</v>
      </c>
      <c r="DA119" t="s">
        <v>227</v>
      </c>
      <c r="DB119" t="s">
        <v>220</v>
      </c>
      <c r="DC119"/>
      <c r="DD119"/>
      <c r="DE119"/>
      <c r="DF119"/>
      <c r="DG119"/>
      <c r="DH119" s="323"/>
      <c r="DI119" s="323"/>
      <c r="DJ119" s="323"/>
      <c r="DL119" t="s">
        <v>257</v>
      </c>
      <c r="DM119" t="s">
        <v>220</v>
      </c>
      <c r="DN119" t="s">
        <v>227</v>
      </c>
      <c r="DO119" t="s">
        <v>227</v>
      </c>
      <c r="DP119" t="s">
        <v>227</v>
      </c>
      <c r="DS119" s="309">
        <v>210.51300000000001</v>
      </c>
      <c r="DU119" s="309">
        <v>399.22800000000001</v>
      </c>
      <c r="DW119">
        <v>35.799999999999997</v>
      </c>
      <c r="DX119" t="s">
        <v>238</v>
      </c>
      <c r="DY119">
        <v>4000</v>
      </c>
      <c r="DZ119" t="s">
        <v>238</v>
      </c>
      <c r="EA119"/>
      <c r="EB119"/>
      <c r="ED119" s="410"/>
      <c r="EE119" s="1"/>
      <c r="EG119" s="410"/>
      <c r="EI119" s="410"/>
      <c r="EK119" s="1"/>
      <c r="EM119"/>
      <c r="EQ119" s="344"/>
      <c r="EU119" s="344"/>
      <c r="EW119" s="409"/>
      <c r="EY119" s="1"/>
      <c r="FA119">
        <v>87.99</v>
      </c>
      <c r="FB119" t="s">
        <v>236</v>
      </c>
      <c r="FC119" s="7">
        <v>132.80058862437309</v>
      </c>
      <c r="FD119" s="357" t="s">
        <v>236</v>
      </c>
      <c r="FE119" s="8">
        <v>118.38590542018115</v>
      </c>
      <c r="FF119" t="s">
        <v>237</v>
      </c>
      <c r="FH119" s="9">
        <v>82.470760612707878</v>
      </c>
      <c r="FI119" s="9" t="s">
        <v>236</v>
      </c>
      <c r="FJ119">
        <v>145</v>
      </c>
      <c r="FK119" t="s">
        <v>238</v>
      </c>
      <c r="FL119">
        <v>92.9</v>
      </c>
      <c r="FM119">
        <v>284.70821597992898</v>
      </c>
      <c r="FN119" s="419" t="s">
        <v>237</v>
      </c>
      <c r="FV119" s="8"/>
      <c r="FW119" s="8"/>
      <c r="FX119" s="8"/>
      <c r="GC119" s="7">
        <v>2.5000000000000001E-3</v>
      </c>
      <c r="GH119" s="7"/>
      <c r="GI119" s="441" t="s">
        <v>395</v>
      </c>
      <c r="GJ119" s="441" t="s">
        <v>395</v>
      </c>
      <c r="GK119" s="441" t="s">
        <v>395</v>
      </c>
      <c r="GL119" s="441" t="s">
        <v>395</v>
      </c>
      <c r="GM119" s="452" t="s">
        <v>230</v>
      </c>
      <c r="GN119" s="6" t="s">
        <v>395</v>
      </c>
      <c r="GO119" s="6" t="s">
        <v>395</v>
      </c>
      <c r="GP119" s="6" t="s">
        <v>395</v>
      </c>
      <c r="GQ119" s="6" t="s">
        <v>395</v>
      </c>
      <c r="GR119" s="6" t="s">
        <v>230</v>
      </c>
      <c r="GU119" t="s">
        <v>365</v>
      </c>
      <c r="GV119" t="s">
        <v>236</v>
      </c>
      <c r="GW119" t="s">
        <v>359</v>
      </c>
      <c r="GX119" t="s">
        <v>236</v>
      </c>
      <c r="GY119" t="s">
        <v>245</v>
      </c>
      <c r="HE119" t="s">
        <v>246</v>
      </c>
      <c r="HF119" t="s">
        <v>236</v>
      </c>
      <c r="HG119" t="s">
        <v>231</v>
      </c>
      <c r="HH119" t="s">
        <v>236</v>
      </c>
      <c r="HI119" t="s">
        <v>247</v>
      </c>
      <c r="HJ119" t="s">
        <v>225</v>
      </c>
      <c r="HK119" t="s">
        <v>266</v>
      </c>
      <c r="HO119" t="s">
        <v>231</v>
      </c>
      <c r="HP119" t="s">
        <v>223</v>
      </c>
      <c r="HQ119" t="s">
        <v>231</v>
      </c>
      <c r="HR119" t="s">
        <v>223</v>
      </c>
      <c r="HU119" t="s">
        <v>231</v>
      </c>
      <c r="HV119" t="s">
        <v>236</v>
      </c>
      <c r="HW119" t="s">
        <v>246</v>
      </c>
      <c r="HX119" t="s">
        <v>236</v>
      </c>
      <c r="IA119" t="s">
        <v>231</v>
      </c>
      <c r="IB119" t="s">
        <v>250</v>
      </c>
      <c r="IC119" t="s">
        <v>395</v>
      </c>
      <c r="ID119" t="s">
        <v>395</v>
      </c>
      <c r="IE119" t="s">
        <v>395</v>
      </c>
      <c r="IF119" t="s">
        <v>395</v>
      </c>
      <c r="IH119" t="s">
        <v>235</v>
      </c>
    </row>
    <row r="120" spans="1:242" ht="159.5" x14ac:dyDescent="0.35">
      <c r="A120" s="310" t="s">
        <v>537</v>
      </c>
      <c r="B120" t="s">
        <v>933</v>
      </c>
      <c r="C120" s="310" t="s">
        <v>934</v>
      </c>
      <c r="D120" s="316"/>
      <c r="F120" t="s">
        <v>935</v>
      </c>
      <c r="I120" s="310" t="s">
        <v>936</v>
      </c>
      <c r="M120" s="313"/>
      <c r="O120"/>
      <c r="P120" s="381"/>
      <c r="Q120"/>
      <c r="T120" s="8"/>
      <c r="U120"/>
      <c r="V120" s="313"/>
      <c r="W120"/>
      <c r="X120"/>
      <c r="Z120"/>
      <c r="AB120"/>
      <c r="AD120" s="8" t="s">
        <v>230</v>
      </c>
      <c r="AF120" s="8" t="s">
        <v>230</v>
      </c>
      <c r="AG120"/>
      <c r="AH120"/>
      <c r="AI120"/>
      <c r="AJ120" t="s">
        <v>221</v>
      </c>
      <c r="AK120">
        <v>0</v>
      </c>
      <c r="AL120">
        <v>0.6</v>
      </c>
      <c r="AM120" t="s">
        <v>221</v>
      </c>
      <c r="AN120" t="s">
        <v>225</v>
      </c>
      <c r="AO120" t="s">
        <v>221</v>
      </c>
      <c r="AP120" t="s">
        <v>225</v>
      </c>
      <c r="AQ120" t="s">
        <v>221</v>
      </c>
      <c r="AR120" t="s">
        <v>225</v>
      </c>
      <c r="AS120" t="s">
        <v>221</v>
      </c>
      <c r="AT120" t="s">
        <v>225</v>
      </c>
      <c r="AU120" t="s">
        <v>220</v>
      </c>
      <c r="AV120"/>
      <c r="AW120" s="313" t="s">
        <v>220</v>
      </c>
      <c r="AX120" t="s">
        <v>226</v>
      </c>
      <c r="AY120" s="313" t="s">
        <v>220</v>
      </c>
      <c r="AZ120" s="313">
        <v>0.28299999999999997</v>
      </c>
      <c r="BB120" s="313" t="s">
        <v>220</v>
      </c>
      <c r="BC120">
        <v>0.157</v>
      </c>
      <c r="BD120" t="s">
        <v>220</v>
      </c>
      <c r="BE120">
        <v>0.20100000000000001</v>
      </c>
      <c r="BF120" s="2" t="s">
        <v>220</v>
      </c>
      <c r="BG120" s="2" t="s">
        <v>273</v>
      </c>
      <c r="BH120" s="2" t="s">
        <v>274</v>
      </c>
      <c r="BI120" s="2" t="s">
        <v>275</v>
      </c>
      <c r="BM120"/>
      <c r="BP120" s="8"/>
      <c r="BQ120" t="s">
        <v>230</v>
      </c>
      <c r="BR120" t="s">
        <v>230</v>
      </c>
      <c r="BU120" t="s">
        <v>231</v>
      </c>
      <c r="BV120" t="s">
        <v>236</v>
      </c>
      <c r="BW120" t="s">
        <v>232</v>
      </c>
      <c r="BX120" t="s">
        <v>233</v>
      </c>
      <c r="BY120" t="s">
        <v>257</v>
      </c>
      <c r="BZ120">
        <v>0.58799999999999997</v>
      </c>
      <c r="CA120" t="s">
        <v>372</v>
      </c>
      <c r="CF120" t="s">
        <v>220</v>
      </c>
      <c r="CG120">
        <v>0.26400000000000001</v>
      </c>
      <c r="CH120" t="s">
        <v>220</v>
      </c>
      <c r="CI120">
        <v>0.48199999999999998</v>
      </c>
      <c r="CK120"/>
      <c r="CL120"/>
      <c r="CM120"/>
      <c r="CS120" s="8"/>
      <c r="CW120" t="s">
        <v>227</v>
      </c>
      <c r="CX120" t="s">
        <v>257</v>
      </c>
      <c r="CY120" t="s">
        <v>317</v>
      </c>
      <c r="CZ120" t="s">
        <v>220</v>
      </c>
      <c r="DA120" t="s">
        <v>220</v>
      </c>
      <c r="DB120" t="s">
        <v>227</v>
      </c>
      <c r="DC120"/>
      <c r="DD120"/>
      <c r="DE120"/>
      <c r="DF120"/>
      <c r="DG120"/>
      <c r="DH120" s="323"/>
      <c r="DI120" s="323"/>
      <c r="DJ120" s="323"/>
      <c r="DL120" t="s">
        <v>257</v>
      </c>
      <c r="DM120" t="s">
        <v>220</v>
      </c>
      <c r="DN120" t="s">
        <v>227</v>
      </c>
      <c r="DO120" t="s">
        <v>220</v>
      </c>
      <c r="DP120" t="s">
        <v>257</v>
      </c>
      <c r="DS120" s="338">
        <v>19.574000000000002</v>
      </c>
      <c r="DT120" s="8" t="s">
        <v>394</v>
      </c>
      <c r="DU120" s="338">
        <v>2086.8200000000002</v>
      </c>
      <c r="DV120" s="8" t="s">
        <v>394</v>
      </c>
      <c r="DW120">
        <v>211</v>
      </c>
      <c r="DX120" t="s">
        <v>238</v>
      </c>
      <c r="DY120">
        <v>122</v>
      </c>
      <c r="DZ120" t="s">
        <v>238</v>
      </c>
      <c r="EA120"/>
      <c r="EB120"/>
      <c r="ED120" s="410"/>
      <c r="EE120" s="1"/>
      <c r="EG120" s="410"/>
      <c r="EI120" s="410"/>
      <c r="EK120" s="1"/>
      <c r="EM120"/>
      <c r="EQ120" s="344"/>
      <c r="EU120" s="344"/>
      <c r="EW120" s="409"/>
      <c r="EY120" s="1"/>
      <c r="FA120">
        <v>6940.74</v>
      </c>
      <c r="FB120" t="s">
        <v>236</v>
      </c>
      <c r="FC120" s="7">
        <v>1795.9738131969209</v>
      </c>
      <c r="FD120" s="357" t="s">
        <v>236</v>
      </c>
      <c r="FE120" s="8">
        <v>236047.82331805825</v>
      </c>
      <c r="FF120" t="s">
        <v>237</v>
      </c>
      <c r="FH120" s="9">
        <v>10339.511009823718</v>
      </c>
      <c r="FI120" s="9" t="s">
        <v>236</v>
      </c>
      <c r="FJ120">
        <v>339</v>
      </c>
      <c r="FK120" t="s">
        <v>238</v>
      </c>
      <c r="FL120">
        <v>633</v>
      </c>
      <c r="FM120">
        <v>1040878.4089172689</v>
      </c>
      <c r="FN120" s="5" t="s">
        <v>237</v>
      </c>
      <c r="FP120" s="6">
        <v>33.9</v>
      </c>
      <c r="FQ120" t="s">
        <v>450</v>
      </c>
      <c r="FS120" t="s">
        <v>240</v>
      </c>
      <c r="FU120" s="8">
        <v>1</v>
      </c>
      <c r="FV120" s="8">
        <v>10</v>
      </c>
      <c r="FW120" s="8">
        <v>10</v>
      </c>
      <c r="FX120" s="8">
        <v>10</v>
      </c>
      <c r="FY120" s="8">
        <v>3</v>
      </c>
      <c r="FZ120">
        <f t="shared" si="1"/>
        <v>3000</v>
      </c>
      <c r="GA120" s="7" t="s">
        <v>241</v>
      </c>
      <c r="GB120" s="7" t="s">
        <v>241</v>
      </c>
      <c r="GC120" s="6">
        <v>30</v>
      </c>
      <c r="GD120" s="348" t="s">
        <v>242</v>
      </c>
      <c r="GF120" s="6">
        <v>0.11299999999999999</v>
      </c>
      <c r="GH120" s="7"/>
      <c r="GI120" s="441" t="s">
        <v>395</v>
      </c>
      <c r="GJ120" s="441" t="s">
        <v>395</v>
      </c>
      <c r="GK120" s="441" t="s">
        <v>395</v>
      </c>
      <c r="GL120" s="441" t="s">
        <v>395</v>
      </c>
      <c r="GM120" s="461" t="s">
        <v>790</v>
      </c>
      <c r="GN120" s="6">
        <v>0.2</v>
      </c>
      <c r="GO120" s="6">
        <v>0.375</v>
      </c>
      <c r="GP120" s="6">
        <v>0.6</v>
      </c>
      <c r="GQ120" s="6">
        <v>1.5</v>
      </c>
      <c r="GR120" s="461" t="s">
        <v>790</v>
      </c>
      <c r="GU120" t="s">
        <v>243</v>
      </c>
      <c r="GV120" t="s">
        <v>236</v>
      </c>
      <c r="GW120" t="s">
        <v>244</v>
      </c>
      <c r="GX120" t="s">
        <v>236</v>
      </c>
      <c r="GY120" t="s">
        <v>245</v>
      </c>
      <c r="HE120" t="s">
        <v>384</v>
      </c>
      <c r="HF120" t="s">
        <v>223</v>
      </c>
      <c r="HG120" t="s">
        <v>231</v>
      </c>
      <c r="HH120" t="s">
        <v>225</v>
      </c>
      <c r="HI120" t="s">
        <v>247</v>
      </c>
      <c r="HJ120" t="s">
        <v>225</v>
      </c>
      <c r="HK120" t="s">
        <v>568</v>
      </c>
      <c r="HO120" t="s">
        <v>231</v>
      </c>
      <c r="HP120" t="s">
        <v>223</v>
      </c>
      <c r="HQ120" t="s">
        <v>231</v>
      </c>
      <c r="HR120" t="s">
        <v>223</v>
      </c>
      <c r="HU120" t="s">
        <v>231</v>
      </c>
      <c r="HV120" t="s">
        <v>223</v>
      </c>
      <c r="HW120" t="s">
        <v>563</v>
      </c>
      <c r="HX120" t="s">
        <v>236</v>
      </c>
      <c r="IA120" t="s">
        <v>231</v>
      </c>
      <c r="IB120" t="s">
        <v>250</v>
      </c>
      <c r="IC120" t="s">
        <v>395</v>
      </c>
      <c r="ID120" t="s">
        <v>395</v>
      </c>
      <c r="IE120" t="s">
        <v>395</v>
      </c>
      <c r="IF120" t="s">
        <v>395</v>
      </c>
      <c r="IG120" s="459" t="s">
        <v>451</v>
      </c>
      <c r="IH120" t="s">
        <v>235</v>
      </c>
    </row>
    <row r="121" spans="1:242" ht="159.5" x14ac:dyDescent="0.35">
      <c r="A121" s="310" t="s">
        <v>937</v>
      </c>
      <c r="B121" s="313" t="s">
        <v>938</v>
      </c>
      <c r="C121" s="310" t="s">
        <v>939</v>
      </c>
      <c r="D121" s="316"/>
      <c r="F121" t="s">
        <v>940</v>
      </c>
      <c r="I121" s="310" t="s">
        <v>941</v>
      </c>
      <c r="M121" s="313"/>
      <c r="O121"/>
      <c r="P121" s="381"/>
      <c r="Q121"/>
      <c r="T121" s="8"/>
      <c r="U121"/>
      <c r="V121" s="313"/>
      <c r="W121" t="s">
        <v>301</v>
      </c>
      <c r="X121"/>
      <c r="Z121"/>
      <c r="AB121"/>
      <c r="AD121" s="8" t="s">
        <v>222</v>
      </c>
      <c r="AF121" s="8" t="s">
        <v>230</v>
      </c>
      <c r="AG121"/>
      <c r="AH121"/>
      <c r="AI121"/>
      <c r="AJ121" t="s">
        <v>221</v>
      </c>
      <c r="AK121">
        <v>0</v>
      </c>
      <c r="AL121">
        <v>0.5</v>
      </c>
      <c r="AM121" t="s">
        <v>221</v>
      </c>
      <c r="AN121" t="s">
        <v>236</v>
      </c>
      <c r="AO121" t="s">
        <v>221</v>
      </c>
      <c r="AP121" t="s">
        <v>225</v>
      </c>
      <c r="AQ121" t="s">
        <v>221</v>
      </c>
      <c r="AR121" t="s">
        <v>225</v>
      </c>
      <c r="AS121" t="s">
        <v>221</v>
      </c>
      <c r="AT121" t="s">
        <v>225</v>
      </c>
      <c r="AU121" t="s">
        <v>220</v>
      </c>
      <c r="AV121"/>
      <c r="AW121" s="313" t="s">
        <v>220</v>
      </c>
      <c r="AX121" t="s">
        <v>226</v>
      </c>
      <c r="AY121" s="313" t="s">
        <v>220</v>
      </c>
      <c r="AZ121" s="313">
        <v>2.1100000000000001E-2</v>
      </c>
      <c r="BB121" s="313" t="s">
        <v>220</v>
      </c>
      <c r="BC121">
        <v>1.35E-2</v>
      </c>
      <c r="BD121" t="s">
        <v>220</v>
      </c>
      <c r="BE121">
        <v>1.16E-3</v>
      </c>
      <c r="BF121" s="2" t="s">
        <v>220</v>
      </c>
      <c r="BH121" s="2" t="s">
        <v>228</v>
      </c>
      <c r="BI121" s="2" t="s">
        <v>302</v>
      </c>
      <c r="BM121"/>
      <c r="BP121" s="8"/>
      <c r="BQ121" t="s">
        <v>230</v>
      </c>
      <c r="BR121" t="s">
        <v>222</v>
      </c>
      <c r="BU121" t="s">
        <v>317</v>
      </c>
      <c r="BV121" t="s">
        <v>223</v>
      </c>
      <c r="BW121" t="s">
        <v>232</v>
      </c>
      <c r="BX121" t="s">
        <v>474</v>
      </c>
      <c r="BY121" t="s">
        <v>220</v>
      </c>
      <c r="BZ121">
        <v>0.153</v>
      </c>
      <c r="CA121" t="s">
        <v>234</v>
      </c>
      <c r="CF121" t="s">
        <v>220</v>
      </c>
      <c r="CG121">
        <v>1.11E-2</v>
      </c>
      <c r="CH121" t="s">
        <v>220</v>
      </c>
      <c r="CI121">
        <v>2.8500000000000001E-2</v>
      </c>
      <c r="CK121"/>
      <c r="CL121"/>
      <c r="CM121"/>
      <c r="CS121" s="8"/>
      <c r="CW121" t="s">
        <v>220</v>
      </c>
      <c r="CX121" t="s">
        <v>220</v>
      </c>
      <c r="CY121" t="s">
        <v>231</v>
      </c>
      <c r="CZ121" t="s">
        <v>227</v>
      </c>
      <c r="DA121" t="s">
        <v>227</v>
      </c>
      <c r="DB121" t="s">
        <v>227</v>
      </c>
      <c r="DC121"/>
      <c r="DD121"/>
      <c r="DE121"/>
      <c r="DF121"/>
      <c r="DG121"/>
      <c r="DH121" s="323"/>
      <c r="DI121" s="323"/>
      <c r="DJ121" s="323"/>
      <c r="DL121" t="s">
        <v>220</v>
      </c>
      <c r="DM121" t="s">
        <v>220</v>
      </c>
      <c r="DN121" t="s">
        <v>227</v>
      </c>
      <c r="DO121" t="s">
        <v>220</v>
      </c>
      <c r="DP121" t="s">
        <v>257</v>
      </c>
      <c r="DS121" s="338">
        <v>445.49599999999998</v>
      </c>
      <c r="DT121" s="8" t="s">
        <v>394</v>
      </c>
      <c r="DU121" s="338">
        <v>928.32399999999996</v>
      </c>
      <c r="DV121" s="8" t="s">
        <v>394</v>
      </c>
      <c r="DW121"/>
      <c r="DX121" t="s">
        <v>235</v>
      </c>
      <c r="DY121">
        <v>8080</v>
      </c>
      <c r="DZ121" t="s">
        <v>238</v>
      </c>
      <c r="EA121"/>
      <c r="EB121"/>
      <c r="ED121" s="410"/>
      <c r="EE121" s="1"/>
      <c r="EG121" s="410"/>
      <c r="EI121" s="410"/>
      <c r="EK121" s="1">
        <v>446</v>
      </c>
      <c r="EL121" s="8" t="s">
        <v>324</v>
      </c>
      <c r="EM121"/>
      <c r="EQ121" s="344"/>
      <c r="EU121" s="344"/>
      <c r="EW121" s="409"/>
      <c r="EY121" s="1"/>
      <c r="FA121">
        <v>45.97</v>
      </c>
      <c r="FB121" t="s">
        <v>236</v>
      </c>
      <c r="FC121" s="7">
        <v>434.31017088609252</v>
      </c>
      <c r="FD121" s="357" t="s">
        <v>236</v>
      </c>
      <c r="FE121" s="8">
        <v>1.2075357577096695</v>
      </c>
      <c r="FF121" t="s">
        <v>337</v>
      </c>
      <c r="FH121" s="9">
        <v>23.426100385925491</v>
      </c>
      <c r="FI121" s="9" t="s">
        <v>236</v>
      </c>
      <c r="FK121" t="s">
        <v>235</v>
      </c>
      <c r="FL121">
        <v>1940</v>
      </c>
      <c r="FM121">
        <v>5.6272991101345324</v>
      </c>
      <c r="FN121" s="5" t="s">
        <v>337</v>
      </c>
      <c r="FP121" s="6">
        <v>446</v>
      </c>
      <c r="FQ121" t="s">
        <v>260</v>
      </c>
      <c r="FS121" t="s">
        <v>261</v>
      </c>
      <c r="FU121" s="8">
        <v>1</v>
      </c>
      <c r="FV121" s="8">
        <v>10</v>
      </c>
      <c r="FW121" s="8">
        <v>10</v>
      </c>
      <c r="FX121" s="8">
        <v>1</v>
      </c>
      <c r="FY121" s="8">
        <v>1</v>
      </c>
      <c r="FZ121">
        <f t="shared" si="1"/>
        <v>100</v>
      </c>
      <c r="GA121" s="7" t="s">
        <v>326</v>
      </c>
      <c r="GB121" s="7" t="s">
        <v>326</v>
      </c>
      <c r="GC121" s="6">
        <v>1.5</v>
      </c>
      <c r="GD121" s="348" t="s">
        <v>383</v>
      </c>
      <c r="GF121" s="6">
        <v>1.1713050192962746E-2</v>
      </c>
      <c r="GH121" s="7"/>
      <c r="GI121" s="441"/>
      <c r="GJ121" s="441"/>
      <c r="GK121" s="441"/>
      <c r="GL121" s="441"/>
      <c r="GM121" s="461" t="s">
        <v>790</v>
      </c>
      <c r="GN121" s="441"/>
      <c r="GO121" s="441"/>
      <c r="GP121" s="441"/>
      <c r="GQ121" s="441"/>
      <c r="GR121" s="461" t="s">
        <v>790</v>
      </c>
      <c r="GS121" s="441"/>
      <c r="GT121" s="441"/>
      <c r="GU121" s="441"/>
      <c r="GV121" s="441"/>
      <c r="GW121" s="441"/>
      <c r="GX121" s="441"/>
      <c r="GY121" s="441"/>
      <c r="GZ121" s="441"/>
      <c r="HA121" s="441"/>
      <c r="HB121" s="441"/>
      <c r="HC121" s="441"/>
      <c r="HD121" s="441"/>
      <c r="HE121" s="441"/>
      <c r="HF121" s="441"/>
      <c r="HG121" s="441"/>
      <c r="HH121" s="441"/>
      <c r="HI121" s="441"/>
      <c r="HJ121" s="441"/>
      <c r="HK121" s="441"/>
      <c r="HL121" s="441"/>
      <c r="HM121" s="441"/>
      <c r="HN121" s="441"/>
      <c r="HO121" s="441"/>
      <c r="HP121" s="441"/>
      <c r="HQ121" s="441"/>
      <c r="HR121" s="441"/>
      <c r="HS121" s="441"/>
      <c r="HT121" s="441"/>
      <c r="HU121" s="441"/>
      <c r="HV121" s="441"/>
      <c r="HW121" s="441"/>
      <c r="HX121" s="441"/>
      <c r="HY121" s="441"/>
      <c r="HZ121" s="441"/>
      <c r="IA121" s="441"/>
      <c r="IB121" s="441"/>
      <c r="IC121" s="441"/>
      <c r="ID121" s="441"/>
      <c r="IE121" s="441"/>
      <c r="IF121" s="441"/>
      <c r="IG121" s="459" t="s">
        <v>451</v>
      </c>
      <c r="IH121" t="s">
        <v>235</v>
      </c>
    </row>
    <row r="122" spans="1:242" ht="159.5" x14ac:dyDescent="0.35">
      <c r="A122" s="310" t="s">
        <v>537</v>
      </c>
      <c r="B122" t="s">
        <v>942</v>
      </c>
      <c r="C122" s="310" t="s">
        <v>943</v>
      </c>
      <c r="D122" s="316"/>
      <c r="F122" t="s">
        <v>944</v>
      </c>
      <c r="I122" s="310" t="s">
        <v>945</v>
      </c>
      <c r="M122" s="313"/>
      <c r="O122"/>
      <c r="P122" s="381"/>
      <c r="Q122"/>
      <c r="T122" s="8"/>
      <c r="U122"/>
      <c r="V122" s="313"/>
      <c r="W122"/>
      <c r="X122"/>
      <c r="Z122"/>
      <c r="AB122"/>
      <c r="AD122" s="8" t="s">
        <v>230</v>
      </c>
      <c r="AF122" s="8" t="s">
        <v>230</v>
      </c>
      <c r="AG122"/>
      <c r="AH122"/>
      <c r="AI122"/>
      <c r="AJ122" t="s">
        <v>221</v>
      </c>
      <c r="AK122">
        <v>0</v>
      </c>
      <c r="AL122">
        <v>0.6</v>
      </c>
      <c r="AM122" t="s">
        <v>221</v>
      </c>
      <c r="AN122" t="s">
        <v>225</v>
      </c>
      <c r="AO122" t="s">
        <v>221</v>
      </c>
      <c r="AP122" t="s">
        <v>225</v>
      </c>
      <c r="AQ122" t="s">
        <v>221</v>
      </c>
      <c r="AR122" t="s">
        <v>225</v>
      </c>
      <c r="AS122" t="s">
        <v>221</v>
      </c>
      <c r="AT122" t="s">
        <v>225</v>
      </c>
      <c r="AU122" t="s">
        <v>220</v>
      </c>
      <c r="AV122"/>
      <c r="AW122" s="313" t="s">
        <v>220</v>
      </c>
      <c r="AX122" t="s">
        <v>226</v>
      </c>
      <c r="AY122" s="313" t="s">
        <v>220</v>
      </c>
      <c r="AZ122" s="313">
        <v>0.28199999999999997</v>
      </c>
      <c r="BB122" s="313" t="s">
        <v>220</v>
      </c>
      <c r="BC122">
        <v>0.158</v>
      </c>
      <c r="BD122" t="s">
        <v>220</v>
      </c>
      <c r="BE122">
        <v>0.189</v>
      </c>
      <c r="BF122" s="2" t="s">
        <v>220</v>
      </c>
      <c r="BG122" s="2" t="s">
        <v>273</v>
      </c>
      <c r="BH122" s="2" t="s">
        <v>274</v>
      </c>
      <c r="BI122" s="2" t="s">
        <v>275</v>
      </c>
      <c r="BM122"/>
      <c r="BP122" s="8"/>
      <c r="BQ122" t="s">
        <v>230</v>
      </c>
      <c r="BR122" t="s">
        <v>230</v>
      </c>
      <c r="BU122" t="s">
        <v>231</v>
      </c>
      <c r="BV122" t="s">
        <v>236</v>
      </c>
      <c r="BW122" t="s">
        <v>232</v>
      </c>
      <c r="BX122" t="s">
        <v>276</v>
      </c>
      <c r="BY122" t="s">
        <v>257</v>
      </c>
      <c r="BZ122">
        <v>0.57699999999999996</v>
      </c>
      <c r="CA122" t="s">
        <v>372</v>
      </c>
      <c r="CF122" t="s">
        <v>220</v>
      </c>
      <c r="CG122">
        <v>0.20200000000000001</v>
      </c>
      <c r="CH122" t="s">
        <v>220</v>
      </c>
      <c r="CI122">
        <v>0.442</v>
      </c>
      <c r="CK122"/>
      <c r="CL122"/>
      <c r="CM122"/>
      <c r="CS122" s="8"/>
      <c r="CW122" t="s">
        <v>227</v>
      </c>
      <c r="CX122" t="s">
        <v>257</v>
      </c>
      <c r="CY122" t="s">
        <v>317</v>
      </c>
      <c r="CZ122" t="s">
        <v>220</v>
      </c>
      <c r="DA122" t="s">
        <v>220</v>
      </c>
      <c r="DB122" t="s">
        <v>227</v>
      </c>
      <c r="DC122"/>
      <c r="DD122"/>
      <c r="DE122"/>
      <c r="DF122"/>
      <c r="DG122"/>
      <c r="DH122" s="323"/>
      <c r="DI122" s="323"/>
      <c r="DJ122" s="323"/>
      <c r="DL122" t="s">
        <v>257</v>
      </c>
      <c r="DM122" t="s">
        <v>220</v>
      </c>
      <c r="DN122" t="s">
        <v>227</v>
      </c>
      <c r="DO122" t="s">
        <v>220</v>
      </c>
      <c r="DP122" t="s">
        <v>257</v>
      </c>
      <c r="DS122" s="338">
        <v>11.734999999999999</v>
      </c>
      <c r="DT122" s="8" t="s">
        <v>394</v>
      </c>
      <c r="DU122" s="338">
        <v>2579.797</v>
      </c>
      <c r="DV122" s="8" t="s">
        <v>394</v>
      </c>
      <c r="DW122">
        <v>290</v>
      </c>
      <c r="DX122" t="s">
        <v>238</v>
      </c>
      <c r="DY122">
        <v>153</v>
      </c>
      <c r="DZ122" t="s">
        <v>238</v>
      </c>
      <c r="EA122"/>
      <c r="EB122"/>
      <c r="ED122" s="410"/>
      <c r="EE122" s="1"/>
      <c r="EG122" s="410"/>
      <c r="EI122" s="410"/>
      <c r="EK122" s="1"/>
      <c r="EM122"/>
      <c r="EQ122" s="344"/>
      <c r="EU122" s="344"/>
      <c r="EW122" s="409"/>
      <c r="EY122" s="1"/>
      <c r="FA122">
        <v>26159.09</v>
      </c>
      <c r="FB122" t="s">
        <v>236</v>
      </c>
      <c r="FC122" s="7">
        <v>4273.6603149693037</v>
      </c>
      <c r="FD122" s="357" t="s">
        <v>236</v>
      </c>
      <c r="FE122" s="8">
        <v>1925750.4144506566</v>
      </c>
      <c r="FF122" t="s">
        <v>237</v>
      </c>
      <c r="FH122" s="9">
        <v>43883.372870036466</v>
      </c>
      <c r="FI122" s="9" t="s">
        <v>236</v>
      </c>
      <c r="FJ122">
        <v>424</v>
      </c>
      <c r="FK122" t="s">
        <v>238</v>
      </c>
      <c r="FL122">
        <v>1130</v>
      </c>
      <c r="FM122">
        <v>11321396.484330423</v>
      </c>
      <c r="FN122" s="5" t="s">
        <v>237</v>
      </c>
      <c r="FP122" s="6">
        <v>42.4</v>
      </c>
      <c r="FQ122" t="s">
        <v>450</v>
      </c>
      <c r="FS122" t="s">
        <v>240</v>
      </c>
      <c r="FU122" s="8">
        <v>1</v>
      </c>
      <c r="FV122" s="8">
        <v>10</v>
      </c>
      <c r="FW122" s="8">
        <v>10</v>
      </c>
      <c r="FX122" s="8">
        <v>10</v>
      </c>
      <c r="FY122" s="8">
        <v>3</v>
      </c>
      <c r="FZ122">
        <f t="shared" si="1"/>
        <v>3000</v>
      </c>
      <c r="GA122" s="7" t="s">
        <v>241</v>
      </c>
      <c r="GB122" s="7" t="s">
        <v>241</v>
      </c>
      <c r="GC122" s="6">
        <v>30</v>
      </c>
      <c r="GD122" s="348" t="s">
        <v>242</v>
      </c>
      <c r="GF122" s="6">
        <v>0.14133333333333334</v>
      </c>
      <c r="GH122" s="7"/>
      <c r="GI122" s="441" t="s">
        <v>395</v>
      </c>
      <c r="GJ122" s="441" t="s">
        <v>395</v>
      </c>
      <c r="GK122" s="441" t="s">
        <v>395</v>
      </c>
      <c r="GL122" s="441" t="s">
        <v>395</v>
      </c>
      <c r="GM122" s="461" t="s">
        <v>790</v>
      </c>
      <c r="GN122" s="6">
        <v>0.2</v>
      </c>
      <c r="GO122" s="6">
        <v>0.375</v>
      </c>
      <c r="GP122" s="6">
        <v>0.6</v>
      </c>
      <c r="GQ122" s="6">
        <v>1.5</v>
      </c>
      <c r="GR122" s="461" t="s">
        <v>790</v>
      </c>
      <c r="GU122" t="s">
        <v>243</v>
      </c>
      <c r="GV122" t="s">
        <v>236</v>
      </c>
      <c r="GW122" t="s">
        <v>244</v>
      </c>
      <c r="GX122" t="s">
        <v>236</v>
      </c>
      <c r="GY122" t="s">
        <v>245</v>
      </c>
      <c r="HE122" t="s">
        <v>384</v>
      </c>
      <c r="HF122" t="s">
        <v>223</v>
      </c>
      <c r="HG122" t="s">
        <v>231</v>
      </c>
      <c r="HH122" t="s">
        <v>225</v>
      </c>
      <c r="HI122" t="s">
        <v>247</v>
      </c>
      <c r="HJ122" t="s">
        <v>225</v>
      </c>
      <c r="HK122" t="s">
        <v>568</v>
      </c>
      <c r="HO122" t="s">
        <v>231</v>
      </c>
      <c r="HP122" t="s">
        <v>223</v>
      </c>
      <c r="HQ122" t="s">
        <v>231</v>
      </c>
      <c r="HR122" t="s">
        <v>223</v>
      </c>
      <c r="HU122" t="s">
        <v>231</v>
      </c>
      <c r="HV122" t="s">
        <v>223</v>
      </c>
      <c r="HW122" t="s">
        <v>563</v>
      </c>
      <c r="HX122" t="s">
        <v>236</v>
      </c>
      <c r="IA122" t="s">
        <v>231</v>
      </c>
      <c r="IB122" t="s">
        <v>250</v>
      </c>
      <c r="IC122" t="s">
        <v>395</v>
      </c>
      <c r="ID122" t="s">
        <v>395</v>
      </c>
      <c r="IE122" t="s">
        <v>395</v>
      </c>
      <c r="IF122" t="s">
        <v>395</v>
      </c>
      <c r="IG122" s="459" t="s">
        <v>451</v>
      </c>
      <c r="IH122" t="s">
        <v>235</v>
      </c>
    </row>
    <row r="123" spans="1:242" ht="159.5" x14ac:dyDescent="0.35">
      <c r="A123" s="310" t="s">
        <v>537</v>
      </c>
      <c r="B123" t="s">
        <v>946</v>
      </c>
      <c r="C123" s="310" t="s">
        <v>947</v>
      </c>
      <c r="D123" s="316"/>
      <c r="F123" t="s">
        <v>948</v>
      </c>
      <c r="I123" s="310" t="s">
        <v>949</v>
      </c>
      <c r="M123" s="313"/>
      <c r="O123"/>
      <c r="P123" s="381"/>
      <c r="Q123"/>
      <c r="T123" s="8"/>
      <c r="U123"/>
      <c r="V123" s="313"/>
      <c r="W123"/>
      <c r="X123"/>
      <c r="Z123"/>
      <c r="AB123"/>
      <c r="AD123" s="8" t="s">
        <v>230</v>
      </c>
      <c r="AF123" s="8" t="s">
        <v>230</v>
      </c>
      <c r="AG123"/>
      <c r="AH123"/>
      <c r="AI123"/>
      <c r="AJ123" t="s">
        <v>221</v>
      </c>
      <c r="AK123">
        <v>0</v>
      </c>
      <c r="AL123">
        <v>0.6</v>
      </c>
      <c r="AM123" t="s">
        <v>221</v>
      </c>
      <c r="AN123" t="s">
        <v>225</v>
      </c>
      <c r="AO123" t="s">
        <v>221</v>
      </c>
      <c r="AP123" t="s">
        <v>225</v>
      </c>
      <c r="AQ123" t="s">
        <v>221</v>
      </c>
      <c r="AR123" t="s">
        <v>225</v>
      </c>
      <c r="AS123" t="s">
        <v>221</v>
      </c>
      <c r="AT123" t="s">
        <v>225</v>
      </c>
      <c r="AU123" t="s">
        <v>220</v>
      </c>
      <c r="AV123"/>
      <c r="AW123" s="313" t="s">
        <v>220</v>
      </c>
      <c r="AX123" t="s">
        <v>226</v>
      </c>
      <c r="AY123" s="313" t="s">
        <v>220</v>
      </c>
      <c r="AZ123" s="313">
        <v>0.28199999999999997</v>
      </c>
      <c r="BB123" s="313" t="s">
        <v>220</v>
      </c>
      <c r="BC123">
        <v>0.154</v>
      </c>
      <c r="BD123" t="s">
        <v>220</v>
      </c>
      <c r="BE123">
        <v>0.20200000000000001</v>
      </c>
      <c r="BF123" s="2" t="s">
        <v>220</v>
      </c>
      <c r="BG123" s="2" t="s">
        <v>273</v>
      </c>
      <c r="BH123" s="2" t="s">
        <v>274</v>
      </c>
      <c r="BI123" s="2" t="s">
        <v>275</v>
      </c>
      <c r="BM123"/>
      <c r="BP123" s="8"/>
      <c r="BQ123" t="s">
        <v>230</v>
      </c>
      <c r="BR123" t="s">
        <v>230</v>
      </c>
      <c r="BU123" t="s">
        <v>231</v>
      </c>
      <c r="BV123" t="s">
        <v>223</v>
      </c>
      <c r="BW123" t="s">
        <v>232</v>
      </c>
      <c r="BX123" t="s">
        <v>276</v>
      </c>
      <c r="BY123" t="s">
        <v>257</v>
      </c>
      <c r="BZ123">
        <v>0.59</v>
      </c>
      <c r="CA123" t="s">
        <v>372</v>
      </c>
      <c r="CF123" t="s">
        <v>220</v>
      </c>
      <c r="CG123">
        <v>0.313</v>
      </c>
      <c r="CH123" t="s">
        <v>220</v>
      </c>
      <c r="CI123">
        <v>0.49299999999999999</v>
      </c>
      <c r="CK123"/>
      <c r="CL123"/>
      <c r="CM123"/>
      <c r="CS123" s="8"/>
      <c r="CW123" t="s">
        <v>227</v>
      </c>
      <c r="CX123" t="s">
        <v>257</v>
      </c>
      <c r="CY123" t="s">
        <v>231</v>
      </c>
      <c r="CZ123" t="s">
        <v>220</v>
      </c>
      <c r="DA123" t="s">
        <v>220</v>
      </c>
      <c r="DB123" t="s">
        <v>227</v>
      </c>
      <c r="DC123"/>
      <c r="DD123"/>
      <c r="DE123"/>
      <c r="DF123"/>
      <c r="DG123"/>
      <c r="DH123" s="323"/>
      <c r="DI123" s="323"/>
      <c r="DJ123" s="323"/>
      <c r="DL123" t="s">
        <v>257</v>
      </c>
      <c r="DM123" t="s">
        <v>220</v>
      </c>
      <c r="DN123" t="s">
        <v>227</v>
      </c>
      <c r="DO123" t="s">
        <v>220</v>
      </c>
      <c r="DP123" t="s">
        <v>257</v>
      </c>
      <c r="DS123" s="309">
        <v>53.363999999999997</v>
      </c>
      <c r="DU123" s="338">
        <v>1396.415</v>
      </c>
      <c r="DV123" s="8" t="s">
        <v>394</v>
      </c>
      <c r="DW123">
        <v>350</v>
      </c>
      <c r="DX123" t="s">
        <v>238</v>
      </c>
      <c r="DY123">
        <v>306</v>
      </c>
      <c r="DZ123" t="s">
        <v>238</v>
      </c>
      <c r="EA123"/>
      <c r="EB123"/>
      <c r="ED123" s="410"/>
      <c r="EE123" s="1"/>
      <c r="EG123" s="410"/>
      <c r="EI123" s="410"/>
      <c r="EK123" s="1"/>
      <c r="EM123"/>
      <c r="EQ123" s="344"/>
      <c r="EU123" s="344"/>
      <c r="EW123" s="409"/>
      <c r="EY123" s="1"/>
      <c r="FA123">
        <v>2043.09</v>
      </c>
      <c r="FB123" t="s">
        <v>225</v>
      </c>
      <c r="FC123" s="7">
        <v>647.58980046495003</v>
      </c>
      <c r="FD123" s="357" t="s">
        <v>236</v>
      </c>
      <c r="FE123" s="8">
        <v>25591.750909098962</v>
      </c>
      <c r="FF123" t="s">
        <v>237</v>
      </c>
      <c r="FH123" s="9">
        <v>1361.7582027830042</v>
      </c>
      <c r="FI123" s="9" t="s">
        <v>225</v>
      </c>
      <c r="FJ123">
        <v>1470</v>
      </c>
      <c r="FK123" t="s">
        <v>238</v>
      </c>
      <c r="FL123">
        <v>349</v>
      </c>
      <c r="FM123">
        <v>94275.750852741723</v>
      </c>
      <c r="FN123" s="5" t="s">
        <v>237</v>
      </c>
      <c r="FP123" s="6">
        <v>34.9</v>
      </c>
      <c r="FQ123" t="s">
        <v>239</v>
      </c>
      <c r="FS123" t="s">
        <v>240</v>
      </c>
      <c r="FU123" s="8">
        <v>1</v>
      </c>
      <c r="FV123" s="8">
        <v>10</v>
      </c>
      <c r="FW123" s="8">
        <v>10</v>
      </c>
      <c r="FX123" s="8">
        <v>10</v>
      </c>
      <c r="FY123" s="8">
        <v>3</v>
      </c>
      <c r="FZ123">
        <f t="shared" si="1"/>
        <v>3000</v>
      </c>
      <c r="GA123" s="7" t="s">
        <v>241</v>
      </c>
      <c r="GB123" s="7" t="s">
        <v>241</v>
      </c>
      <c r="GC123" s="6">
        <v>30</v>
      </c>
      <c r="GD123" s="348" t="s">
        <v>242</v>
      </c>
      <c r="GF123" s="6">
        <v>0.11633333333333333</v>
      </c>
      <c r="GH123" s="7"/>
      <c r="GI123" s="441">
        <v>0.77600000000000002</v>
      </c>
      <c r="GJ123" s="441">
        <v>1.454</v>
      </c>
      <c r="GK123" s="441">
        <v>2.327</v>
      </c>
      <c r="GL123" s="441">
        <v>5.8170000000000002</v>
      </c>
      <c r="GM123" s="461" t="s">
        <v>790</v>
      </c>
      <c r="GN123" s="6">
        <v>0.2</v>
      </c>
      <c r="GO123" s="6">
        <v>0.375</v>
      </c>
      <c r="GP123" s="6">
        <v>0.6</v>
      </c>
      <c r="GQ123" s="6">
        <v>1.5</v>
      </c>
      <c r="GR123" s="461" t="s">
        <v>790</v>
      </c>
      <c r="GU123" t="s">
        <v>243</v>
      </c>
      <c r="GV123" t="s">
        <v>225</v>
      </c>
      <c r="GW123" t="s">
        <v>244</v>
      </c>
      <c r="GX123" t="s">
        <v>236</v>
      </c>
      <c r="GY123" t="s">
        <v>245</v>
      </c>
      <c r="HE123" t="s">
        <v>247</v>
      </c>
      <c r="HF123" t="s">
        <v>223</v>
      </c>
      <c r="HG123" t="s">
        <v>231</v>
      </c>
      <c r="HH123" t="s">
        <v>223</v>
      </c>
      <c r="HI123" t="s">
        <v>247</v>
      </c>
      <c r="HJ123" t="s">
        <v>223</v>
      </c>
      <c r="HK123" t="s">
        <v>568</v>
      </c>
      <c r="HO123" t="s">
        <v>231</v>
      </c>
      <c r="HP123" t="s">
        <v>223</v>
      </c>
      <c r="HQ123" t="s">
        <v>231</v>
      </c>
      <c r="HR123" t="s">
        <v>223</v>
      </c>
      <c r="HU123" t="s">
        <v>231</v>
      </c>
      <c r="HV123" t="s">
        <v>223</v>
      </c>
      <c r="HW123" t="s">
        <v>563</v>
      </c>
      <c r="HX123" t="s">
        <v>236</v>
      </c>
      <c r="IA123" t="s">
        <v>231</v>
      </c>
      <c r="IB123" t="s">
        <v>250</v>
      </c>
      <c r="IC123">
        <v>0.77600000000000002</v>
      </c>
      <c r="ID123">
        <v>1.454</v>
      </c>
      <c r="IE123">
        <v>2.327</v>
      </c>
      <c r="IF123">
        <v>5.8170000000000002</v>
      </c>
      <c r="IG123" s="459" t="s">
        <v>451</v>
      </c>
      <c r="IH123" t="s">
        <v>267</v>
      </c>
    </row>
    <row r="124" spans="1:242" ht="159.5" x14ac:dyDescent="0.35">
      <c r="A124" s="310" t="s">
        <v>537</v>
      </c>
      <c r="B124" t="s">
        <v>950</v>
      </c>
      <c r="C124" s="310" t="s">
        <v>951</v>
      </c>
      <c r="D124" s="316"/>
      <c r="F124" t="s">
        <v>952</v>
      </c>
      <c r="I124" s="310" t="s">
        <v>953</v>
      </c>
      <c r="M124" s="313"/>
      <c r="O124"/>
      <c r="P124" s="381"/>
      <c r="Q124"/>
      <c r="T124" s="8"/>
      <c r="U124"/>
      <c r="V124" s="313"/>
      <c r="W124"/>
      <c r="X124"/>
      <c r="Z124"/>
      <c r="AB124"/>
      <c r="AD124" s="8" t="s">
        <v>230</v>
      </c>
      <c r="AF124" s="8" t="s">
        <v>230</v>
      </c>
      <c r="AG124"/>
      <c r="AH124"/>
      <c r="AI124"/>
      <c r="AJ124" t="s">
        <v>221</v>
      </c>
      <c r="AK124">
        <v>0</v>
      </c>
      <c r="AL124">
        <v>0.6</v>
      </c>
      <c r="AM124" t="s">
        <v>221</v>
      </c>
      <c r="AN124" t="s">
        <v>225</v>
      </c>
      <c r="AO124" t="s">
        <v>221</v>
      </c>
      <c r="AP124" t="s">
        <v>225</v>
      </c>
      <c r="AQ124" t="s">
        <v>221</v>
      </c>
      <c r="AR124" t="s">
        <v>225</v>
      </c>
      <c r="AS124" t="s">
        <v>221</v>
      </c>
      <c r="AT124" t="s">
        <v>225</v>
      </c>
      <c r="AU124" t="s">
        <v>220</v>
      </c>
      <c r="AV124"/>
      <c r="AW124" s="313" t="s">
        <v>220</v>
      </c>
      <c r="AX124" t="s">
        <v>226</v>
      </c>
      <c r="AY124" s="313" t="s">
        <v>220</v>
      </c>
      <c r="AZ124" s="313">
        <v>0.28299999999999997</v>
      </c>
      <c r="BB124" s="313" t="s">
        <v>220</v>
      </c>
      <c r="BC124">
        <v>0.153</v>
      </c>
      <c r="BD124" t="s">
        <v>220</v>
      </c>
      <c r="BE124">
        <v>0.215</v>
      </c>
      <c r="BF124" s="2" t="s">
        <v>220</v>
      </c>
      <c r="BG124" s="2" t="s">
        <v>273</v>
      </c>
      <c r="BH124" s="2" t="s">
        <v>274</v>
      </c>
      <c r="BI124" s="2" t="s">
        <v>275</v>
      </c>
      <c r="BM124"/>
      <c r="BP124" s="8"/>
      <c r="BQ124" t="s">
        <v>230</v>
      </c>
      <c r="BR124" t="s">
        <v>230</v>
      </c>
      <c r="BU124" t="s">
        <v>231</v>
      </c>
      <c r="BV124" t="s">
        <v>223</v>
      </c>
      <c r="BW124" t="s">
        <v>232</v>
      </c>
      <c r="BX124" t="s">
        <v>276</v>
      </c>
      <c r="BY124" t="s">
        <v>257</v>
      </c>
      <c r="BZ124">
        <v>0.59</v>
      </c>
      <c r="CA124" t="s">
        <v>372</v>
      </c>
      <c r="CF124" t="s">
        <v>220</v>
      </c>
      <c r="CG124">
        <v>0.39300000000000002</v>
      </c>
      <c r="CH124" t="s">
        <v>257</v>
      </c>
      <c r="CI124">
        <v>0.53400000000000003</v>
      </c>
      <c r="CK124"/>
      <c r="CL124"/>
      <c r="CM124"/>
      <c r="CS124" s="8"/>
      <c r="CW124" t="s">
        <v>227</v>
      </c>
      <c r="CX124" t="s">
        <v>257</v>
      </c>
      <c r="CY124" t="s">
        <v>231</v>
      </c>
      <c r="CZ124" t="s">
        <v>220</v>
      </c>
      <c r="DA124" t="s">
        <v>220</v>
      </c>
      <c r="DB124" t="s">
        <v>227</v>
      </c>
      <c r="DC124"/>
      <c r="DD124"/>
      <c r="DE124"/>
      <c r="DF124"/>
      <c r="DG124"/>
      <c r="DH124" s="323"/>
      <c r="DI124" s="323"/>
      <c r="DJ124" s="323"/>
      <c r="DL124" t="s">
        <v>257</v>
      </c>
      <c r="DM124" t="s">
        <v>220</v>
      </c>
      <c r="DN124" t="s">
        <v>227</v>
      </c>
      <c r="DO124" t="s">
        <v>220</v>
      </c>
      <c r="DP124" t="s">
        <v>220</v>
      </c>
      <c r="DS124" s="309">
        <v>87.99</v>
      </c>
      <c r="DU124" s="309">
        <v>847.00099999999998</v>
      </c>
      <c r="DW124">
        <v>239</v>
      </c>
      <c r="DX124" t="s">
        <v>238</v>
      </c>
      <c r="DY124">
        <v>209</v>
      </c>
      <c r="DZ124" t="s">
        <v>238</v>
      </c>
      <c r="EA124"/>
      <c r="EB124"/>
      <c r="ED124" s="410"/>
      <c r="EE124" s="1"/>
      <c r="EG124" s="410"/>
      <c r="EI124" s="410"/>
      <c r="EK124" s="1"/>
      <c r="EM124"/>
      <c r="EQ124" s="344"/>
      <c r="EU124" s="344"/>
      <c r="EW124" s="409"/>
      <c r="EY124" s="1"/>
      <c r="FA124">
        <v>542.09</v>
      </c>
      <c r="FB124" t="s">
        <v>225</v>
      </c>
      <c r="FC124" s="7">
        <v>272.14477464543677</v>
      </c>
      <c r="FD124" s="357" t="s">
        <v>225</v>
      </c>
      <c r="FE124" s="8">
        <v>3136.8951301583807</v>
      </c>
      <c r="FF124" t="s">
        <v>237</v>
      </c>
      <c r="FH124" s="9">
        <v>320.92237680484379</v>
      </c>
      <c r="FI124" s="9" t="s">
        <v>225</v>
      </c>
      <c r="FJ124">
        <v>1150</v>
      </c>
      <c r="FK124" t="s">
        <v>238</v>
      </c>
      <c r="FL124">
        <v>195</v>
      </c>
      <c r="FM124">
        <v>8667.622733900389</v>
      </c>
      <c r="FN124" s="5" t="s">
        <v>237</v>
      </c>
      <c r="FP124" s="6">
        <v>19.5</v>
      </c>
      <c r="FQ124" t="s">
        <v>239</v>
      </c>
      <c r="FS124" t="s">
        <v>240</v>
      </c>
      <c r="FU124" s="8">
        <v>1</v>
      </c>
      <c r="FV124" s="8">
        <v>10</v>
      </c>
      <c r="FW124" s="8">
        <v>10</v>
      </c>
      <c r="FX124" s="8">
        <v>10</v>
      </c>
      <c r="FY124" s="8">
        <v>3</v>
      </c>
      <c r="FZ124">
        <f t="shared" si="1"/>
        <v>3000</v>
      </c>
      <c r="GA124" s="7" t="s">
        <v>241</v>
      </c>
      <c r="GB124" s="7" t="s">
        <v>241</v>
      </c>
      <c r="GC124" s="6">
        <v>30</v>
      </c>
      <c r="GD124" s="348" t="s">
        <v>242</v>
      </c>
      <c r="GF124" s="6">
        <v>5.3487062800807304E-2</v>
      </c>
      <c r="GH124" s="7"/>
      <c r="GI124" s="441">
        <v>0.433</v>
      </c>
      <c r="GJ124" s="441">
        <v>0.81299999999999994</v>
      </c>
      <c r="GK124" s="441">
        <v>1.3</v>
      </c>
      <c r="GL124" s="441">
        <v>3.25</v>
      </c>
      <c r="GM124" s="461" t="s">
        <v>790</v>
      </c>
      <c r="GN124" s="6">
        <v>0.2</v>
      </c>
      <c r="GO124" s="6">
        <v>0.375</v>
      </c>
      <c r="GP124" s="6">
        <v>0.6</v>
      </c>
      <c r="GQ124" s="6">
        <v>1.5</v>
      </c>
      <c r="GR124" s="461" t="s">
        <v>790</v>
      </c>
      <c r="GU124" t="s">
        <v>243</v>
      </c>
      <c r="GV124" t="s">
        <v>236</v>
      </c>
      <c r="GW124" t="s">
        <v>359</v>
      </c>
      <c r="GX124" t="s">
        <v>223</v>
      </c>
      <c r="GY124" t="s">
        <v>245</v>
      </c>
      <c r="HE124" t="s">
        <v>247</v>
      </c>
      <c r="HF124" t="s">
        <v>223</v>
      </c>
      <c r="HG124" t="s">
        <v>231</v>
      </c>
      <c r="HH124" t="s">
        <v>223</v>
      </c>
      <c r="HI124" t="s">
        <v>247</v>
      </c>
      <c r="HJ124" t="s">
        <v>223</v>
      </c>
      <c r="HK124" t="s">
        <v>248</v>
      </c>
      <c r="HO124" t="s">
        <v>231</v>
      </c>
      <c r="HP124" t="s">
        <v>223</v>
      </c>
      <c r="HQ124" t="s">
        <v>231</v>
      </c>
      <c r="HR124" t="s">
        <v>223</v>
      </c>
      <c r="HU124" t="s">
        <v>231</v>
      </c>
      <c r="HV124" t="s">
        <v>223</v>
      </c>
      <c r="HW124" t="s">
        <v>563</v>
      </c>
      <c r="HX124" t="s">
        <v>236</v>
      </c>
      <c r="IA124" t="s">
        <v>231</v>
      </c>
      <c r="IB124" t="s">
        <v>250</v>
      </c>
      <c r="IC124">
        <v>0.433</v>
      </c>
      <c r="ID124">
        <v>0.81299999999999994</v>
      </c>
      <c r="IE124">
        <v>1.3</v>
      </c>
      <c r="IF124">
        <v>3.25</v>
      </c>
      <c r="IG124" s="459" t="s">
        <v>451</v>
      </c>
      <c r="IH124" t="s">
        <v>267</v>
      </c>
    </row>
    <row r="125" spans="1:242" ht="159.5" x14ac:dyDescent="0.35">
      <c r="A125" s="310" t="s">
        <v>537</v>
      </c>
      <c r="B125" t="s">
        <v>954</v>
      </c>
      <c r="C125" s="310" t="s">
        <v>955</v>
      </c>
      <c r="D125" s="316"/>
      <c r="F125" t="s">
        <v>956</v>
      </c>
      <c r="I125" s="310" t="s">
        <v>957</v>
      </c>
      <c r="M125" s="313"/>
      <c r="O125"/>
      <c r="P125" s="381"/>
      <c r="Q125"/>
      <c r="T125" s="8"/>
      <c r="U125"/>
      <c r="V125" s="313"/>
      <c r="W125"/>
      <c r="X125"/>
      <c r="Z125"/>
      <c r="AB125"/>
      <c r="AD125" s="8" t="s">
        <v>230</v>
      </c>
      <c r="AF125" s="8" t="s">
        <v>230</v>
      </c>
      <c r="AG125"/>
      <c r="AH125"/>
      <c r="AI125"/>
      <c r="AJ125" t="s">
        <v>221</v>
      </c>
      <c r="AK125">
        <v>0</v>
      </c>
      <c r="AL125">
        <v>0.6</v>
      </c>
      <c r="AM125" t="s">
        <v>221</v>
      </c>
      <c r="AN125" t="s">
        <v>225</v>
      </c>
      <c r="AO125" t="s">
        <v>221</v>
      </c>
      <c r="AP125" t="s">
        <v>225</v>
      </c>
      <c r="AQ125" t="s">
        <v>221</v>
      </c>
      <c r="AR125" t="s">
        <v>225</v>
      </c>
      <c r="AS125" t="s">
        <v>221</v>
      </c>
      <c r="AT125" t="s">
        <v>225</v>
      </c>
      <c r="AU125" t="s">
        <v>220</v>
      </c>
      <c r="AV125"/>
      <c r="AW125" s="313" t="s">
        <v>220</v>
      </c>
      <c r="AX125" t="s">
        <v>226</v>
      </c>
      <c r="AY125" s="313" t="s">
        <v>220</v>
      </c>
      <c r="AZ125" s="313">
        <v>6.0299999999999999E-2</v>
      </c>
      <c r="BB125" s="313" t="s">
        <v>220</v>
      </c>
      <c r="BC125">
        <v>4.4200000000000003E-2</v>
      </c>
      <c r="BD125" t="s">
        <v>220</v>
      </c>
      <c r="BE125">
        <v>2.4500000000000001E-2</v>
      </c>
      <c r="BF125" s="2" t="s">
        <v>220</v>
      </c>
      <c r="BG125" s="2" t="s">
        <v>273</v>
      </c>
      <c r="BH125" s="2" t="s">
        <v>274</v>
      </c>
      <c r="BI125" s="2" t="s">
        <v>275</v>
      </c>
      <c r="BM125"/>
      <c r="BP125" s="8"/>
      <c r="BQ125" t="s">
        <v>230</v>
      </c>
      <c r="BR125" t="s">
        <v>230</v>
      </c>
      <c r="BU125" t="s">
        <v>231</v>
      </c>
      <c r="BV125" t="s">
        <v>236</v>
      </c>
      <c r="BW125" t="s">
        <v>232</v>
      </c>
      <c r="BX125" t="s">
        <v>500</v>
      </c>
      <c r="BY125" t="s">
        <v>220</v>
      </c>
      <c r="BZ125">
        <v>0.251</v>
      </c>
      <c r="CA125" t="s">
        <v>372</v>
      </c>
      <c r="CF125" t="s">
        <v>220</v>
      </c>
      <c r="CG125">
        <v>0.10100000000000001</v>
      </c>
      <c r="CH125" t="s">
        <v>220</v>
      </c>
      <c r="CI125">
        <v>0.48</v>
      </c>
      <c r="CK125"/>
      <c r="CL125"/>
      <c r="CM125"/>
      <c r="CS125" s="8"/>
      <c r="CW125" t="s">
        <v>220</v>
      </c>
      <c r="CX125" t="s">
        <v>220</v>
      </c>
      <c r="CY125" t="s">
        <v>317</v>
      </c>
      <c r="CZ125" t="s">
        <v>220</v>
      </c>
      <c r="DA125" t="s">
        <v>220</v>
      </c>
      <c r="DB125" t="s">
        <v>220</v>
      </c>
      <c r="DC125"/>
      <c r="DD125"/>
      <c r="DE125"/>
      <c r="DF125"/>
      <c r="DG125"/>
      <c r="DH125" s="323"/>
      <c r="DI125" s="323"/>
      <c r="DJ125" s="323"/>
      <c r="DL125" t="s">
        <v>220</v>
      </c>
      <c r="DM125" t="s">
        <v>220</v>
      </c>
      <c r="DN125" t="s">
        <v>227</v>
      </c>
      <c r="DO125" t="s">
        <v>257</v>
      </c>
      <c r="DP125" t="s">
        <v>257</v>
      </c>
      <c r="DS125" s="338">
        <v>25.234000000000002</v>
      </c>
      <c r="DT125" s="8" t="s">
        <v>394</v>
      </c>
      <c r="DU125" s="338">
        <v>3676.3649999999998</v>
      </c>
      <c r="DV125" s="8" t="s">
        <v>394</v>
      </c>
      <c r="DW125">
        <v>272</v>
      </c>
      <c r="DX125" t="s">
        <v>238</v>
      </c>
      <c r="DY125">
        <v>170</v>
      </c>
      <c r="DZ125" t="s">
        <v>238</v>
      </c>
      <c r="EA125"/>
      <c r="EB125"/>
      <c r="ED125" s="410"/>
      <c r="EE125" s="1"/>
      <c r="EG125" s="410"/>
      <c r="EI125" s="410"/>
      <c r="EK125" s="1"/>
      <c r="EM125"/>
      <c r="EQ125" s="344"/>
      <c r="EU125" s="344"/>
      <c r="EW125" s="409"/>
      <c r="EY125" s="1"/>
      <c r="FA125">
        <v>68514.490000000005</v>
      </c>
      <c r="FB125" t="s">
        <v>236</v>
      </c>
      <c r="FC125" s="7">
        <v>3351.1973196770791</v>
      </c>
      <c r="FD125" s="357" t="s">
        <v>236</v>
      </c>
      <c r="FE125" s="8">
        <v>799281.93986215198</v>
      </c>
      <c r="FF125" t="s">
        <v>237</v>
      </c>
      <c r="FH125" s="9">
        <v>114103.77163197272</v>
      </c>
      <c r="FI125" s="9" t="s">
        <v>236</v>
      </c>
      <c r="FJ125">
        <v>390</v>
      </c>
      <c r="FK125" t="s">
        <v>238</v>
      </c>
      <c r="FL125">
        <v>308000</v>
      </c>
      <c r="FM125">
        <v>7172986.2775670961</v>
      </c>
      <c r="FN125" s="5" t="s">
        <v>237</v>
      </c>
      <c r="FP125" s="6">
        <v>39</v>
      </c>
      <c r="FQ125" t="s">
        <v>450</v>
      </c>
      <c r="FS125" t="s">
        <v>240</v>
      </c>
      <c r="FU125" s="8">
        <v>1</v>
      </c>
      <c r="FV125" s="8">
        <v>10</v>
      </c>
      <c r="FW125" s="8">
        <v>10</v>
      </c>
      <c r="FX125" s="8">
        <v>10</v>
      </c>
      <c r="FY125" s="8">
        <v>3</v>
      </c>
      <c r="FZ125">
        <f t="shared" si="1"/>
        <v>3000</v>
      </c>
      <c r="GA125" s="7" t="s">
        <v>326</v>
      </c>
      <c r="GB125" s="7" t="s">
        <v>326</v>
      </c>
      <c r="GC125" s="6">
        <v>1.5</v>
      </c>
      <c r="GD125" s="348" t="s">
        <v>242</v>
      </c>
      <c r="GF125" s="6">
        <v>0.13</v>
      </c>
      <c r="GH125" s="7"/>
      <c r="GI125" s="441" t="s">
        <v>395</v>
      </c>
      <c r="GJ125" s="441" t="s">
        <v>395</v>
      </c>
      <c r="GK125" s="441" t="s">
        <v>395</v>
      </c>
      <c r="GL125" s="441" t="s">
        <v>395</v>
      </c>
      <c r="GM125" s="461" t="s">
        <v>790</v>
      </c>
      <c r="GN125" s="6">
        <v>0.01</v>
      </c>
      <c r="GO125" s="6">
        <v>1.8749999999999999E-2</v>
      </c>
      <c r="GP125" s="6">
        <v>0.03</v>
      </c>
      <c r="GQ125" s="6">
        <v>7.4999999999999997E-2</v>
      </c>
      <c r="GR125" s="461" t="s">
        <v>790</v>
      </c>
      <c r="GU125" t="s">
        <v>243</v>
      </c>
      <c r="GV125" t="s">
        <v>236</v>
      </c>
      <c r="GW125" t="s">
        <v>244</v>
      </c>
      <c r="GX125" t="s">
        <v>236</v>
      </c>
      <c r="GY125" t="s">
        <v>245</v>
      </c>
      <c r="HE125" t="s">
        <v>384</v>
      </c>
      <c r="HF125" t="s">
        <v>223</v>
      </c>
      <c r="HG125" t="s">
        <v>231</v>
      </c>
      <c r="HH125" t="s">
        <v>225</v>
      </c>
      <c r="HI125" t="s">
        <v>247</v>
      </c>
      <c r="HJ125" t="s">
        <v>225</v>
      </c>
      <c r="HK125" t="s">
        <v>568</v>
      </c>
      <c r="HO125" t="s">
        <v>231</v>
      </c>
      <c r="HP125" t="s">
        <v>223</v>
      </c>
      <c r="HQ125" t="s">
        <v>231</v>
      </c>
      <c r="HR125" t="s">
        <v>223</v>
      </c>
      <c r="HU125" t="s">
        <v>231</v>
      </c>
      <c r="HV125" t="s">
        <v>223</v>
      </c>
      <c r="HW125" t="s">
        <v>563</v>
      </c>
      <c r="HX125" t="s">
        <v>236</v>
      </c>
      <c r="IA125" t="s">
        <v>231</v>
      </c>
      <c r="IB125" t="s">
        <v>250</v>
      </c>
      <c r="IC125" t="s">
        <v>395</v>
      </c>
      <c r="ID125" t="s">
        <v>395</v>
      </c>
      <c r="IE125" t="s">
        <v>395</v>
      </c>
      <c r="IF125" t="s">
        <v>395</v>
      </c>
      <c r="IG125" s="459" t="s">
        <v>451</v>
      </c>
      <c r="IH125" t="s">
        <v>235</v>
      </c>
    </row>
    <row r="126" spans="1:242" ht="159.5" x14ac:dyDescent="0.35">
      <c r="A126" s="310" t="s">
        <v>537</v>
      </c>
      <c r="B126" t="s">
        <v>958</v>
      </c>
      <c r="C126" s="310" t="s">
        <v>959</v>
      </c>
      <c r="D126" s="316"/>
      <c r="F126" t="s">
        <v>960</v>
      </c>
      <c r="I126" s="310" t="s">
        <v>961</v>
      </c>
      <c r="M126" s="313"/>
      <c r="O126"/>
      <c r="P126" s="381"/>
      <c r="Q126"/>
      <c r="T126" s="8"/>
      <c r="U126"/>
      <c r="V126" s="313"/>
      <c r="W126"/>
      <c r="X126"/>
      <c r="Z126"/>
      <c r="AB126"/>
      <c r="AD126" s="8" t="s">
        <v>230</v>
      </c>
      <c r="AF126" s="8" t="s">
        <v>230</v>
      </c>
      <c r="AG126"/>
      <c r="AH126"/>
      <c r="AI126"/>
      <c r="AJ126" t="s">
        <v>221</v>
      </c>
      <c r="AK126">
        <v>0</v>
      </c>
      <c r="AL126">
        <v>0.67500000000000004</v>
      </c>
      <c r="AM126" t="s">
        <v>221</v>
      </c>
      <c r="AN126" t="s">
        <v>225</v>
      </c>
      <c r="AO126" t="s">
        <v>221</v>
      </c>
      <c r="AP126" t="s">
        <v>225</v>
      </c>
      <c r="AQ126" t="s">
        <v>221</v>
      </c>
      <c r="AR126" t="s">
        <v>225</v>
      </c>
      <c r="AS126" t="s">
        <v>221</v>
      </c>
      <c r="AT126" t="s">
        <v>223</v>
      </c>
      <c r="AU126" t="s">
        <v>220</v>
      </c>
      <c r="AV126"/>
      <c r="AW126" s="313" t="s">
        <v>220</v>
      </c>
      <c r="AX126" t="s">
        <v>226</v>
      </c>
      <c r="AY126" s="313" t="s">
        <v>220</v>
      </c>
      <c r="AZ126" s="313">
        <v>0.28199999999999997</v>
      </c>
      <c r="BB126" s="313" t="s">
        <v>220</v>
      </c>
      <c r="BC126">
        <v>0.155</v>
      </c>
      <c r="BD126" t="s">
        <v>220</v>
      </c>
      <c r="BE126">
        <v>0.191</v>
      </c>
      <c r="BF126" s="2" t="s">
        <v>220</v>
      </c>
      <c r="BG126" s="2" t="s">
        <v>273</v>
      </c>
      <c r="BH126" s="2" t="s">
        <v>274</v>
      </c>
      <c r="BI126" s="2" t="s">
        <v>275</v>
      </c>
      <c r="BM126"/>
      <c r="BP126" s="8"/>
      <c r="BQ126" t="s">
        <v>230</v>
      </c>
      <c r="BR126" t="s">
        <v>230</v>
      </c>
      <c r="BU126" t="s">
        <v>231</v>
      </c>
      <c r="BV126" t="s">
        <v>225</v>
      </c>
      <c r="BW126" t="s">
        <v>232</v>
      </c>
      <c r="BX126" t="s">
        <v>276</v>
      </c>
      <c r="BY126" t="s">
        <v>257</v>
      </c>
      <c r="BZ126">
        <v>0.57799999999999996</v>
      </c>
      <c r="CA126" t="s">
        <v>372</v>
      </c>
      <c r="CF126" t="s">
        <v>220</v>
      </c>
      <c r="CG126">
        <v>0.24299999999999999</v>
      </c>
      <c r="CH126" t="s">
        <v>220</v>
      </c>
      <c r="CI126">
        <v>0.45200000000000001</v>
      </c>
      <c r="CK126"/>
      <c r="CL126"/>
      <c r="CM126"/>
      <c r="CS126" s="8"/>
      <c r="CW126" t="s">
        <v>227</v>
      </c>
      <c r="CX126" t="s">
        <v>257</v>
      </c>
      <c r="CY126" t="s">
        <v>231</v>
      </c>
      <c r="CZ126" t="s">
        <v>220</v>
      </c>
      <c r="DA126" t="s">
        <v>220</v>
      </c>
      <c r="DB126" t="s">
        <v>227</v>
      </c>
      <c r="DC126"/>
      <c r="DD126"/>
      <c r="DE126"/>
      <c r="DF126"/>
      <c r="DG126"/>
      <c r="DH126" s="323"/>
      <c r="DI126" s="323"/>
      <c r="DJ126" s="323"/>
      <c r="DL126" t="s">
        <v>257</v>
      </c>
      <c r="DM126" t="s">
        <v>220</v>
      </c>
      <c r="DN126" t="s">
        <v>227</v>
      </c>
      <c r="DO126" t="s">
        <v>220</v>
      </c>
      <c r="DP126" t="s">
        <v>257</v>
      </c>
      <c r="DS126" s="338">
        <v>28.039000000000001</v>
      </c>
      <c r="DT126" s="8" t="s">
        <v>394</v>
      </c>
      <c r="DU126" s="338">
        <v>1925.249</v>
      </c>
      <c r="DV126" s="8" t="s">
        <v>394</v>
      </c>
      <c r="DW126">
        <v>461</v>
      </c>
      <c r="DX126" t="s">
        <v>238</v>
      </c>
      <c r="DY126">
        <v>403</v>
      </c>
      <c r="DZ126" t="s">
        <v>238</v>
      </c>
      <c r="EA126"/>
      <c r="EB126"/>
      <c r="ED126" s="410"/>
      <c r="EE126" s="1"/>
      <c r="EG126" s="410"/>
      <c r="EI126" s="410"/>
      <c r="EK126" s="1"/>
      <c r="EM126"/>
      <c r="EQ126" s="344"/>
      <c r="EU126" s="344"/>
      <c r="EW126" s="409"/>
      <c r="EY126" s="1"/>
      <c r="FA126">
        <v>7700.24</v>
      </c>
      <c r="FB126" t="s">
        <v>236</v>
      </c>
      <c r="FC126" s="7">
        <v>1541.3455041680354</v>
      </c>
      <c r="FD126" s="357" t="s">
        <v>236</v>
      </c>
      <c r="FE126" s="8">
        <v>208737.27039105544</v>
      </c>
      <c r="FF126" t="s">
        <v>237</v>
      </c>
      <c r="FH126" s="9">
        <v>5779.6295119546667</v>
      </c>
      <c r="FI126" s="9" t="s">
        <v>236</v>
      </c>
      <c r="FJ126">
        <v>1820</v>
      </c>
      <c r="FK126" t="s">
        <v>238</v>
      </c>
      <c r="FL126">
        <v>622</v>
      </c>
      <c r="FM126">
        <v>1025651.9262514096</v>
      </c>
      <c r="FN126" s="5" t="s">
        <v>237</v>
      </c>
      <c r="FP126" s="6">
        <v>62.2</v>
      </c>
      <c r="FQ126" t="s">
        <v>239</v>
      </c>
      <c r="FS126" t="s">
        <v>240</v>
      </c>
      <c r="FU126" s="8">
        <v>1</v>
      </c>
      <c r="FV126" s="8">
        <v>10</v>
      </c>
      <c r="FW126" s="8">
        <v>10</v>
      </c>
      <c r="FX126" s="8">
        <v>10</v>
      </c>
      <c r="FY126" s="8">
        <v>3</v>
      </c>
      <c r="FZ126">
        <f t="shared" si="1"/>
        <v>3000</v>
      </c>
      <c r="GA126" s="7" t="s">
        <v>241</v>
      </c>
      <c r="GB126" s="7" t="s">
        <v>241</v>
      </c>
      <c r="GC126" s="6">
        <v>30</v>
      </c>
      <c r="GD126" s="348" t="s">
        <v>242</v>
      </c>
      <c r="GF126" s="6">
        <v>0.20733333333333334</v>
      </c>
      <c r="GH126" s="7"/>
      <c r="GI126" s="441" t="s">
        <v>395</v>
      </c>
      <c r="GJ126" s="441" t="s">
        <v>395</v>
      </c>
      <c r="GK126" s="441" t="s">
        <v>395</v>
      </c>
      <c r="GL126" s="441" t="s">
        <v>395</v>
      </c>
      <c r="GM126" s="461" t="s">
        <v>790</v>
      </c>
      <c r="GN126" s="6">
        <v>0.2</v>
      </c>
      <c r="GO126" s="6">
        <v>0.375</v>
      </c>
      <c r="GP126" s="6">
        <v>0.6</v>
      </c>
      <c r="GQ126" s="6">
        <v>1.5</v>
      </c>
      <c r="GR126" s="461" t="s">
        <v>790</v>
      </c>
      <c r="GU126" t="s">
        <v>243</v>
      </c>
      <c r="GV126" t="s">
        <v>236</v>
      </c>
      <c r="GW126" t="s">
        <v>244</v>
      </c>
      <c r="GX126" t="s">
        <v>236</v>
      </c>
      <c r="GY126" t="s">
        <v>245</v>
      </c>
      <c r="HE126" t="s">
        <v>247</v>
      </c>
      <c r="HF126" t="s">
        <v>223</v>
      </c>
      <c r="HG126" t="s">
        <v>231</v>
      </c>
      <c r="HH126" t="s">
        <v>223</v>
      </c>
      <c r="HI126" t="s">
        <v>247</v>
      </c>
      <c r="HJ126" t="s">
        <v>225</v>
      </c>
      <c r="HK126" t="s">
        <v>568</v>
      </c>
      <c r="HO126" t="s">
        <v>231</v>
      </c>
      <c r="HP126" t="s">
        <v>223</v>
      </c>
      <c r="HQ126" t="s">
        <v>231</v>
      </c>
      <c r="HR126" t="s">
        <v>223</v>
      </c>
      <c r="HU126" t="s">
        <v>231</v>
      </c>
      <c r="HV126" t="s">
        <v>223</v>
      </c>
      <c r="HW126" t="s">
        <v>563</v>
      </c>
      <c r="HX126" t="s">
        <v>236</v>
      </c>
      <c r="IA126" t="s">
        <v>231</v>
      </c>
      <c r="IB126" t="s">
        <v>250</v>
      </c>
      <c r="IC126" t="s">
        <v>395</v>
      </c>
      <c r="ID126" t="s">
        <v>395</v>
      </c>
      <c r="IE126" t="s">
        <v>395</v>
      </c>
      <c r="IF126" t="s">
        <v>395</v>
      </c>
      <c r="IG126" s="459" t="s">
        <v>451</v>
      </c>
      <c r="IH126" t="s">
        <v>235</v>
      </c>
    </row>
    <row r="127" spans="1:242" ht="159.5" x14ac:dyDescent="0.35">
      <c r="A127" s="310" t="s">
        <v>537</v>
      </c>
      <c r="B127" t="s">
        <v>962</v>
      </c>
      <c r="C127" s="310" t="s">
        <v>963</v>
      </c>
      <c r="D127" s="316"/>
      <c r="F127" t="s">
        <v>964</v>
      </c>
      <c r="I127" s="310" t="s">
        <v>965</v>
      </c>
      <c r="M127" s="313"/>
      <c r="O127"/>
      <c r="P127" s="381"/>
      <c r="Q127"/>
      <c r="T127" s="8"/>
      <c r="U127"/>
      <c r="V127" s="313"/>
      <c r="W127"/>
      <c r="X127"/>
      <c r="Z127"/>
      <c r="AB127"/>
      <c r="AD127" s="8" t="s">
        <v>230</v>
      </c>
      <c r="AF127" s="8" t="s">
        <v>230</v>
      </c>
      <c r="AG127"/>
      <c r="AH127"/>
      <c r="AI127"/>
      <c r="AJ127" t="s">
        <v>221</v>
      </c>
      <c r="AK127">
        <v>0</v>
      </c>
      <c r="AL127">
        <v>0.6</v>
      </c>
      <c r="AM127" t="s">
        <v>221</v>
      </c>
      <c r="AN127" t="s">
        <v>225</v>
      </c>
      <c r="AO127" t="s">
        <v>221</v>
      </c>
      <c r="AP127" t="s">
        <v>225</v>
      </c>
      <c r="AQ127" t="s">
        <v>221</v>
      </c>
      <c r="AR127" t="s">
        <v>225</v>
      </c>
      <c r="AS127" t="s">
        <v>221</v>
      </c>
      <c r="AT127" t="s">
        <v>225</v>
      </c>
      <c r="AU127" t="s">
        <v>220</v>
      </c>
      <c r="AV127"/>
      <c r="AW127" s="313" t="s">
        <v>220</v>
      </c>
      <c r="AX127" t="s">
        <v>226</v>
      </c>
      <c r="AY127" s="313" t="s">
        <v>220</v>
      </c>
      <c r="AZ127" s="313">
        <v>7.0499999999999993E-2</v>
      </c>
      <c r="BB127" s="313" t="s">
        <v>220</v>
      </c>
      <c r="BC127">
        <v>5.7599999999999998E-2</v>
      </c>
      <c r="BD127" t="s">
        <v>220</v>
      </c>
      <c r="BE127">
        <v>2.5499999999999998E-2</v>
      </c>
      <c r="BF127" s="2" t="s">
        <v>220</v>
      </c>
      <c r="BG127" s="2" t="s">
        <v>273</v>
      </c>
      <c r="BH127" s="2" t="s">
        <v>274</v>
      </c>
      <c r="BI127" s="2" t="s">
        <v>275</v>
      </c>
      <c r="BM127"/>
      <c r="BP127" s="8"/>
      <c r="BQ127" t="s">
        <v>230</v>
      </c>
      <c r="BR127" t="s">
        <v>230</v>
      </c>
      <c r="BU127" t="s">
        <v>231</v>
      </c>
      <c r="BV127" t="s">
        <v>225</v>
      </c>
      <c r="BW127" t="s">
        <v>232</v>
      </c>
      <c r="BX127" t="s">
        <v>500</v>
      </c>
      <c r="BY127" t="s">
        <v>220</v>
      </c>
      <c r="BZ127">
        <v>0.248</v>
      </c>
      <c r="CA127" t="s">
        <v>372</v>
      </c>
      <c r="CF127" t="s">
        <v>220</v>
      </c>
      <c r="CG127">
        <v>0.13500000000000001</v>
      </c>
      <c r="CH127" t="s">
        <v>257</v>
      </c>
      <c r="CI127">
        <v>0.53100000000000003</v>
      </c>
      <c r="CK127"/>
      <c r="CL127"/>
      <c r="CM127"/>
      <c r="CS127" s="8"/>
      <c r="CW127" t="s">
        <v>220</v>
      </c>
      <c r="CX127" t="s">
        <v>220</v>
      </c>
      <c r="CY127" t="s">
        <v>317</v>
      </c>
      <c r="CZ127" t="s">
        <v>220</v>
      </c>
      <c r="DA127" t="s">
        <v>220</v>
      </c>
      <c r="DB127" t="s">
        <v>227</v>
      </c>
      <c r="DC127"/>
      <c r="DD127"/>
      <c r="DE127"/>
      <c r="DF127"/>
      <c r="DG127"/>
      <c r="DH127" s="323"/>
      <c r="DI127" s="323"/>
      <c r="DJ127" s="323"/>
      <c r="DL127" t="s">
        <v>220</v>
      </c>
      <c r="DM127" t="s">
        <v>220</v>
      </c>
      <c r="DN127" t="s">
        <v>227</v>
      </c>
      <c r="DO127" t="s">
        <v>257</v>
      </c>
      <c r="DP127" t="s">
        <v>257</v>
      </c>
      <c r="DS127" s="338">
        <v>14.782</v>
      </c>
      <c r="DT127" s="8" t="s">
        <v>394</v>
      </c>
      <c r="DU127" s="338">
        <v>2141.623</v>
      </c>
      <c r="DV127" s="8" t="s">
        <v>394</v>
      </c>
      <c r="DW127"/>
      <c r="DX127" t="s">
        <v>235</v>
      </c>
      <c r="DY127"/>
      <c r="DZ127" t="s">
        <v>235</v>
      </c>
      <c r="EA127"/>
      <c r="EB127"/>
      <c r="ED127" s="410"/>
      <c r="EE127" s="1"/>
      <c r="EG127" s="410"/>
      <c r="EI127" s="410"/>
      <c r="EK127" s="1"/>
      <c r="EM127"/>
      <c r="EQ127" s="344"/>
      <c r="EU127" s="344"/>
      <c r="EW127" s="409"/>
      <c r="EY127" s="1"/>
      <c r="FA127">
        <v>21409.26</v>
      </c>
      <c r="FB127" t="s">
        <v>236</v>
      </c>
      <c r="FC127" s="7">
        <v>2417.1299521044193</v>
      </c>
      <c r="FD127" s="357" t="s">
        <v>236</v>
      </c>
      <c r="FE127" s="8">
        <v>162517.45024063543</v>
      </c>
      <c r="FF127" t="s">
        <v>237</v>
      </c>
      <c r="FH127" s="9">
        <v>29417.109697527259</v>
      </c>
      <c r="FI127" s="9" t="s">
        <v>236</v>
      </c>
      <c r="FK127" t="s">
        <v>235</v>
      </c>
      <c r="FL127">
        <v>219000</v>
      </c>
      <c r="FM127">
        <v>1089180.8576226542</v>
      </c>
      <c r="FN127" s="5" t="s">
        <v>237</v>
      </c>
      <c r="FP127" s="6">
        <v>10704.63</v>
      </c>
      <c r="FQ127" t="s">
        <v>275</v>
      </c>
      <c r="FS127" t="s">
        <v>240</v>
      </c>
      <c r="FU127" s="8">
        <v>2</v>
      </c>
      <c r="FV127" s="8">
        <v>10</v>
      </c>
      <c r="FW127" s="8">
        <v>10</v>
      </c>
      <c r="FX127" s="8">
        <v>1</v>
      </c>
      <c r="FY127" s="8">
        <v>3</v>
      </c>
      <c r="FZ127">
        <f t="shared" si="1"/>
        <v>600</v>
      </c>
      <c r="GA127" s="7" t="s">
        <v>326</v>
      </c>
      <c r="GB127" s="7" t="s">
        <v>326</v>
      </c>
      <c r="GC127" s="6">
        <v>1.5</v>
      </c>
      <c r="GD127" s="348" t="s">
        <v>242</v>
      </c>
      <c r="GF127" s="6">
        <v>73</v>
      </c>
      <c r="GH127" s="7"/>
      <c r="GI127" s="441">
        <v>237.881</v>
      </c>
      <c r="GJ127" s="441">
        <v>446.02600000000001</v>
      </c>
      <c r="GK127" s="441">
        <v>713.64200000000005</v>
      </c>
      <c r="GL127" s="441">
        <v>1784.105</v>
      </c>
      <c r="GM127" s="461" t="s">
        <v>790</v>
      </c>
      <c r="GN127" s="6">
        <v>0.01</v>
      </c>
      <c r="GO127" s="6">
        <v>1.8749999999999999E-2</v>
      </c>
      <c r="GP127" s="6">
        <v>0.03</v>
      </c>
      <c r="GQ127" s="6">
        <v>7.4999999999999997E-2</v>
      </c>
      <c r="GR127" s="461" t="s">
        <v>790</v>
      </c>
      <c r="GU127" t="s">
        <v>243</v>
      </c>
      <c r="GV127" t="s">
        <v>236</v>
      </c>
      <c r="GW127" t="s">
        <v>244</v>
      </c>
      <c r="GX127" t="s">
        <v>236</v>
      </c>
      <c r="GY127" t="s">
        <v>245</v>
      </c>
      <c r="HE127" t="s">
        <v>384</v>
      </c>
      <c r="HF127" t="s">
        <v>223</v>
      </c>
      <c r="HG127" t="s">
        <v>231</v>
      </c>
      <c r="HH127" t="s">
        <v>225</v>
      </c>
      <c r="HI127" t="s">
        <v>247</v>
      </c>
      <c r="HJ127" t="s">
        <v>225</v>
      </c>
      <c r="HK127" t="s">
        <v>568</v>
      </c>
      <c r="HO127" t="s">
        <v>231</v>
      </c>
      <c r="HP127" t="s">
        <v>223</v>
      </c>
      <c r="HQ127" t="s">
        <v>231</v>
      </c>
      <c r="HR127" t="s">
        <v>223</v>
      </c>
      <c r="HU127" t="s">
        <v>231</v>
      </c>
      <c r="HV127" t="s">
        <v>223</v>
      </c>
      <c r="HW127" t="s">
        <v>563</v>
      </c>
      <c r="HX127" t="s">
        <v>236</v>
      </c>
      <c r="IA127" t="s">
        <v>231</v>
      </c>
      <c r="IB127" t="s">
        <v>250</v>
      </c>
      <c r="IC127">
        <v>237.881</v>
      </c>
      <c r="ID127">
        <v>446.02600000000001</v>
      </c>
      <c r="IE127">
        <v>713.64200000000005</v>
      </c>
      <c r="IF127">
        <v>1784.105</v>
      </c>
      <c r="IG127" s="459" t="s">
        <v>451</v>
      </c>
      <c r="IH127" t="s">
        <v>267</v>
      </c>
    </row>
    <row r="128" spans="1:242" ht="159.5" x14ac:dyDescent="0.35">
      <c r="A128" s="310" t="s">
        <v>537</v>
      </c>
      <c r="B128" t="s">
        <v>966</v>
      </c>
      <c r="C128" s="310" t="s">
        <v>967</v>
      </c>
      <c r="D128" s="316"/>
      <c r="F128" t="s">
        <v>968</v>
      </c>
      <c r="I128" s="310" t="s">
        <v>969</v>
      </c>
      <c r="M128" s="313"/>
      <c r="O128"/>
      <c r="P128" s="381"/>
      <c r="Q128"/>
      <c r="T128" s="8"/>
      <c r="U128"/>
      <c r="V128" s="313"/>
      <c r="W128"/>
      <c r="X128"/>
      <c r="Z128"/>
      <c r="AB128"/>
      <c r="AD128" s="8" t="s">
        <v>230</v>
      </c>
      <c r="AF128" s="8" t="s">
        <v>230</v>
      </c>
      <c r="AG128"/>
      <c r="AH128"/>
      <c r="AI128"/>
      <c r="AJ128" t="s">
        <v>221</v>
      </c>
      <c r="AK128">
        <v>0</v>
      </c>
      <c r="AL128">
        <v>0.6</v>
      </c>
      <c r="AM128" t="s">
        <v>221</v>
      </c>
      <c r="AN128" t="s">
        <v>225</v>
      </c>
      <c r="AO128" t="s">
        <v>221</v>
      </c>
      <c r="AP128" t="s">
        <v>225</v>
      </c>
      <c r="AQ128" t="s">
        <v>221</v>
      </c>
      <c r="AR128" t="s">
        <v>225</v>
      </c>
      <c r="AS128" t="s">
        <v>221</v>
      </c>
      <c r="AT128" t="s">
        <v>225</v>
      </c>
      <c r="AU128" t="s">
        <v>220</v>
      </c>
      <c r="AV128"/>
      <c r="AW128" s="313" t="s">
        <v>220</v>
      </c>
      <c r="AX128" t="s">
        <v>226</v>
      </c>
      <c r="AY128" s="313" t="s">
        <v>220</v>
      </c>
      <c r="AZ128" s="313">
        <v>7.2999999999999995E-2</v>
      </c>
      <c r="BB128" s="313" t="s">
        <v>220</v>
      </c>
      <c r="BC128">
        <v>5.3600000000000002E-2</v>
      </c>
      <c r="BD128" t="s">
        <v>220</v>
      </c>
      <c r="BE128">
        <v>2.6700000000000002E-2</v>
      </c>
      <c r="BF128" s="2" t="s">
        <v>220</v>
      </c>
      <c r="BG128" s="2" t="s">
        <v>273</v>
      </c>
      <c r="BH128" s="2" t="s">
        <v>274</v>
      </c>
      <c r="BI128" s="2" t="s">
        <v>275</v>
      </c>
      <c r="BM128"/>
      <c r="BP128" s="8"/>
      <c r="BQ128" t="s">
        <v>230</v>
      </c>
      <c r="BR128" t="s">
        <v>230</v>
      </c>
      <c r="BU128" t="s">
        <v>231</v>
      </c>
      <c r="BV128" t="s">
        <v>225</v>
      </c>
      <c r="BW128" t="s">
        <v>232</v>
      </c>
      <c r="BX128" t="s">
        <v>276</v>
      </c>
      <c r="BY128" t="s">
        <v>220</v>
      </c>
      <c r="BZ128">
        <v>0.26</v>
      </c>
      <c r="CA128" t="s">
        <v>372</v>
      </c>
      <c r="CF128" t="s">
        <v>220</v>
      </c>
      <c r="CG128">
        <v>0.21</v>
      </c>
      <c r="CH128" t="s">
        <v>257</v>
      </c>
      <c r="CI128">
        <v>0.59099999999999997</v>
      </c>
      <c r="CK128"/>
      <c r="CL128"/>
      <c r="CM128"/>
      <c r="CS128" s="8"/>
      <c r="CW128" t="s">
        <v>220</v>
      </c>
      <c r="CX128" t="s">
        <v>220</v>
      </c>
      <c r="CY128" t="s">
        <v>231</v>
      </c>
      <c r="CZ128" t="s">
        <v>220</v>
      </c>
      <c r="DA128" t="s">
        <v>220</v>
      </c>
      <c r="DB128" t="s">
        <v>227</v>
      </c>
      <c r="DC128"/>
      <c r="DD128"/>
      <c r="DE128"/>
      <c r="DF128"/>
      <c r="DG128"/>
      <c r="DH128" s="323"/>
      <c r="DI128" s="323"/>
      <c r="DJ128" s="323"/>
      <c r="DL128" t="s">
        <v>220</v>
      </c>
      <c r="DM128" t="s">
        <v>220</v>
      </c>
      <c r="DN128" t="s">
        <v>227</v>
      </c>
      <c r="DO128" t="s">
        <v>257</v>
      </c>
      <c r="DP128" t="s">
        <v>257</v>
      </c>
      <c r="DS128" s="338">
        <v>25.652000000000001</v>
      </c>
      <c r="DT128" s="8" t="s">
        <v>394</v>
      </c>
      <c r="DU128" s="338">
        <v>1709.825</v>
      </c>
      <c r="DV128" s="8" t="s">
        <v>394</v>
      </c>
      <c r="DW128"/>
      <c r="DX128" t="s">
        <v>235</v>
      </c>
      <c r="DY128"/>
      <c r="DZ128" t="s">
        <v>235</v>
      </c>
      <c r="EA128"/>
      <c r="EB128"/>
      <c r="ED128" s="410"/>
      <c r="EE128" s="1"/>
      <c r="EG128" s="410"/>
      <c r="EI128" s="410"/>
      <c r="EK128" s="1"/>
      <c r="EM128"/>
      <c r="EQ128" s="344"/>
      <c r="EU128" s="344"/>
      <c r="EW128" s="409"/>
      <c r="EY128" s="1"/>
      <c r="FA128">
        <v>5680.48</v>
      </c>
      <c r="FB128" t="s">
        <v>225</v>
      </c>
      <c r="FC128" s="7">
        <v>1015.7808007969013</v>
      </c>
      <c r="FD128" s="357" t="s">
        <v>225</v>
      </c>
      <c r="FE128" s="8">
        <v>19925.076614963993</v>
      </c>
      <c r="FF128" t="s">
        <v>237</v>
      </c>
      <c r="FH128" s="9">
        <v>6931.0654514993721</v>
      </c>
      <c r="FI128" s="9" t="s">
        <v>236</v>
      </c>
      <c r="FK128" t="s">
        <v>235</v>
      </c>
      <c r="FL128">
        <v>37900</v>
      </c>
      <c r="FM128">
        <v>100115.19555381694</v>
      </c>
      <c r="FN128" s="5" t="s">
        <v>237</v>
      </c>
      <c r="FP128" s="6">
        <v>2840.24</v>
      </c>
      <c r="FQ128" t="s">
        <v>275</v>
      </c>
      <c r="FS128" t="s">
        <v>240</v>
      </c>
      <c r="FU128" s="8">
        <v>2</v>
      </c>
      <c r="FV128" s="8">
        <v>10</v>
      </c>
      <c r="FW128" s="8">
        <v>10</v>
      </c>
      <c r="FX128" s="8">
        <v>1</v>
      </c>
      <c r="FY128" s="8">
        <v>3</v>
      </c>
      <c r="FZ128">
        <f t="shared" si="1"/>
        <v>600</v>
      </c>
      <c r="GA128" s="7" t="s">
        <v>326</v>
      </c>
      <c r="GB128" s="7" t="s">
        <v>326</v>
      </c>
      <c r="GC128" s="6">
        <v>1.5</v>
      </c>
      <c r="GD128" s="348" t="s">
        <v>242</v>
      </c>
      <c r="GF128" s="6">
        <v>9.4674666666666649</v>
      </c>
      <c r="GH128" s="7"/>
      <c r="GI128" s="441">
        <v>63.116</v>
      </c>
      <c r="GJ128" s="441">
        <v>118.343</v>
      </c>
      <c r="GK128" s="441">
        <v>189.34899999999999</v>
      </c>
      <c r="GL128" s="441">
        <v>473.37299999999999</v>
      </c>
      <c r="GM128" s="461" t="s">
        <v>790</v>
      </c>
      <c r="GN128" s="6">
        <v>0.01</v>
      </c>
      <c r="GO128" s="6">
        <v>1.8749999999999999E-2</v>
      </c>
      <c r="GP128" s="6">
        <v>0.03</v>
      </c>
      <c r="GQ128" s="6">
        <v>7.4999999999999997E-2</v>
      </c>
      <c r="GR128" s="461" t="s">
        <v>790</v>
      </c>
      <c r="GU128" t="s">
        <v>243</v>
      </c>
      <c r="GV128" t="s">
        <v>225</v>
      </c>
      <c r="GW128" t="s">
        <v>244</v>
      </c>
      <c r="GX128" t="s">
        <v>236</v>
      </c>
      <c r="GY128" t="s">
        <v>245</v>
      </c>
      <c r="HE128" t="s">
        <v>384</v>
      </c>
      <c r="HF128" t="s">
        <v>223</v>
      </c>
      <c r="HG128" t="s">
        <v>231</v>
      </c>
      <c r="HH128" t="s">
        <v>223</v>
      </c>
      <c r="HI128" t="s">
        <v>247</v>
      </c>
      <c r="HJ128" t="s">
        <v>223</v>
      </c>
      <c r="HK128" t="s">
        <v>568</v>
      </c>
      <c r="HO128" t="s">
        <v>231</v>
      </c>
      <c r="HP128" t="s">
        <v>223</v>
      </c>
      <c r="HQ128" t="s">
        <v>231</v>
      </c>
      <c r="HR128" t="s">
        <v>223</v>
      </c>
      <c r="HU128" t="s">
        <v>231</v>
      </c>
      <c r="HV128" t="s">
        <v>223</v>
      </c>
      <c r="HW128" t="s">
        <v>563</v>
      </c>
      <c r="HX128" t="s">
        <v>236</v>
      </c>
      <c r="IA128" t="s">
        <v>231</v>
      </c>
      <c r="IB128" t="s">
        <v>250</v>
      </c>
      <c r="IC128">
        <v>63.116</v>
      </c>
      <c r="ID128">
        <v>118.343</v>
      </c>
      <c r="IE128">
        <v>189.34899999999999</v>
      </c>
      <c r="IF128">
        <v>473.37299999999999</v>
      </c>
      <c r="IG128" s="459" t="s">
        <v>451</v>
      </c>
      <c r="IH128" t="s">
        <v>267</v>
      </c>
    </row>
    <row r="129" spans="1:242" ht="159.5" x14ac:dyDescent="0.35">
      <c r="A129" s="310" t="s">
        <v>537</v>
      </c>
      <c r="B129" t="s">
        <v>970</v>
      </c>
      <c r="C129" s="310" t="s">
        <v>971</v>
      </c>
      <c r="D129" s="316"/>
      <c r="F129" t="s">
        <v>972</v>
      </c>
      <c r="I129" s="310" t="s">
        <v>973</v>
      </c>
      <c r="M129" s="313"/>
      <c r="O129"/>
      <c r="P129" s="381"/>
      <c r="Q129"/>
      <c r="T129" s="8"/>
      <c r="U129"/>
      <c r="V129" s="313"/>
      <c r="W129"/>
      <c r="X129"/>
      <c r="Z129"/>
      <c r="AB129"/>
      <c r="AD129" s="8" t="s">
        <v>230</v>
      </c>
      <c r="AF129" s="8" t="s">
        <v>230</v>
      </c>
      <c r="AG129"/>
      <c r="AH129"/>
      <c r="AI129"/>
      <c r="AJ129" t="s">
        <v>221</v>
      </c>
      <c r="AK129">
        <v>0</v>
      </c>
      <c r="AL129">
        <v>0.6</v>
      </c>
      <c r="AM129" t="s">
        <v>221</v>
      </c>
      <c r="AN129" t="s">
        <v>225</v>
      </c>
      <c r="AO129" t="s">
        <v>221</v>
      </c>
      <c r="AP129" t="s">
        <v>225</v>
      </c>
      <c r="AQ129" t="s">
        <v>221</v>
      </c>
      <c r="AR129" t="s">
        <v>225</v>
      </c>
      <c r="AS129" t="s">
        <v>221</v>
      </c>
      <c r="AT129" t="s">
        <v>225</v>
      </c>
      <c r="AU129" t="s">
        <v>220</v>
      </c>
      <c r="AV129"/>
      <c r="AW129" s="313" t="s">
        <v>220</v>
      </c>
      <c r="AX129" t="s">
        <v>226</v>
      </c>
      <c r="AY129" s="313" t="s">
        <v>220</v>
      </c>
      <c r="AZ129" s="313">
        <v>0.28000000000000003</v>
      </c>
      <c r="BB129" s="313" t="s">
        <v>220</v>
      </c>
      <c r="BC129">
        <v>0.154</v>
      </c>
      <c r="BD129" t="s">
        <v>220</v>
      </c>
      <c r="BE129">
        <v>0.17</v>
      </c>
      <c r="BF129" s="2" t="s">
        <v>220</v>
      </c>
      <c r="BG129" s="2" t="s">
        <v>273</v>
      </c>
      <c r="BH129" s="2" t="s">
        <v>274</v>
      </c>
      <c r="BI129" s="2" t="s">
        <v>275</v>
      </c>
      <c r="BM129"/>
      <c r="BP129" s="8"/>
      <c r="BQ129" t="s">
        <v>230</v>
      </c>
      <c r="BR129" t="s">
        <v>230</v>
      </c>
      <c r="BU129" t="s">
        <v>231</v>
      </c>
      <c r="BV129" t="s">
        <v>236</v>
      </c>
      <c r="BW129" t="s">
        <v>232</v>
      </c>
      <c r="BX129" t="s">
        <v>276</v>
      </c>
      <c r="BY129" t="s">
        <v>257</v>
      </c>
      <c r="BZ129">
        <v>0.55600000000000005</v>
      </c>
      <c r="CA129" t="s">
        <v>372</v>
      </c>
      <c r="CF129" t="s">
        <v>220</v>
      </c>
      <c r="CG129">
        <v>0.16900000000000001</v>
      </c>
      <c r="CH129" t="s">
        <v>220</v>
      </c>
      <c r="CI129">
        <v>0.38300000000000001</v>
      </c>
      <c r="CK129"/>
      <c r="CL129"/>
      <c r="CM129"/>
      <c r="CS129" s="8"/>
      <c r="CW129" t="s">
        <v>227</v>
      </c>
      <c r="CX129" t="s">
        <v>257</v>
      </c>
      <c r="CY129" t="s">
        <v>231</v>
      </c>
      <c r="CZ129" t="s">
        <v>220</v>
      </c>
      <c r="DA129" t="s">
        <v>220</v>
      </c>
      <c r="DB129" t="s">
        <v>227</v>
      </c>
      <c r="DC129"/>
      <c r="DD129"/>
      <c r="DE129"/>
      <c r="DF129"/>
      <c r="DG129"/>
      <c r="DH129" s="323"/>
      <c r="DI129" s="323"/>
      <c r="DJ129" s="323"/>
      <c r="DL129" t="s">
        <v>257</v>
      </c>
      <c r="DM129" t="s">
        <v>220</v>
      </c>
      <c r="DN129" t="s">
        <v>227</v>
      </c>
      <c r="DO129" t="s">
        <v>220</v>
      </c>
      <c r="DP129" t="s">
        <v>257</v>
      </c>
      <c r="DS129" s="338">
        <v>22.504000000000001</v>
      </c>
      <c r="DT129" s="8" t="s">
        <v>394</v>
      </c>
      <c r="DU129" s="338">
        <v>2224.92</v>
      </c>
      <c r="DV129" s="8" t="s">
        <v>394</v>
      </c>
      <c r="DW129">
        <v>589</v>
      </c>
      <c r="DX129" t="s">
        <v>238</v>
      </c>
      <c r="DY129">
        <v>515</v>
      </c>
      <c r="DZ129" t="s">
        <v>238</v>
      </c>
      <c r="EA129"/>
      <c r="EB129"/>
      <c r="ED129" s="410"/>
      <c r="EE129" s="1"/>
      <c r="EG129" s="410"/>
      <c r="EI129" s="410"/>
      <c r="EK129" s="1"/>
      <c r="EM129"/>
      <c r="EQ129" s="344"/>
      <c r="EU129" s="344"/>
      <c r="EW129" s="409"/>
      <c r="EY129" s="1"/>
      <c r="FA129">
        <v>32197.33</v>
      </c>
      <c r="FB129" t="s">
        <v>236</v>
      </c>
      <c r="FC129" s="7">
        <v>3148.4731933873823</v>
      </c>
      <c r="FD129" s="357" t="s">
        <v>236</v>
      </c>
      <c r="FE129" s="8">
        <v>1505220.0686321319</v>
      </c>
      <c r="FF129" t="s">
        <v>237</v>
      </c>
      <c r="FH129" s="9">
        <v>13708.817661648525</v>
      </c>
      <c r="FI129" s="9" t="s">
        <v>236</v>
      </c>
      <c r="FJ129">
        <v>2520</v>
      </c>
      <c r="FK129" t="s">
        <v>238</v>
      </c>
      <c r="FL129">
        <v>1080</v>
      </c>
      <c r="FM129">
        <v>10992589.240151443</v>
      </c>
      <c r="FN129" s="5" t="s">
        <v>237</v>
      </c>
      <c r="FP129" s="6">
        <v>108</v>
      </c>
      <c r="FQ129" t="s">
        <v>239</v>
      </c>
      <c r="FS129" t="s">
        <v>240</v>
      </c>
      <c r="FU129" s="8">
        <v>1</v>
      </c>
      <c r="FV129" s="8">
        <v>10</v>
      </c>
      <c r="FW129" s="8">
        <v>10</v>
      </c>
      <c r="FX129" s="8">
        <v>10</v>
      </c>
      <c r="FY129" s="8">
        <v>3</v>
      </c>
      <c r="FZ129">
        <f t="shared" si="1"/>
        <v>3000</v>
      </c>
      <c r="GA129" s="7" t="s">
        <v>241</v>
      </c>
      <c r="GB129" s="7" t="s">
        <v>241</v>
      </c>
      <c r="GC129" s="6">
        <v>30</v>
      </c>
      <c r="GD129" s="348" t="s">
        <v>242</v>
      </c>
      <c r="GF129" s="6">
        <v>0.36</v>
      </c>
      <c r="GH129" s="7"/>
      <c r="GI129" s="441" t="s">
        <v>395</v>
      </c>
      <c r="GJ129" s="441" t="s">
        <v>395</v>
      </c>
      <c r="GK129" s="441" t="s">
        <v>395</v>
      </c>
      <c r="GL129" s="441" t="s">
        <v>395</v>
      </c>
      <c r="GM129" s="461" t="s">
        <v>790</v>
      </c>
      <c r="GN129" s="6">
        <v>0.2</v>
      </c>
      <c r="GO129" s="6">
        <v>0.375</v>
      </c>
      <c r="GP129" s="6">
        <v>0.6</v>
      </c>
      <c r="GQ129" s="6">
        <v>1.5</v>
      </c>
      <c r="GR129" s="461" t="s">
        <v>790</v>
      </c>
      <c r="GU129" t="s">
        <v>243</v>
      </c>
      <c r="GV129" t="s">
        <v>236</v>
      </c>
      <c r="GW129" t="s">
        <v>244</v>
      </c>
      <c r="GX129" t="s">
        <v>236</v>
      </c>
      <c r="GY129" t="s">
        <v>245</v>
      </c>
      <c r="HE129" t="s">
        <v>247</v>
      </c>
      <c r="HF129" t="s">
        <v>223</v>
      </c>
      <c r="HG129" t="s">
        <v>231</v>
      </c>
      <c r="HH129" t="s">
        <v>225</v>
      </c>
      <c r="HI129" t="s">
        <v>247</v>
      </c>
      <c r="HJ129" t="s">
        <v>225</v>
      </c>
      <c r="HK129" t="s">
        <v>568</v>
      </c>
      <c r="HO129" t="s">
        <v>231</v>
      </c>
      <c r="HP129" t="s">
        <v>223</v>
      </c>
      <c r="HQ129" t="s">
        <v>231</v>
      </c>
      <c r="HR129" t="s">
        <v>223</v>
      </c>
      <c r="HU129" t="s">
        <v>231</v>
      </c>
      <c r="HV129" t="s">
        <v>225</v>
      </c>
      <c r="HW129" t="s">
        <v>563</v>
      </c>
      <c r="HX129" t="s">
        <v>236</v>
      </c>
      <c r="IA129" t="s">
        <v>231</v>
      </c>
      <c r="IB129" t="s">
        <v>250</v>
      </c>
      <c r="IC129" t="s">
        <v>395</v>
      </c>
      <c r="ID129" t="s">
        <v>395</v>
      </c>
      <c r="IE129" t="s">
        <v>395</v>
      </c>
      <c r="IF129" t="s">
        <v>395</v>
      </c>
      <c r="IG129" s="459" t="s">
        <v>451</v>
      </c>
      <c r="IH129" t="s">
        <v>235</v>
      </c>
    </row>
    <row r="130" spans="1:242" ht="159.5" x14ac:dyDescent="0.35">
      <c r="A130" s="310" t="s">
        <v>537</v>
      </c>
      <c r="B130" t="s">
        <v>974</v>
      </c>
      <c r="C130" s="310" t="s">
        <v>975</v>
      </c>
      <c r="D130" s="316"/>
      <c r="F130" t="s">
        <v>976</v>
      </c>
      <c r="I130" s="310" t="s">
        <v>973</v>
      </c>
      <c r="M130" s="313"/>
      <c r="O130"/>
      <c r="P130" s="382"/>
      <c r="Q130"/>
      <c r="U130"/>
      <c r="V130" s="313"/>
      <c r="W130"/>
      <c r="X130"/>
      <c r="Z130"/>
      <c r="AB130"/>
      <c r="AD130" s="8" t="s">
        <v>230</v>
      </c>
      <c r="AF130" s="8" t="s">
        <v>230</v>
      </c>
      <c r="AG130"/>
      <c r="AH130"/>
      <c r="AI130"/>
      <c r="AJ130" t="s">
        <v>221</v>
      </c>
      <c r="AK130">
        <v>0</v>
      </c>
      <c r="AL130">
        <v>0.6</v>
      </c>
      <c r="AM130" t="s">
        <v>221</v>
      </c>
      <c r="AN130" t="s">
        <v>225</v>
      </c>
      <c r="AO130" t="s">
        <v>221</v>
      </c>
      <c r="AP130" t="s">
        <v>225</v>
      </c>
      <c r="AQ130" t="s">
        <v>221</v>
      </c>
      <c r="AR130" t="s">
        <v>225</v>
      </c>
      <c r="AS130" t="s">
        <v>221</v>
      </c>
      <c r="AT130" t="s">
        <v>225</v>
      </c>
      <c r="AU130" t="s">
        <v>220</v>
      </c>
      <c r="AV130"/>
      <c r="AW130" s="313" t="s">
        <v>220</v>
      </c>
      <c r="AX130" t="s">
        <v>226</v>
      </c>
      <c r="AY130" s="313" t="s">
        <v>220</v>
      </c>
      <c r="AZ130" s="313">
        <v>0.28000000000000003</v>
      </c>
      <c r="BB130" s="313" t="s">
        <v>220</v>
      </c>
      <c r="BC130">
        <v>0.154</v>
      </c>
      <c r="BD130" t="s">
        <v>220</v>
      </c>
      <c r="BE130">
        <v>0.17</v>
      </c>
      <c r="BF130" s="2" t="s">
        <v>220</v>
      </c>
      <c r="BG130" s="2" t="s">
        <v>273</v>
      </c>
      <c r="BH130" s="2" t="s">
        <v>274</v>
      </c>
      <c r="BI130" s="2" t="s">
        <v>275</v>
      </c>
      <c r="BM130"/>
      <c r="BP130" s="8"/>
      <c r="BQ130" t="s">
        <v>230</v>
      </c>
      <c r="BR130" t="s">
        <v>230</v>
      </c>
      <c r="BU130" t="s">
        <v>231</v>
      </c>
      <c r="BV130" t="s">
        <v>236</v>
      </c>
      <c r="BW130" t="s">
        <v>232</v>
      </c>
      <c r="BX130" t="s">
        <v>276</v>
      </c>
      <c r="BY130" t="s">
        <v>257</v>
      </c>
      <c r="BZ130">
        <v>0.55600000000000005</v>
      </c>
      <c r="CA130" t="s">
        <v>372</v>
      </c>
      <c r="CF130" t="s">
        <v>220</v>
      </c>
      <c r="CG130">
        <v>0.16900000000000001</v>
      </c>
      <c r="CH130" t="s">
        <v>220</v>
      </c>
      <c r="CI130">
        <v>0.38300000000000001</v>
      </c>
      <c r="CK130"/>
      <c r="CL130"/>
      <c r="CM130"/>
      <c r="CS130" s="8"/>
      <c r="CW130" t="s">
        <v>227</v>
      </c>
      <c r="CX130" t="s">
        <v>257</v>
      </c>
      <c r="CY130" t="s">
        <v>231</v>
      </c>
      <c r="CZ130" t="s">
        <v>220</v>
      </c>
      <c r="DA130" t="s">
        <v>220</v>
      </c>
      <c r="DB130" t="s">
        <v>227</v>
      </c>
      <c r="DC130"/>
      <c r="DD130"/>
      <c r="DE130"/>
      <c r="DF130"/>
      <c r="DG130"/>
      <c r="DH130" s="323"/>
      <c r="DI130" s="323"/>
      <c r="DJ130" s="323"/>
      <c r="DL130" t="s">
        <v>257</v>
      </c>
      <c r="DM130" t="s">
        <v>220</v>
      </c>
      <c r="DN130" t="s">
        <v>227</v>
      </c>
      <c r="DO130" t="s">
        <v>220</v>
      </c>
      <c r="DP130" t="s">
        <v>257</v>
      </c>
      <c r="DS130" s="338">
        <v>22.233000000000001</v>
      </c>
      <c r="DT130" s="8" t="s">
        <v>394</v>
      </c>
      <c r="DU130" s="338">
        <v>2223.4549999999999</v>
      </c>
      <c r="DV130" s="8" t="s">
        <v>394</v>
      </c>
      <c r="DW130">
        <v>589</v>
      </c>
      <c r="DX130" t="s">
        <v>238</v>
      </c>
      <c r="DY130">
        <v>515</v>
      </c>
      <c r="DZ130" t="s">
        <v>238</v>
      </c>
      <c r="EA130"/>
      <c r="EB130"/>
      <c r="ED130" s="410"/>
      <c r="EE130" s="1"/>
      <c r="EG130" s="410"/>
      <c r="EI130" s="410"/>
      <c r="EK130" s="1"/>
      <c r="EM130"/>
      <c r="EQ130" s="344"/>
      <c r="EU130" s="344"/>
      <c r="EW130" s="409"/>
      <c r="EY130" s="1"/>
      <c r="FA130">
        <v>32197.33</v>
      </c>
      <c r="FB130" t="s">
        <v>236</v>
      </c>
      <c r="FC130" s="7">
        <v>3148.4731933873823</v>
      </c>
      <c r="FD130" s="357" t="s">
        <v>236</v>
      </c>
      <c r="FE130" s="8">
        <v>1505220.0686321319</v>
      </c>
      <c r="FF130" t="s">
        <v>237</v>
      </c>
      <c r="FH130" s="9">
        <v>13708.817661648525</v>
      </c>
      <c r="FI130" s="9" t="s">
        <v>236</v>
      </c>
      <c r="FJ130">
        <v>2810</v>
      </c>
      <c r="FK130" t="s">
        <v>238</v>
      </c>
      <c r="FL130">
        <v>1080</v>
      </c>
      <c r="FM130">
        <v>10992589.240151443</v>
      </c>
      <c r="FN130" s="5" t="s">
        <v>237</v>
      </c>
      <c r="FP130" s="6">
        <v>108</v>
      </c>
      <c r="FQ130" t="s">
        <v>239</v>
      </c>
      <c r="FS130" t="s">
        <v>240</v>
      </c>
      <c r="FU130" s="8">
        <v>1</v>
      </c>
      <c r="FV130" s="8">
        <v>10</v>
      </c>
      <c r="FW130" s="8">
        <v>10</v>
      </c>
      <c r="FX130" s="8">
        <v>10</v>
      </c>
      <c r="FY130" s="8">
        <v>3</v>
      </c>
      <c r="FZ130">
        <f t="shared" si="1"/>
        <v>3000</v>
      </c>
      <c r="GA130" s="7" t="s">
        <v>241</v>
      </c>
      <c r="GB130" s="7" t="s">
        <v>241</v>
      </c>
      <c r="GC130" s="6">
        <v>30</v>
      </c>
      <c r="GD130" s="348" t="s">
        <v>242</v>
      </c>
      <c r="GF130" s="6">
        <v>0.36</v>
      </c>
      <c r="GH130" s="7"/>
      <c r="GI130" s="441" t="s">
        <v>395</v>
      </c>
      <c r="GJ130" s="441" t="s">
        <v>395</v>
      </c>
      <c r="GK130" s="441" t="s">
        <v>395</v>
      </c>
      <c r="GL130" s="441" t="s">
        <v>395</v>
      </c>
      <c r="GM130" s="461" t="s">
        <v>790</v>
      </c>
      <c r="GN130" s="6">
        <v>0.2</v>
      </c>
      <c r="GO130" s="6">
        <v>0.375</v>
      </c>
      <c r="GP130" s="6">
        <v>0.6</v>
      </c>
      <c r="GQ130" s="6">
        <v>1.5</v>
      </c>
      <c r="GR130" s="461" t="s">
        <v>790</v>
      </c>
      <c r="GU130" t="s">
        <v>243</v>
      </c>
      <c r="GV130" t="s">
        <v>236</v>
      </c>
      <c r="GW130" t="s">
        <v>244</v>
      </c>
      <c r="GX130" t="s">
        <v>236</v>
      </c>
      <c r="GY130" t="s">
        <v>245</v>
      </c>
      <c r="HE130" t="s">
        <v>247</v>
      </c>
      <c r="HF130" t="s">
        <v>223</v>
      </c>
      <c r="HG130" t="s">
        <v>231</v>
      </c>
      <c r="HH130" t="s">
        <v>225</v>
      </c>
      <c r="HI130" t="s">
        <v>247</v>
      </c>
      <c r="HJ130" t="s">
        <v>225</v>
      </c>
      <c r="HK130" t="s">
        <v>568</v>
      </c>
      <c r="HO130" t="s">
        <v>231</v>
      </c>
      <c r="HP130" t="s">
        <v>223</v>
      </c>
      <c r="HQ130" t="s">
        <v>231</v>
      </c>
      <c r="HR130" t="s">
        <v>223</v>
      </c>
      <c r="HU130" t="s">
        <v>231</v>
      </c>
      <c r="HV130" t="s">
        <v>225</v>
      </c>
      <c r="HW130" t="s">
        <v>563</v>
      </c>
      <c r="HX130" t="s">
        <v>236</v>
      </c>
      <c r="IA130" t="s">
        <v>231</v>
      </c>
      <c r="IB130" t="s">
        <v>250</v>
      </c>
      <c r="IC130" t="s">
        <v>395</v>
      </c>
      <c r="ID130" t="s">
        <v>395</v>
      </c>
      <c r="IE130" t="s">
        <v>395</v>
      </c>
      <c r="IF130" t="s">
        <v>395</v>
      </c>
      <c r="IG130" s="459" t="s">
        <v>451</v>
      </c>
      <c r="IH130" t="s">
        <v>235</v>
      </c>
    </row>
    <row r="131" spans="1:242" ht="159.5" x14ac:dyDescent="0.35">
      <c r="A131" s="310" t="s">
        <v>537</v>
      </c>
      <c r="B131" t="s">
        <v>977</v>
      </c>
      <c r="C131" s="310" t="s">
        <v>978</v>
      </c>
      <c r="D131" s="316"/>
      <c r="F131" t="s">
        <v>979</v>
      </c>
      <c r="I131" s="310" t="s">
        <v>980</v>
      </c>
      <c r="M131" s="313"/>
      <c r="O131"/>
      <c r="P131" s="381"/>
      <c r="Q131"/>
      <c r="T131" s="8"/>
      <c r="U131"/>
      <c r="V131" s="313"/>
      <c r="W131"/>
      <c r="X131"/>
      <c r="Z131"/>
      <c r="AB131"/>
      <c r="AD131" s="8" t="s">
        <v>230</v>
      </c>
      <c r="AF131" s="8" t="s">
        <v>230</v>
      </c>
      <c r="AG131"/>
      <c r="AH131"/>
      <c r="AI131"/>
      <c r="AJ131" t="s">
        <v>221</v>
      </c>
      <c r="AK131">
        <v>0</v>
      </c>
      <c r="AL131">
        <v>0.6</v>
      </c>
      <c r="AM131" t="s">
        <v>221</v>
      </c>
      <c r="AN131" t="s">
        <v>225</v>
      </c>
      <c r="AO131" t="s">
        <v>221</v>
      </c>
      <c r="AP131" t="s">
        <v>225</v>
      </c>
      <c r="AQ131" t="s">
        <v>221</v>
      </c>
      <c r="AR131" t="s">
        <v>225</v>
      </c>
      <c r="AS131" t="s">
        <v>221</v>
      </c>
      <c r="AT131" t="s">
        <v>225</v>
      </c>
      <c r="AU131" t="s">
        <v>220</v>
      </c>
      <c r="AV131"/>
      <c r="AW131" s="313" t="s">
        <v>220</v>
      </c>
      <c r="AX131" t="s">
        <v>226</v>
      </c>
      <c r="AY131" s="313" t="s">
        <v>220</v>
      </c>
      <c r="AZ131" s="313">
        <v>0.16500000000000001</v>
      </c>
      <c r="BB131" s="313" t="s">
        <v>220</v>
      </c>
      <c r="BC131">
        <v>0.111</v>
      </c>
      <c r="BD131" t="s">
        <v>220</v>
      </c>
      <c r="BE131">
        <v>6.2799999999999995E-2</v>
      </c>
      <c r="BF131" s="2" t="s">
        <v>220</v>
      </c>
      <c r="BG131" s="2" t="s">
        <v>273</v>
      </c>
      <c r="BH131" s="2" t="s">
        <v>274</v>
      </c>
      <c r="BI131" s="2" t="s">
        <v>275</v>
      </c>
      <c r="BM131"/>
      <c r="BP131" s="8"/>
      <c r="BQ131" t="s">
        <v>230</v>
      </c>
      <c r="BR131" t="s">
        <v>230</v>
      </c>
      <c r="BU131" t="s">
        <v>231</v>
      </c>
      <c r="BV131" t="s">
        <v>225</v>
      </c>
      <c r="BW131" t="s">
        <v>232</v>
      </c>
      <c r="BX131" t="s">
        <v>233</v>
      </c>
      <c r="BY131" t="s">
        <v>220</v>
      </c>
      <c r="BZ131">
        <v>0.32700000000000001</v>
      </c>
      <c r="CA131" t="s">
        <v>372</v>
      </c>
      <c r="CF131" t="s">
        <v>220</v>
      </c>
      <c r="CG131">
        <v>0.17799999999999999</v>
      </c>
      <c r="CH131" t="s">
        <v>257</v>
      </c>
      <c r="CI131">
        <v>0.65200000000000002</v>
      </c>
      <c r="CK131"/>
      <c r="CL131"/>
      <c r="CM131"/>
      <c r="CS131" s="8"/>
      <c r="CW131" t="s">
        <v>220</v>
      </c>
      <c r="CX131" t="s">
        <v>220</v>
      </c>
      <c r="CY131" t="s">
        <v>231</v>
      </c>
      <c r="CZ131" t="s">
        <v>220</v>
      </c>
      <c r="DA131" t="s">
        <v>220</v>
      </c>
      <c r="DB131" t="s">
        <v>227</v>
      </c>
      <c r="DC131"/>
      <c r="DD131"/>
      <c r="DE131"/>
      <c r="DF131"/>
      <c r="DG131"/>
      <c r="DH131" s="323"/>
      <c r="DI131" s="323"/>
      <c r="DJ131" s="323"/>
      <c r="DL131" t="s">
        <v>220</v>
      </c>
      <c r="DM131" t="s">
        <v>220</v>
      </c>
      <c r="DN131" t="s">
        <v>227</v>
      </c>
      <c r="DO131" t="s">
        <v>257</v>
      </c>
      <c r="DP131" t="s">
        <v>257</v>
      </c>
      <c r="DS131" s="338">
        <v>8.4160000000000004</v>
      </c>
      <c r="DT131" s="8" t="s">
        <v>394</v>
      </c>
      <c r="DU131" s="338">
        <v>1111.462</v>
      </c>
      <c r="DV131" s="8" t="s">
        <v>394</v>
      </c>
      <c r="DW131">
        <v>5.43</v>
      </c>
      <c r="DX131" t="s">
        <v>238</v>
      </c>
      <c r="DY131"/>
      <c r="DZ131" t="s">
        <v>235</v>
      </c>
      <c r="EA131"/>
      <c r="EB131"/>
      <c r="ED131" s="410"/>
      <c r="EE131" s="1"/>
      <c r="EG131" s="410"/>
      <c r="EI131" s="410"/>
      <c r="EK131" s="1"/>
      <c r="EM131"/>
      <c r="EQ131" s="344"/>
      <c r="EU131" s="344"/>
      <c r="EW131" s="409"/>
      <c r="EY131" s="1"/>
      <c r="FA131">
        <v>6689.92</v>
      </c>
      <c r="FB131" t="s">
        <v>225</v>
      </c>
      <c r="FC131" s="7">
        <v>1797.6287282083276</v>
      </c>
      <c r="FD131" s="357" t="s">
        <v>225</v>
      </c>
      <c r="FE131" s="8">
        <v>33044.562019345249</v>
      </c>
      <c r="FF131" t="s">
        <v>237</v>
      </c>
      <c r="FH131" s="9">
        <v>6767.0595767419172</v>
      </c>
      <c r="FI131" s="9" t="s">
        <v>236</v>
      </c>
      <c r="FK131" t="s">
        <v>235</v>
      </c>
      <c r="FL131">
        <v>156000</v>
      </c>
      <c r="FM131">
        <v>165386.47847713294</v>
      </c>
      <c r="FN131" s="5" t="s">
        <v>237</v>
      </c>
      <c r="FP131" s="6">
        <v>3344.96</v>
      </c>
      <c r="FQ131" t="s">
        <v>275</v>
      </c>
      <c r="FS131" t="s">
        <v>240</v>
      </c>
      <c r="FU131" s="8">
        <v>2</v>
      </c>
      <c r="FV131" s="8">
        <v>10</v>
      </c>
      <c r="FW131" s="8">
        <v>10</v>
      </c>
      <c r="FX131" s="8">
        <v>1</v>
      </c>
      <c r="FY131" s="8">
        <v>3</v>
      </c>
      <c r="FZ131">
        <f t="shared" si="1"/>
        <v>600</v>
      </c>
      <c r="GA131" s="7" t="s">
        <v>326</v>
      </c>
      <c r="GB131" s="7" t="s">
        <v>326</v>
      </c>
      <c r="GC131" s="6">
        <v>1.5</v>
      </c>
      <c r="GD131" s="348" t="s">
        <v>242</v>
      </c>
      <c r="GF131" s="6">
        <v>11.149866666666666</v>
      </c>
      <c r="GH131" s="7"/>
      <c r="GI131" s="441">
        <v>74.331999999999994</v>
      </c>
      <c r="GJ131" s="441">
        <v>139.37299999999999</v>
      </c>
      <c r="GK131" s="441">
        <v>222.99700000000001</v>
      </c>
      <c r="GL131" s="441">
        <v>557.49300000000005</v>
      </c>
      <c r="GM131" s="461" t="s">
        <v>790</v>
      </c>
      <c r="GN131" s="6">
        <v>0.01</v>
      </c>
      <c r="GO131" s="6">
        <v>1.8749999999999999E-2</v>
      </c>
      <c r="GP131" s="6">
        <v>0.03</v>
      </c>
      <c r="GQ131" s="6">
        <v>7.4999999999999997E-2</v>
      </c>
      <c r="GR131" s="461" t="s">
        <v>790</v>
      </c>
      <c r="GU131" t="s">
        <v>243</v>
      </c>
      <c r="GV131" t="s">
        <v>236</v>
      </c>
      <c r="GW131" t="s">
        <v>244</v>
      </c>
      <c r="GX131" t="s">
        <v>236</v>
      </c>
      <c r="GY131" t="s">
        <v>245</v>
      </c>
      <c r="HE131" t="s">
        <v>384</v>
      </c>
      <c r="HF131" t="s">
        <v>223</v>
      </c>
      <c r="HG131" t="s">
        <v>231</v>
      </c>
      <c r="HH131" t="s">
        <v>223</v>
      </c>
      <c r="HI131" t="s">
        <v>247</v>
      </c>
      <c r="HJ131" t="s">
        <v>225</v>
      </c>
      <c r="HK131" t="s">
        <v>568</v>
      </c>
      <c r="HO131" t="s">
        <v>231</v>
      </c>
      <c r="HP131" t="s">
        <v>223</v>
      </c>
      <c r="HQ131" t="s">
        <v>231</v>
      </c>
      <c r="HR131" t="s">
        <v>223</v>
      </c>
      <c r="HU131" t="s">
        <v>231</v>
      </c>
      <c r="HV131" t="s">
        <v>223</v>
      </c>
      <c r="HW131" t="s">
        <v>563</v>
      </c>
      <c r="HX131" t="s">
        <v>236</v>
      </c>
      <c r="IA131" t="s">
        <v>231</v>
      </c>
      <c r="IB131" t="s">
        <v>250</v>
      </c>
      <c r="IC131">
        <v>74.331999999999994</v>
      </c>
      <c r="ID131">
        <v>139.37299999999999</v>
      </c>
      <c r="IE131">
        <v>222.99700000000001</v>
      </c>
      <c r="IF131">
        <v>557.49300000000005</v>
      </c>
      <c r="IG131" s="459" t="s">
        <v>451</v>
      </c>
      <c r="IH131" t="s">
        <v>267</v>
      </c>
    </row>
    <row r="132" spans="1:242" ht="159.5" x14ac:dyDescent="0.35">
      <c r="A132" s="310" t="s">
        <v>537</v>
      </c>
      <c r="B132" t="s">
        <v>981</v>
      </c>
      <c r="C132" s="310" t="s">
        <v>982</v>
      </c>
      <c r="D132" s="316"/>
      <c r="F132" t="s">
        <v>983</v>
      </c>
      <c r="I132" s="310" t="s">
        <v>984</v>
      </c>
      <c r="M132" s="313"/>
      <c r="O132"/>
      <c r="P132" s="381"/>
      <c r="Q132"/>
      <c r="T132" s="8"/>
      <c r="U132"/>
      <c r="V132" s="313"/>
      <c r="W132"/>
      <c r="X132"/>
      <c r="Z132"/>
      <c r="AB132"/>
      <c r="AD132" s="8" t="s">
        <v>230</v>
      </c>
      <c r="AF132" s="8" t="s">
        <v>230</v>
      </c>
      <c r="AG132"/>
      <c r="AH132"/>
      <c r="AI132"/>
      <c r="AJ132" t="s">
        <v>221</v>
      </c>
      <c r="AK132">
        <v>0</v>
      </c>
      <c r="AL132">
        <v>0.6</v>
      </c>
      <c r="AM132" t="s">
        <v>221</v>
      </c>
      <c r="AN132" t="s">
        <v>225</v>
      </c>
      <c r="AO132" t="s">
        <v>221</v>
      </c>
      <c r="AP132" t="s">
        <v>225</v>
      </c>
      <c r="AQ132" t="s">
        <v>221</v>
      </c>
      <c r="AR132" t="s">
        <v>225</v>
      </c>
      <c r="AS132" t="s">
        <v>221</v>
      </c>
      <c r="AT132" t="s">
        <v>225</v>
      </c>
      <c r="AU132" t="s">
        <v>220</v>
      </c>
      <c r="AV132"/>
      <c r="AW132" s="313" t="s">
        <v>220</v>
      </c>
      <c r="AX132" t="s">
        <v>226</v>
      </c>
      <c r="AY132" s="313" t="s">
        <v>220</v>
      </c>
      <c r="AZ132" s="313">
        <v>0.28100000000000003</v>
      </c>
      <c r="BB132" s="313" t="s">
        <v>220</v>
      </c>
      <c r="BC132">
        <v>0.152</v>
      </c>
      <c r="BD132" t="s">
        <v>220</v>
      </c>
      <c r="BE132">
        <v>0.192</v>
      </c>
      <c r="BF132" s="2" t="s">
        <v>220</v>
      </c>
      <c r="BG132" s="2" t="s">
        <v>273</v>
      </c>
      <c r="BH132" s="2" t="s">
        <v>274</v>
      </c>
      <c r="BI132" s="2" t="s">
        <v>275</v>
      </c>
      <c r="BM132"/>
      <c r="BP132" s="8"/>
      <c r="BQ132" t="s">
        <v>230</v>
      </c>
      <c r="BR132" t="s">
        <v>230</v>
      </c>
      <c r="BU132" t="s">
        <v>231</v>
      </c>
      <c r="BV132" t="s">
        <v>225</v>
      </c>
      <c r="BW132" t="s">
        <v>232</v>
      </c>
      <c r="BX132" t="s">
        <v>276</v>
      </c>
      <c r="BY132" t="s">
        <v>257</v>
      </c>
      <c r="BZ132">
        <v>0.57899999999999996</v>
      </c>
      <c r="CA132" t="s">
        <v>372</v>
      </c>
      <c r="CF132" t="s">
        <v>220</v>
      </c>
      <c r="CG132">
        <v>0.29099999999999998</v>
      </c>
      <c r="CH132" t="s">
        <v>220</v>
      </c>
      <c r="CI132">
        <v>0.46300000000000002</v>
      </c>
      <c r="CK132"/>
      <c r="CL132"/>
      <c r="CM132"/>
      <c r="CS132" s="8"/>
      <c r="CW132" t="s">
        <v>227</v>
      </c>
      <c r="CX132" t="s">
        <v>257</v>
      </c>
      <c r="CY132" t="s">
        <v>231</v>
      </c>
      <c r="CZ132" t="s">
        <v>220</v>
      </c>
      <c r="DA132" t="s">
        <v>220</v>
      </c>
      <c r="DB132" t="s">
        <v>227</v>
      </c>
      <c r="DC132"/>
      <c r="DD132"/>
      <c r="DE132"/>
      <c r="DF132"/>
      <c r="DG132"/>
      <c r="DH132" s="323"/>
      <c r="DI132" s="323"/>
      <c r="DJ132" s="323"/>
      <c r="DL132" t="s">
        <v>257</v>
      </c>
      <c r="DM132" t="s">
        <v>220</v>
      </c>
      <c r="DN132" t="s">
        <v>227</v>
      </c>
      <c r="DO132" t="s">
        <v>220</v>
      </c>
      <c r="DP132" t="s">
        <v>220</v>
      </c>
      <c r="DS132" s="309">
        <v>84.852000000000004</v>
      </c>
      <c r="DU132" s="338">
        <v>1293.912</v>
      </c>
      <c r="DV132" s="8" t="s">
        <v>394</v>
      </c>
      <c r="DW132">
        <v>368</v>
      </c>
      <c r="DX132" t="s">
        <v>238</v>
      </c>
      <c r="DY132">
        <v>322</v>
      </c>
      <c r="DZ132" t="s">
        <v>238</v>
      </c>
      <c r="EA132"/>
      <c r="EB132"/>
      <c r="ED132" s="410"/>
      <c r="EE132" s="1"/>
      <c r="EG132" s="410"/>
      <c r="EI132" s="410"/>
      <c r="EK132" s="1"/>
      <c r="EM132"/>
      <c r="EQ132" s="344"/>
      <c r="EU132" s="344"/>
      <c r="EW132" s="409"/>
      <c r="EY132" s="1"/>
      <c r="FA132">
        <v>2266.66</v>
      </c>
      <c r="FB132" t="s">
        <v>225</v>
      </c>
      <c r="FC132" s="7">
        <v>555.77627032041914</v>
      </c>
      <c r="FD132" s="357" t="s">
        <v>236</v>
      </c>
      <c r="FE132" s="8">
        <v>22625.594533618594</v>
      </c>
      <c r="FF132" t="s">
        <v>237</v>
      </c>
      <c r="FH132" s="9">
        <v>761.20213900571855</v>
      </c>
      <c r="FI132" s="9" t="s">
        <v>225</v>
      </c>
      <c r="FJ132">
        <v>1620</v>
      </c>
      <c r="FK132" t="s">
        <v>238</v>
      </c>
      <c r="FL132">
        <v>340</v>
      </c>
      <c r="FM132">
        <v>92896.638677993717</v>
      </c>
      <c r="FN132" s="5" t="s">
        <v>237</v>
      </c>
      <c r="FP132" s="6">
        <v>34</v>
      </c>
      <c r="FQ132" t="s">
        <v>239</v>
      </c>
      <c r="FS132" t="s">
        <v>240</v>
      </c>
      <c r="FU132" s="8">
        <v>1</v>
      </c>
      <c r="FV132" s="8">
        <v>10</v>
      </c>
      <c r="FW132" s="8">
        <v>10</v>
      </c>
      <c r="FX132" s="8">
        <v>10</v>
      </c>
      <c r="FY132" s="8">
        <v>3</v>
      </c>
      <c r="FZ132">
        <f t="shared" si="1"/>
        <v>3000</v>
      </c>
      <c r="GA132" s="7" t="s">
        <v>241</v>
      </c>
      <c r="GB132" s="7" t="s">
        <v>241</v>
      </c>
      <c r="GC132" s="6">
        <v>30</v>
      </c>
      <c r="GD132" s="348" t="s">
        <v>242</v>
      </c>
      <c r="GF132" s="6">
        <v>0.11333333333333334</v>
      </c>
      <c r="GH132" s="7"/>
      <c r="GI132" s="441">
        <v>0.75600000000000001</v>
      </c>
      <c r="GJ132" s="441">
        <v>1.417</v>
      </c>
      <c r="GK132" s="441">
        <v>2.2669999999999999</v>
      </c>
      <c r="GL132" s="441">
        <v>5.6669999999999998</v>
      </c>
      <c r="GM132" s="461" t="s">
        <v>790</v>
      </c>
      <c r="GN132" s="6">
        <v>0.2</v>
      </c>
      <c r="GO132" s="6">
        <v>0.375</v>
      </c>
      <c r="GP132" s="6">
        <v>0.6</v>
      </c>
      <c r="GQ132" s="6">
        <v>1.5</v>
      </c>
      <c r="GR132" s="461" t="s">
        <v>790</v>
      </c>
      <c r="GU132" t="s">
        <v>243</v>
      </c>
      <c r="GV132" t="s">
        <v>236</v>
      </c>
      <c r="GW132" t="s">
        <v>244</v>
      </c>
      <c r="GX132" t="s">
        <v>236</v>
      </c>
      <c r="GY132" t="s">
        <v>245</v>
      </c>
      <c r="HE132" t="s">
        <v>247</v>
      </c>
      <c r="HF132" t="s">
        <v>223</v>
      </c>
      <c r="HG132" t="s">
        <v>231</v>
      </c>
      <c r="HH132" t="s">
        <v>223</v>
      </c>
      <c r="HI132" t="s">
        <v>247</v>
      </c>
      <c r="HJ132" t="s">
        <v>223</v>
      </c>
      <c r="HK132" t="s">
        <v>568</v>
      </c>
      <c r="HO132" t="s">
        <v>231</v>
      </c>
      <c r="HP132" t="s">
        <v>223</v>
      </c>
      <c r="HQ132" t="s">
        <v>231</v>
      </c>
      <c r="HR132" t="s">
        <v>223</v>
      </c>
      <c r="HU132" t="s">
        <v>231</v>
      </c>
      <c r="HV132" t="s">
        <v>225</v>
      </c>
      <c r="HW132" t="s">
        <v>563</v>
      </c>
      <c r="HX132" t="s">
        <v>236</v>
      </c>
      <c r="IA132" t="s">
        <v>231</v>
      </c>
      <c r="IB132" t="s">
        <v>250</v>
      </c>
      <c r="IC132">
        <v>0.75600000000000001</v>
      </c>
      <c r="ID132">
        <v>1.417</v>
      </c>
      <c r="IE132">
        <v>2.2669999999999999</v>
      </c>
      <c r="IF132">
        <v>5.6669999999999998</v>
      </c>
      <c r="IG132" s="459" t="s">
        <v>451</v>
      </c>
      <c r="IH132" t="s">
        <v>267</v>
      </c>
    </row>
    <row r="133" spans="1:242" x14ac:dyDescent="0.35">
      <c r="A133" s="310" t="s">
        <v>985</v>
      </c>
      <c r="B133" s="313" t="s">
        <v>986</v>
      </c>
      <c r="C133" s="310" t="s">
        <v>987</v>
      </c>
      <c r="D133" s="316"/>
      <c r="F133" t="s">
        <v>988</v>
      </c>
      <c r="I133" s="310" t="s">
        <v>989</v>
      </c>
      <c r="M133" s="313"/>
      <c r="O133"/>
      <c r="P133" s="381"/>
      <c r="Q133"/>
      <c r="T133" s="8"/>
      <c r="U133"/>
      <c r="V133" s="313"/>
      <c r="W133"/>
      <c r="X133"/>
      <c r="Z133"/>
      <c r="AB133"/>
      <c r="AD133" s="8" t="s">
        <v>230</v>
      </c>
      <c r="AF133" s="8" t="s">
        <v>230</v>
      </c>
      <c r="AG133"/>
      <c r="AH133"/>
      <c r="AI133"/>
      <c r="AJ133" t="s">
        <v>221</v>
      </c>
      <c r="AK133">
        <v>0</v>
      </c>
      <c r="AL133">
        <v>0.5</v>
      </c>
      <c r="AM133" t="s">
        <v>221</v>
      </c>
      <c r="AN133" t="s">
        <v>236</v>
      </c>
      <c r="AO133" t="s">
        <v>221</v>
      </c>
      <c r="AP133" t="s">
        <v>225</v>
      </c>
      <c r="AQ133" t="s">
        <v>221</v>
      </c>
      <c r="AR133" t="s">
        <v>225</v>
      </c>
      <c r="AS133" t="s">
        <v>221</v>
      </c>
      <c r="AT133" t="s">
        <v>225</v>
      </c>
      <c r="AU133" t="s">
        <v>220</v>
      </c>
      <c r="AV133"/>
      <c r="AW133" s="313" t="s">
        <v>220</v>
      </c>
      <c r="AX133" t="s">
        <v>226</v>
      </c>
      <c r="AY133" s="313" t="s">
        <v>220</v>
      </c>
      <c r="AZ133" s="313">
        <v>2.6599999999999999E-2</v>
      </c>
      <c r="BB133" s="313" t="s">
        <v>220</v>
      </c>
      <c r="BC133">
        <v>1.9099999999999999E-2</v>
      </c>
      <c r="BD133" t="s">
        <v>220</v>
      </c>
      <c r="BE133">
        <v>1.31E-3</v>
      </c>
      <c r="BF133" s="2" t="s">
        <v>220</v>
      </c>
      <c r="BG133" s="2" t="s">
        <v>273</v>
      </c>
      <c r="BH133" s="2" t="s">
        <v>274</v>
      </c>
      <c r="BI133" s="2" t="s">
        <v>275</v>
      </c>
      <c r="BM133"/>
      <c r="BP133" s="8"/>
      <c r="BQ133" t="s">
        <v>230</v>
      </c>
      <c r="BR133" t="s">
        <v>230</v>
      </c>
      <c r="BU133" t="s">
        <v>317</v>
      </c>
      <c r="BV133" t="s">
        <v>223</v>
      </c>
      <c r="BW133" t="s">
        <v>232</v>
      </c>
      <c r="BX133" t="s">
        <v>474</v>
      </c>
      <c r="BY133" t="s">
        <v>220</v>
      </c>
      <c r="BZ133">
        <v>0.17699999999999999</v>
      </c>
      <c r="CA133" t="s">
        <v>234</v>
      </c>
      <c r="CF133" t="s">
        <v>220</v>
      </c>
      <c r="CG133">
        <v>1.9699999999999999E-2</v>
      </c>
      <c r="CH133" t="s">
        <v>220</v>
      </c>
      <c r="CI133">
        <v>3.9899999999999998E-2</v>
      </c>
      <c r="CK133"/>
      <c r="CL133"/>
      <c r="CM133"/>
      <c r="CS133" s="8"/>
      <c r="CW133" t="s">
        <v>220</v>
      </c>
      <c r="CX133" t="s">
        <v>220</v>
      </c>
      <c r="CY133" t="s">
        <v>231</v>
      </c>
      <c r="CZ133" t="s">
        <v>227</v>
      </c>
      <c r="DA133" t="s">
        <v>227</v>
      </c>
      <c r="DB133" t="s">
        <v>227</v>
      </c>
      <c r="DC133"/>
      <c r="DD133"/>
      <c r="DE133"/>
      <c r="DF133"/>
      <c r="DG133"/>
      <c r="DH133" s="323"/>
      <c r="DI133" s="323"/>
      <c r="DJ133" s="323"/>
      <c r="DL133" t="s">
        <v>220</v>
      </c>
      <c r="DM133" t="s">
        <v>220</v>
      </c>
      <c r="DN133" t="s">
        <v>227</v>
      </c>
      <c r="DO133" t="s">
        <v>220</v>
      </c>
      <c r="DP133" t="s">
        <v>257</v>
      </c>
      <c r="DS133" s="338">
        <v>692.56200000000001</v>
      </c>
      <c r="DT133" s="8" t="s">
        <v>394</v>
      </c>
      <c r="DU133" s="338">
        <v>863.62400000000002</v>
      </c>
      <c r="DV133" s="8" t="s">
        <v>394</v>
      </c>
      <c r="DW133"/>
      <c r="DX133" t="s">
        <v>235</v>
      </c>
      <c r="DY133"/>
      <c r="DZ133" t="s">
        <v>235</v>
      </c>
      <c r="EA133"/>
      <c r="EB133"/>
      <c r="ED133" s="410"/>
      <c r="EE133" s="1"/>
      <c r="EG133" s="410"/>
      <c r="EI133" s="410"/>
      <c r="EK133" s="1"/>
      <c r="EM133"/>
      <c r="EQ133" s="344"/>
      <c r="EU133" s="344"/>
      <c r="EW133" s="409"/>
      <c r="EY133" s="1"/>
      <c r="FA133">
        <v>72.040000000000006</v>
      </c>
      <c r="FB133" t="s">
        <v>236</v>
      </c>
      <c r="FC133" s="7">
        <v>299.22646366081898</v>
      </c>
      <c r="FD133" s="357" t="s">
        <v>236</v>
      </c>
      <c r="FE133" s="8">
        <v>17.402033485388365</v>
      </c>
      <c r="FF133" t="s">
        <v>237</v>
      </c>
      <c r="FH133" s="9">
        <v>97.611278243021289</v>
      </c>
      <c r="FI133" s="9" t="s">
        <v>236</v>
      </c>
      <c r="FK133" t="s">
        <v>235</v>
      </c>
      <c r="FL133">
        <v>5110</v>
      </c>
      <c r="FM133">
        <v>235.28812019381704</v>
      </c>
      <c r="FN133" s="5" t="s">
        <v>237</v>
      </c>
      <c r="FP133" s="6">
        <v>36.020000000000003</v>
      </c>
      <c r="FQ133" t="s">
        <v>275</v>
      </c>
      <c r="FS133" t="s">
        <v>240</v>
      </c>
      <c r="FU133" s="8">
        <v>2</v>
      </c>
      <c r="FV133" s="8">
        <v>10</v>
      </c>
      <c r="FW133" s="8">
        <v>10</v>
      </c>
      <c r="FX133" s="8">
        <v>1</v>
      </c>
      <c r="FY133" s="8">
        <v>3</v>
      </c>
      <c r="FZ133">
        <f t="shared" si="1"/>
        <v>600</v>
      </c>
      <c r="GA133" s="7" t="s">
        <v>326</v>
      </c>
      <c r="GB133" s="7" t="s">
        <v>326</v>
      </c>
      <c r="GC133" s="6">
        <v>1.5</v>
      </c>
      <c r="GD133" s="348" t="s">
        <v>383</v>
      </c>
      <c r="GF133" s="6">
        <v>1.626854637383688E-2</v>
      </c>
      <c r="GH133" s="7"/>
      <c r="GI133" s="441" t="s">
        <v>395</v>
      </c>
      <c r="GJ133" s="441" t="s">
        <v>395</v>
      </c>
      <c r="GK133" s="441" t="s">
        <v>395</v>
      </c>
      <c r="GL133" s="441" t="s">
        <v>395</v>
      </c>
      <c r="GM133" s="452" t="s">
        <v>529</v>
      </c>
      <c r="GN133" s="6">
        <v>0.01</v>
      </c>
      <c r="GO133" s="6">
        <v>1.8749999999999999E-2</v>
      </c>
      <c r="GP133" s="6">
        <v>0.03</v>
      </c>
      <c r="GQ133" s="6">
        <v>7.4999999999999997E-2</v>
      </c>
      <c r="GR133" s="6" t="s">
        <v>230</v>
      </c>
      <c r="GU133" t="s">
        <v>365</v>
      </c>
      <c r="GV133" t="s">
        <v>236</v>
      </c>
      <c r="GW133" t="s">
        <v>244</v>
      </c>
      <c r="GX133" t="s">
        <v>236</v>
      </c>
      <c r="GY133" t="s">
        <v>245</v>
      </c>
      <c r="HE133" t="s">
        <v>247</v>
      </c>
      <c r="HF133" t="s">
        <v>223</v>
      </c>
      <c r="HG133" t="s">
        <v>317</v>
      </c>
      <c r="HH133" t="s">
        <v>236</v>
      </c>
      <c r="HI133" t="s">
        <v>247</v>
      </c>
      <c r="HJ133" t="s">
        <v>225</v>
      </c>
      <c r="HK133" t="s">
        <v>568</v>
      </c>
      <c r="HO133" t="s">
        <v>231</v>
      </c>
      <c r="HP133" t="s">
        <v>223</v>
      </c>
      <c r="HQ133" t="s">
        <v>231</v>
      </c>
      <c r="HR133" t="s">
        <v>223</v>
      </c>
      <c r="HU133" t="s">
        <v>231</v>
      </c>
      <c r="HV133" t="s">
        <v>236</v>
      </c>
      <c r="HW133" t="s">
        <v>563</v>
      </c>
      <c r="HX133" t="s">
        <v>236</v>
      </c>
      <c r="IA133" t="s">
        <v>231</v>
      </c>
      <c r="IB133" t="s">
        <v>250</v>
      </c>
      <c r="IC133" t="s">
        <v>395</v>
      </c>
      <c r="ID133" t="s">
        <v>395</v>
      </c>
      <c r="IE133" t="s">
        <v>395</v>
      </c>
      <c r="IF133" t="s">
        <v>395</v>
      </c>
      <c r="IH133" t="s">
        <v>235</v>
      </c>
    </row>
    <row r="134" spans="1:242" ht="159.5" x14ac:dyDescent="0.35">
      <c r="A134" s="310" t="s">
        <v>537</v>
      </c>
      <c r="B134" t="s">
        <v>990</v>
      </c>
      <c r="C134" s="310" t="s">
        <v>991</v>
      </c>
      <c r="D134" s="316"/>
      <c r="F134" t="s">
        <v>992</v>
      </c>
      <c r="I134" s="310" t="s">
        <v>993</v>
      </c>
      <c r="M134" s="313"/>
      <c r="O134"/>
      <c r="P134" s="381"/>
      <c r="Q134"/>
      <c r="T134" s="8"/>
      <c r="U134"/>
      <c r="V134" s="313"/>
      <c r="W134"/>
      <c r="X134"/>
      <c r="Z134"/>
      <c r="AB134"/>
      <c r="AD134" s="8" t="s">
        <v>230</v>
      </c>
      <c r="AF134" s="8" t="s">
        <v>230</v>
      </c>
      <c r="AG134"/>
      <c r="AH134"/>
      <c r="AI134"/>
      <c r="AJ134" t="s">
        <v>221</v>
      </c>
      <c r="AK134">
        <v>0</v>
      </c>
      <c r="AL134">
        <v>0.6</v>
      </c>
      <c r="AM134" t="s">
        <v>221</v>
      </c>
      <c r="AN134" t="s">
        <v>225</v>
      </c>
      <c r="AO134" t="s">
        <v>221</v>
      </c>
      <c r="AP134" t="s">
        <v>225</v>
      </c>
      <c r="AQ134" t="s">
        <v>221</v>
      </c>
      <c r="AR134" t="s">
        <v>225</v>
      </c>
      <c r="AS134" t="s">
        <v>221</v>
      </c>
      <c r="AT134" t="s">
        <v>225</v>
      </c>
      <c r="AU134" t="s">
        <v>220</v>
      </c>
      <c r="AV134"/>
      <c r="AW134" s="313" t="s">
        <v>220</v>
      </c>
      <c r="AX134" t="s">
        <v>226</v>
      </c>
      <c r="AY134" s="313" t="s">
        <v>220</v>
      </c>
      <c r="AZ134" s="313">
        <v>6.7100000000000007E-2</v>
      </c>
      <c r="BB134" s="313" t="s">
        <v>220</v>
      </c>
      <c r="BC134">
        <v>3.5299999999999998E-2</v>
      </c>
      <c r="BD134" t="s">
        <v>220</v>
      </c>
      <c r="BE134">
        <v>2.8000000000000001E-2</v>
      </c>
      <c r="BF134" s="2" t="s">
        <v>220</v>
      </c>
      <c r="BG134" s="2" t="s">
        <v>273</v>
      </c>
      <c r="BH134" s="2" t="s">
        <v>274</v>
      </c>
      <c r="BI134" s="2" t="s">
        <v>275</v>
      </c>
      <c r="BM134"/>
      <c r="BP134" s="8"/>
      <c r="BQ134" t="s">
        <v>230</v>
      </c>
      <c r="BR134" t="s">
        <v>230</v>
      </c>
      <c r="BU134" t="s">
        <v>231</v>
      </c>
      <c r="BV134" t="s">
        <v>223</v>
      </c>
      <c r="BW134" t="s">
        <v>232</v>
      </c>
      <c r="BX134" t="s">
        <v>233</v>
      </c>
      <c r="BY134" t="s">
        <v>220</v>
      </c>
      <c r="BZ134">
        <v>0.27200000000000002</v>
      </c>
      <c r="CA134" t="s">
        <v>372</v>
      </c>
      <c r="CF134" t="s">
        <v>220</v>
      </c>
      <c r="CG134">
        <v>0.35599999999999998</v>
      </c>
      <c r="CH134" t="s">
        <v>257</v>
      </c>
      <c r="CI134">
        <v>0.65600000000000003</v>
      </c>
      <c r="CK134"/>
      <c r="CL134"/>
      <c r="CM134"/>
      <c r="CS134" s="8"/>
      <c r="CW134" t="s">
        <v>220</v>
      </c>
      <c r="CX134" t="s">
        <v>220</v>
      </c>
      <c r="CY134" t="s">
        <v>231</v>
      </c>
      <c r="CZ134" t="s">
        <v>220</v>
      </c>
      <c r="DA134" t="s">
        <v>220</v>
      </c>
      <c r="DB134" t="s">
        <v>220</v>
      </c>
      <c r="DC134"/>
      <c r="DD134"/>
      <c r="DE134"/>
      <c r="DF134"/>
      <c r="DG134"/>
      <c r="DH134" s="323"/>
      <c r="DI134" s="323"/>
      <c r="DJ134" s="323"/>
      <c r="DL134" t="s">
        <v>257</v>
      </c>
      <c r="DM134" t="s">
        <v>220</v>
      </c>
      <c r="DN134" t="s">
        <v>227</v>
      </c>
      <c r="DO134" t="s">
        <v>257</v>
      </c>
      <c r="DP134" t="s">
        <v>257</v>
      </c>
      <c r="DS134" s="309">
        <v>111.07899999999999</v>
      </c>
      <c r="DU134" s="309">
        <v>1614.6780000000001</v>
      </c>
      <c r="DW134">
        <v>98</v>
      </c>
      <c r="DX134" t="s">
        <v>238</v>
      </c>
      <c r="DY134">
        <v>61.2</v>
      </c>
      <c r="DZ134" t="s">
        <v>238</v>
      </c>
      <c r="EA134"/>
      <c r="EB134"/>
      <c r="ED134" s="410"/>
      <c r="EE134" s="1"/>
      <c r="EG134" s="410"/>
      <c r="EI134" s="410"/>
      <c r="EK134" s="1"/>
      <c r="EM134"/>
      <c r="EQ134" s="344"/>
      <c r="EU134" s="344"/>
      <c r="EW134" s="409"/>
      <c r="EY134" s="1"/>
      <c r="FA134">
        <v>1279.77</v>
      </c>
      <c r="FB134" t="s">
        <v>225</v>
      </c>
      <c r="FC134" s="7">
        <v>248.59935642282275</v>
      </c>
      <c r="FD134" s="357" t="s">
        <v>225</v>
      </c>
      <c r="FE134" s="8">
        <v>1472.9906835417726</v>
      </c>
      <c r="FF134" t="s">
        <v>237</v>
      </c>
      <c r="FH134" s="9">
        <v>1492.7944095789976</v>
      </c>
      <c r="FI134" s="9" t="s">
        <v>225</v>
      </c>
      <c r="FJ134">
        <v>140</v>
      </c>
      <c r="FK134" t="s">
        <v>238</v>
      </c>
      <c r="FL134">
        <v>1580</v>
      </c>
      <c r="FM134">
        <v>5573.1406046372622</v>
      </c>
      <c r="FN134" s="5" t="s">
        <v>237</v>
      </c>
      <c r="FP134" s="6">
        <v>14</v>
      </c>
      <c r="FQ134" t="s">
        <v>450</v>
      </c>
      <c r="FS134" t="s">
        <v>240</v>
      </c>
      <c r="FU134" s="8">
        <v>1</v>
      </c>
      <c r="FV134" s="8">
        <v>10</v>
      </c>
      <c r="FW134" s="8">
        <v>10</v>
      </c>
      <c r="FX134" s="8">
        <v>10</v>
      </c>
      <c r="FY134" s="8">
        <v>3</v>
      </c>
      <c r="FZ134">
        <f t="shared" si="1"/>
        <v>3000</v>
      </c>
      <c r="GA134" s="7" t="s">
        <v>241</v>
      </c>
      <c r="GB134" s="7" t="s">
        <v>241</v>
      </c>
      <c r="GC134" s="6">
        <v>30</v>
      </c>
      <c r="GD134" s="348" t="s">
        <v>242</v>
      </c>
      <c r="GF134" s="6">
        <v>4.6666666666666669E-2</v>
      </c>
      <c r="GH134" s="7"/>
      <c r="GI134" s="441">
        <v>0.311</v>
      </c>
      <c r="GJ134" s="441">
        <v>0.58299999999999996</v>
      </c>
      <c r="GK134" s="441">
        <v>0.93300000000000005</v>
      </c>
      <c r="GL134" s="441">
        <v>2.3330000000000002</v>
      </c>
      <c r="GM134" s="461" t="s">
        <v>790</v>
      </c>
      <c r="GN134" s="6">
        <v>0.2</v>
      </c>
      <c r="GO134" s="6">
        <v>0.375</v>
      </c>
      <c r="GP134" s="6">
        <v>0.6</v>
      </c>
      <c r="GQ134" s="6">
        <v>1.5</v>
      </c>
      <c r="GR134" s="461" t="s">
        <v>790</v>
      </c>
      <c r="GU134" t="s">
        <v>243</v>
      </c>
      <c r="GV134" t="s">
        <v>225</v>
      </c>
      <c r="GW134" t="s">
        <v>244</v>
      </c>
      <c r="GX134" t="s">
        <v>236</v>
      </c>
      <c r="GY134" t="s">
        <v>245</v>
      </c>
      <c r="HE134" t="s">
        <v>384</v>
      </c>
      <c r="HF134" t="s">
        <v>223</v>
      </c>
      <c r="HG134" t="s">
        <v>231</v>
      </c>
      <c r="HH134" t="s">
        <v>223</v>
      </c>
      <c r="HI134" t="s">
        <v>247</v>
      </c>
      <c r="HJ134" t="s">
        <v>223</v>
      </c>
      <c r="HK134" t="s">
        <v>266</v>
      </c>
      <c r="HO134" t="s">
        <v>231</v>
      </c>
      <c r="HP134" t="s">
        <v>223</v>
      </c>
      <c r="HQ134" t="s">
        <v>231</v>
      </c>
      <c r="HR134" t="s">
        <v>223</v>
      </c>
      <c r="HU134" t="s">
        <v>231</v>
      </c>
      <c r="HV134" t="s">
        <v>223</v>
      </c>
      <c r="HW134" t="s">
        <v>563</v>
      </c>
      <c r="HX134" t="s">
        <v>236</v>
      </c>
      <c r="IA134" t="s">
        <v>231</v>
      </c>
      <c r="IB134" t="s">
        <v>250</v>
      </c>
      <c r="IC134">
        <v>0.311</v>
      </c>
      <c r="ID134">
        <v>0.58299999999999996</v>
      </c>
      <c r="IE134">
        <v>0.93300000000000005</v>
      </c>
      <c r="IF134">
        <v>2.3330000000000002</v>
      </c>
      <c r="IG134" s="459" t="s">
        <v>451</v>
      </c>
      <c r="IH134" t="s">
        <v>267</v>
      </c>
    </row>
    <row r="135" spans="1:242" x14ac:dyDescent="0.35">
      <c r="A135" s="310" t="s">
        <v>994</v>
      </c>
      <c r="B135" s="313" t="s">
        <v>995</v>
      </c>
      <c r="C135" s="310" t="s">
        <v>996</v>
      </c>
      <c r="D135" s="316"/>
      <c r="F135" t="s">
        <v>997</v>
      </c>
      <c r="I135" s="310" t="s">
        <v>998</v>
      </c>
      <c r="M135" s="313" t="s">
        <v>220</v>
      </c>
      <c r="O135" t="s">
        <v>221</v>
      </c>
      <c r="P135" s="381"/>
      <c r="Q135" t="s">
        <v>221</v>
      </c>
      <c r="T135" s="8"/>
      <c r="U135"/>
      <c r="V135" s="313"/>
      <c r="W135" t="s">
        <v>220</v>
      </c>
      <c r="X135" t="s">
        <v>220</v>
      </c>
      <c r="Z135" t="s">
        <v>220</v>
      </c>
      <c r="AB135"/>
      <c r="AD135" s="8" t="s">
        <v>222</v>
      </c>
      <c r="AF135" s="8" t="s">
        <v>222</v>
      </c>
      <c r="AG135"/>
      <c r="AH135"/>
      <c r="AI135"/>
      <c r="AJ135" t="s">
        <v>221</v>
      </c>
      <c r="AK135">
        <v>0</v>
      </c>
      <c r="AL135">
        <v>1</v>
      </c>
      <c r="AM135" t="s">
        <v>221</v>
      </c>
      <c r="AN135" t="s">
        <v>249</v>
      </c>
      <c r="AO135" t="s">
        <v>224</v>
      </c>
      <c r="AP135"/>
      <c r="AQ135" t="s">
        <v>221</v>
      </c>
      <c r="AR135" t="s">
        <v>223</v>
      </c>
      <c r="AS135" t="s">
        <v>221</v>
      </c>
      <c r="AT135" t="s">
        <v>223</v>
      </c>
      <c r="AU135" t="s">
        <v>220</v>
      </c>
      <c r="AV135"/>
      <c r="AW135" s="313" t="s">
        <v>220</v>
      </c>
      <c r="AX135" t="s">
        <v>226</v>
      </c>
      <c r="AY135" s="313" t="s">
        <v>220</v>
      </c>
      <c r="AZ135" s="313">
        <v>0.27400000000000002</v>
      </c>
      <c r="BB135" s="313" t="s">
        <v>220</v>
      </c>
      <c r="BC135">
        <v>0.19</v>
      </c>
      <c r="BD135" t="s">
        <v>220</v>
      </c>
      <c r="BE135">
        <v>0.27100000000000002</v>
      </c>
      <c r="BF135" s="2" t="s">
        <v>220</v>
      </c>
      <c r="BH135" s="2" t="s">
        <v>228</v>
      </c>
      <c r="BI135" s="2" t="s">
        <v>229</v>
      </c>
      <c r="BM135"/>
      <c r="BO135" t="s">
        <v>220</v>
      </c>
      <c r="BP135" s="8"/>
      <c r="BQ135" t="s">
        <v>230</v>
      </c>
      <c r="BR135" t="s">
        <v>222</v>
      </c>
      <c r="BU135" t="s">
        <v>293</v>
      </c>
      <c r="BV135" t="s">
        <v>236</v>
      </c>
      <c r="BW135" t="s">
        <v>232</v>
      </c>
      <c r="BX135" t="s">
        <v>284</v>
      </c>
      <c r="BY135" t="s">
        <v>220</v>
      </c>
      <c r="BZ135">
        <v>0.45600000000000002</v>
      </c>
      <c r="CA135" t="s">
        <v>372</v>
      </c>
      <c r="CF135" t="s">
        <v>257</v>
      </c>
      <c r="CG135">
        <v>0.74299999999999999</v>
      </c>
      <c r="CH135" t="s">
        <v>257</v>
      </c>
      <c r="CI135">
        <v>0.69499999999999995</v>
      </c>
      <c r="CK135"/>
      <c r="CL135" t="s">
        <v>220</v>
      </c>
      <c r="CM135"/>
      <c r="CP135" t="s">
        <v>257</v>
      </c>
      <c r="CQ135" t="s">
        <v>220</v>
      </c>
      <c r="CR135" t="s">
        <v>220</v>
      </c>
      <c r="CS135" s="8"/>
      <c r="CW135" t="s">
        <v>227</v>
      </c>
      <c r="CX135" t="s">
        <v>220</v>
      </c>
      <c r="CY135" t="s">
        <v>231</v>
      </c>
      <c r="CZ135" t="s">
        <v>257</v>
      </c>
      <c r="DA135" t="s">
        <v>220</v>
      </c>
      <c r="DB135" t="s">
        <v>220</v>
      </c>
      <c r="DC135"/>
      <c r="DD135"/>
      <c r="DE135"/>
      <c r="DF135" t="s">
        <v>220</v>
      </c>
      <c r="DG135" t="s">
        <v>220</v>
      </c>
      <c r="DH135" s="323"/>
      <c r="DI135" s="323"/>
      <c r="DJ135" s="323"/>
      <c r="DL135" t="s">
        <v>257</v>
      </c>
      <c r="DM135" t="s">
        <v>257</v>
      </c>
      <c r="DN135" t="s">
        <v>257</v>
      </c>
      <c r="DO135" t="s">
        <v>220</v>
      </c>
      <c r="DP135" t="s">
        <v>220</v>
      </c>
      <c r="DQ135" s="330" t="s">
        <v>835</v>
      </c>
      <c r="DR135" s="330" t="s">
        <v>702</v>
      </c>
      <c r="DS135" s="309">
        <v>122.78</v>
      </c>
      <c r="DU135" s="309">
        <v>148.607</v>
      </c>
      <c r="DW135">
        <v>1.94</v>
      </c>
      <c r="DX135" t="s">
        <v>238</v>
      </c>
      <c r="DY135">
        <v>249</v>
      </c>
      <c r="DZ135" t="s">
        <v>238</v>
      </c>
      <c r="EA135"/>
      <c r="EB135"/>
      <c r="ED135" s="410">
        <v>2500</v>
      </c>
      <c r="EE135" s="1"/>
      <c r="EF135" s="8" t="s">
        <v>324</v>
      </c>
      <c r="EG135" s="410">
        <v>2500</v>
      </c>
      <c r="EH135" s="8" t="s">
        <v>324</v>
      </c>
      <c r="EI135" s="410">
        <v>2500</v>
      </c>
      <c r="EJ135" s="8" t="s">
        <v>259</v>
      </c>
      <c r="EK135" s="1"/>
      <c r="EM135"/>
      <c r="EQ135" s="344"/>
      <c r="EU135" s="344"/>
      <c r="EW135" s="409"/>
      <c r="EY135" s="1"/>
      <c r="FA135">
        <v>142.51</v>
      </c>
      <c r="FB135" t="s">
        <v>236</v>
      </c>
      <c r="FC135" s="7">
        <v>103.20482458012222</v>
      </c>
      <c r="FD135" s="357" t="s">
        <v>225</v>
      </c>
      <c r="FE135" s="8">
        <v>122.88531865785072</v>
      </c>
      <c r="FF135" t="s">
        <v>237</v>
      </c>
      <c r="FH135" s="9">
        <v>140.73431383183495</v>
      </c>
      <c r="FI135" s="9" t="s">
        <v>225</v>
      </c>
      <c r="FJ135">
        <v>222</v>
      </c>
      <c r="FK135" t="s">
        <v>238</v>
      </c>
      <c r="FL135">
        <v>238</v>
      </c>
      <c r="FM135">
        <v>456.6673896495318</v>
      </c>
      <c r="FN135" s="5" t="s">
        <v>237</v>
      </c>
      <c r="FP135" s="6">
        <v>1250</v>
      </c>
      <c r="FQ135" t="s">
        <v>294</v>
      </c>
      <c r="FS135" t="s">
        <v>261</v>
      </c>
      <c r="FU135" s="8">
        <v>2</v>
      </c>
      <c r="FV135" s="8">
        <v>10</v>
      </c>
      <c r="FW135" s="8">
        <v>10</v>
      </c>
      <c r="FX135" s="8">
        <v>1</v>
      </c>
      <c r="FY135" s="8">
        <v>3</v>
      </c>
      <c r="FZ135">
        <f t="shared" ref="FZ135:FZ192" si="2">FU135*FV135*FW135*FX135*FY135</f>
        <v>600</v>
      </c>
      <c r="GA135" s="7" t="s">
        <v>241</v>
      </c>
      <c r="GB135" s="7" t="s">
        <v>241</v>
      </c>
      <c r="GC135" s="6">
        <v>30</v>
      </c>
      <c r="GD135" s="348" t="s">
        <v>242</v>
      </c>
      <c r="GE135" s="6">
        <v>25</v>
      </c>
      <c r="GF135" s="6">
        <v>7.3999999999999996E-2</v>
      </c>
      <c r="GH135" s="7"/>
      <c r="GI135" s="441"/>
      <c r="GJ135" s="441"/>
      <c r="GK135" s="441"/>
      <c r="GL135" s="441"/>
      <c r="GM135" s="454"/>
      <c r="GN135" s="441"/>
      <c r="GO135" s="441"/>
      <c r="GP135" s="441"/>
      <c r="GQ135" s="441"/>
      <c r="GR135" s="441"/>
      <c r="GS135" s="441"/>
      <c r="GT135" s="441"/>
      <c r="GU135" s="441"/>
      <c r="GV135" s="441"/>
      <c r="GW135" s="441"/>
      <c r="GX135" s="441"/>
      <c r="GY135" s="441"/>
      <c r="GZ135" s="441"/>
      <c r="HA135" s="441"/>
      <c r="HB135" s="441"/>
      <c r="HC135" s="441"/>
      <c r="HD135" s="441"/>
      <c r="HE135" s="441"/>
      <c r="HF135" s="441"/>
      <c r="HG135" s="441"/>
      <c r="HH135" s="441"/>
      <c r="HI135" s="441"/>
      <c r="HJ135" s="441"/>
      <c r="HK135" s="441"/>
      <c r="HL135" s="441"/>
      <c r="HM135" s="441"/>
      <c r="HN135" s="441"/>
      <c r="HO135" s="441"/>
      <c r="HP135" s="441"/>
      <c r="HQ135" s="441"/>
      <c r="HR135" s="441"/>
      <c r="HS135" s="441"/>
      <c r="HT135" s="441"/>
      <c r="HU135" s="441"/>
      <c r="HV135" s="441"/>
      <c r="HW135" s="441"/>
      <c r="HX135" s="441"/>
      <c r="HY135" s="441"/>
      <c r="HZ135" s="441"/>
      <c r="IA135" s="441"/>
      <c r="IB135" s="441"/>
      <c r="IC135" s="441"/>
      <c r="ID135" s="441"/>
      <c r="IE135" s="441"/>
      <c r="IF135" s="441"/>
      <c r="IH135" t="s">
        <v>235</v>
      </c>
    </row>
    <row r="136" spans="1:242" hidden="1" x14ac:dyDescent="0.35">
      <c r="A136" s="310" t="s">
        <v>999</v>
      </c>
      <c r="B136" s="313" t="s">
        <v>1000</v>
      </c>
      <c r="C136" s="310" t="s">
        <v>1001</v>
      </c>
      <c r="D136" s="316"/>
      <c r="F136" t="s">
        <v>1001</v>
      </c>
      <c r="I136" s="310" t="s">
        <v>1002</v>
      </c>
      <c r="M136" s="313"/>
      <c r="O136"/>
      <c r="P136" s="381"/>
      <c r="Q136"/>
      <c r="T136" s="8"/>
      <c r="U136" t="s">
        <v>414</v>
      </c>
      <c r="V136" s="313"/>
      <c r="W136" t="s">
        <v>257</v>
      </c>
      <c r="X136"/>
      <c r="Z136"/>
      <c r="AB136"/>
      <c r="AD136" s="8" t="s">
        <v>230</v>
      </c>
      <c r="AF136" s="8" t="s">
        <v>726</v>
      </c>
      <c r="AG136"/>
      <c r="AH136"/>
      <c r="AI136"/>
      <c r="AJ136" t="s">
        <v>414</v>
      </c>
      <c r="AK136">
        <v>1</v>
      </c>
      <c r="AL136">
        <v>0</v>
      </c>
      <c r="AM136" t="s">
        <v>414</v>
      </c>
      <c r="AN136" t="s">
        <v>236</v>
      </c>
      <c r="AO136" t="s">
        <v>224</v>
      </c>
      <c r="AP136" t="s">
        <v>236</v>
      </c>
      <c r="AQ136" t="s">
        <v>221</v>
      </c>
      <c r="AR136" t="s">
        <v>236</v>
      </c>
      <c r="AS136" t="s">
        <v>414</v>
      </c>
      <c r="AT136"/>
      <c r="AU136" t="s">
        <v>257</v>
      </c>
      <c r="AV136"/>
      <c r="AW136" s="313" t="s">
        <v>257</v>
      </c>
      <c r="AX136" t="s">
        <v>226</v>
      </c>
      <c r="AY136" s="313" t="s">
        <v>220</v>
      </c>
      <c r="AZ136" s="313">
        <v>0.22500000000000001</v>
      </c>
      <c r="BB136" s="313" t="s">
        <v>220</v>
      </c>
      <c r="BC136">
        <v>0.17199999999999999</v>
      </c>
      <c r="BD136" t="s">
        <v>227</v>
      </c>
      <c r="BE136">
        <v>0.32700000000000001</v>
      </c>
      <c r="BF136" s="2" t="s">
        <v>257</v>
      </c>
      <c r="BH136" s="2" t="s">
        <v>228</v>
      </c>
      <c r="BI136" s="2" t="s">
        <v>292</v>
      </c>
      <c r="BM136"/>
      <c r="BP136" s="8"/>
      <c r="BQ136" t="s">
        <v>230</v>
      </c>
      <c r="BR136" t="s">
        <v>230</v>
      </c>
      <c r="BU136" t="s">
        <v>293</v>
      </c>
      <c r="BV136" t="s">
        <v>236</v>
      </c>
      <c r="BW136" t="s">
        <v>232</v>
      </c>
      <c r="BX136" t="s">
        <v>474</v>
      </c>
      <c r="BY136" t="s">
        <v>227</v>
      </c>
      <c r="BZ136">
        <v>0.63600000000000001</v>
      </c>
      <c r="CA136" t="s">
        <v>234</v>
      </c>
      <c r="CF136" t="s">
        <v>227</v>
      </c>
      <c r="CG136">
        <v>0.59799999999999998</v>
      </c>
      <c r="CH136" t="s">
        <v>227</v>
      </c>
      <c r="CI136">
        <v>0.67200000000000004</v>
      </c>
      <c r="CK136"/>
      <c r="CL136"/>
      <c r="CM136"/>
      <c r="CS136" s="8"/>
      <c r="CW136" t="s">
        <v>227</v>
      </c>
      <c r="CX136" t="s">
        <v>227</v>
      </c>
      <c r="CY136" t="s">
        <v>317</v>
      </c>
      <c r="CZ136" t="s">
        <v>227</v>
      </c>
      <c r="DA136" t="s">
        <v>227</v>
      </c>
      <c r="DB136" t="s">
        <v>227</v>
      </c>
      <c r="DC136"/>
      <c r="DD136"/>
      <c r="DE136"/>
      <c r="DF136"/>
      <c r="DG136"/>
      <c r="DH136" s="323"/>
      <c r="DI136" s="323"/>
      <c r="DJ136" s="323"/>
      <c r="DL136" t="s">
        <v>227</v>
      </c>
      <c r="DM136" t="s">
        <v>227</v>
      </c>
      <c r="DN136" t="s">
        <v>227</v>
      </c>
      <c r="DO136" t="s">
        <v>227</v>
      </c>
      <c r="DP136" t="s">
        <v>227</v>
      </c>
      <c r="DS136" s="309">
        <v>28.44</v>
      </c>
      <c r="DU136" s="338">
        <v>219.625</v>
      </c>
      <c r="DV136" s="8" t="s">
        <v>394</v>
      </c>
      <c r="DW136"/>
      <c r="DX136" t="s">
        <v>235</v>
      </c>
      <c r="DY136"/>
      <c r="DZ136" t="s">
        <v>235</v>
      </c>
      <c r="EA136"/>
      <c r="EB136"/>
      <c r="ED136" s="410"/>
      <c r="EE136" s="1"/>
      <c r="EG136" s="410"/>
      <c r="EI136" s="410"/>
      <c r="EK136" s="1"/>
      <c r="EM136"/>
      <c r="EQ136" s="344"/>
      <c r="EU136" s="344"/>
      <c r="EW136" s="409"/>
      <c r="EY136" s="1"/>
      <c r="FA136">
        <v>0.92090000000000005</v>
      </c>
      <c r="FB136" t="s">
        <v>236</v>
      </c>
      <c r="FC136" s="7">
        <v>72.761224633552459</v>
      </c>
      <c r="FD136" s="357" t="s">
        <v>236</v>
      </c>
      <c r="FE136" s="8">
        <v>162.33045277654603</v>
      </c>
      <c r="FF136" t="s">
        <v>237</v>
      </c>
      <c r="FH136" s="9">
        <v>60.394862937638017</v>
      </c>
      <c r="FI136" s="9" t="s">
        <v>236</v>
      </c>
      <c r="FK136" t="s">
        <v>235</v>
      </c>
      <c r="FL136">
        <v>69.2</v>
      </c>
      <c r="FM136">
        <v>200.81678041839868</v>
      </c>
      <c r="FN136" s="419" t="s">
        <v>237</v>
      </c>
      <c r="FV136" s="8"/>
      <c r="FW136" s="8"/>
      <c r="FX136" s="8"/>
      <c r="GC136" s="7">
        <v>2.5000000000000001E-3</v>
      </c>
      <c r="GH136" s="7"/>
      <c r="GI136" s="441" t="s">
        <v>395</v>
      </c>
      <c r="GJ136" s="441" t="s">
        <v>395</v>
      </c>
      <c r="GK136" s="441" t="s">
        <v>395</v>
      </c>
      <c r="GL136" s="441" t="s">
        <v>395</v>
      </c>
      <c r="GM136" s="452" t="s">
        <v>230</v>
      </c>
      <c r="GN136" s="6" t="s">
        <v>395</v>
      </c>
      <c r="GO136" s="6" t="s">
        <v>395</v>
      </c>
      <c r="GP136" s="6" t="s">
        <v>395</v>
      </c>
      <c r="GQ136" s="6" t="s">
        <v>395</v>
      </c>
      <c r="GR136" s="6" t="s">
        <v>230</v>
      </c>
      <c r="GU136" t="s">
        <v>243</v>
      </c>
      <c r="GV136" t="s">
        <v>236</v>
      </c>
      <c r="GW136" t="s">
        <v>244</v>
      </c>
      <c r="GX136" t="s">
        <v>236</v>
      </c>
      <c r="GY136" t="s">
        <v>245</v>
      </c>
      <c r="HE136" t="s">
        <v>384</v>
      </c>
      <c r="HF136" t="s">
        <v>236</v>
      </c>
      <c r="HG136" t="s">
        <v>231</v>
      </c>
      <c r="HH136" t="s">
        <v>236</v>
      </c>
      <c r="HI136" t="s">
        <v>247</v>
      </c>
      <c r="HJ136" t="s">
        <v>236</v>
      </c>
      <c r="HK136" t="s">
        <v>266</v>
      </c>
      <c r="HO136" t="s">
        <v>231</v>
      </c>
      <c r="HP136" t="s">
        <v>236</v>
      </c>
      <c r="HQ136" t="s">
        <v>231</v>
      </c>
      <c r="HR136" t="s">
        <v>236</v>
      </c>
      <c r="HU136" t="s">
        <v>231</v>
      </c>
      <c r="HV136" t="s">
        <v>236</v>
      </c>
      <c r="HW136" t="s">
        <v>246</v>
      </c>
      <c r="HX136" t="s">
        <v>236</v>
      </c>
      <c r="IA136" t="s">
        <v>231</v>
      </c>
      <c r="IB136" t="s">
        <v>250</v>
      </c>
      <c r="IC136" t="s">
        <v>395</v>
      </c>
      <c r="ID136" t="s">
        <v>395</v>
      </c>
      <c r="IE136" t="s">
        <v>395</v>
      </c>
      <c r="IF136" t="s">
        <v>395</v>
      </c>
      <c r="IH136" t="s">
        <v>235</v>
      </c>
    </row>
    <row r="137" spans="1:242" ht="18" x14ac:dyDescent="0.35">
      <c r="A137" s="310" t="s">
        <v>1003</v>
      </c>
      <c r="B137" s="313" t="s">
        <v>1004</v>
      </c>
      <c r="C137" s="310" t="s">
        <v>1005</v>
      </c>
      <c r="D137" s="316"/>
      <c r="F137" t="s">
        <v>1006</v>
      </c>
      <c r="I137" s="310" t="s">
        <v>1007</v>
      </c>
      <c r="M137" s="313" t="s">
        <v>220</v>
      </c>
      <c r="O137" t="s">
        <v>221</v>
      </c>
      <c r="P137" s="381"/>
      <c r="Q137" t="s">
        <v>221</v>
      </c>
      <c r="S137" t="s">
        <v>221</v>
      </c>
      <c r="T137" s="8"/>
      <c r="U137" t="s">
        <v>221</v>
      </c>
      <c r="V137" s="313"/>
      <c r="W137" t="s">
        <v>220</v>
      </c>
      <c r="X137" t="s">
        <v>220</v>
      </c>
      <c r="Z137" t="s">
        <v>220</v>
      </c>
      <c r="AB137" t="s">
        <v>220</v>
      </c>
      <c r="AD137" s="8" t="s">
        <v>222</v>
      </c>
      <c r="AF137" s="8" t="s">
        <v>222</v>
      </c>
      <c r="AG137"/>
      <c r="AH137" t="s">
        <v>312</v>
      </c>
      <c r="AI137"/>
      <c r="AJ137" t="s">
        <v>221</v>
      </c>
      <c r="AK137">
        <v>0</v>
      </c>
      <c r="AL137">
        <v>1</v>
      </c>
      <c r="AM137" t="s">
        <v>221</v>
      </c>
      <c r="AN137" t="s">
        <v>249</v>
      </c>
      <c r="AO137" t="s">
        <v>221</v>
      </c>
      <c r="AP137"/>
      <c r="AQ137" t="s">
        <v>221</v>
      </c>
      <c r="AR137"/>
      <c r="AS137" t="s">
        <v>221</v>
      </c>
      <c r="AT137"/>
      <c r="AU137" t="s">
        <v>220</v>
      </c>
      <c r="AV137"/>
      <c r="AW137" s="313" t="s">
        <v>220</v>
      </c>
      <c r="AX137" t="s">
        <v>226</v>
      </c>
      <c r="AY137" s="313" t="s">
        <v>220</v>
      </c>
      <c r="AZ137" s="313">
        <v>4.02E-2</v>
      </c>
      <c r="BB137" s="313" t="s">
        <v>220</v>
      </c>
      <c r="BC137">
        <v>3.2800000000000003E-2</v>
      </c>
      <c r="BD137" t="s">
        <v>220</v>
      </c>
      <c r="BE137">
        <v>9.3100000000000002E-2</v>
      </c>
      <c r="BF137" s="2" t="s">
        <v>220</v>
      </c>
      <c r="BH137" s="2" t="s">
        <v>228</v>
      </c>
      <c r="BI137" s="2" t="s">
        <v>229</v>
      </c>
      <c r="BM137"/>
      <c r="BO137" t="s">
        <v>220</v>
      </c>
      <c r="BP137" s="8" t="s">
        <v>312</v>
      </c>
      <c r="BQ137" t="s">
        <v>222</v>
      </c>
      <c r="BR137" t="s">
        <v>222</v>
      </c>
      <c r="BS137" t="s">
        <v>255</v>
      </c>
      <c r="BU137" t="s">
        <v>317</v>
      </c>
      <c r="BV137" t="s">
        <v>223</v>
      </c>
      <c r="BW137" t="s">
        <v>232</v>
      </c>
      <c r="BX137" t="s">
        <v>256</v>
      </c>
      <c r="BY137" t="s">
        <v>220</v>
      </c>
      <c r="BZ137">
        <v>0.30099999999999999</v>
      </c>
      <c r="CA137" t="s">
        <v>234</v>
      </c>
      <c r="CC137" t="s">
        <v>257</v>
      </c>
      <c r="CF137" t="s">
        <v>257</v>
      </c>
      <c r="CG137">
        <v>0.22800000000000001</v>
      </c>
      <c r="CH137" t="s">
        <v>220</v>
      </c>
      <c r="CI137">
        <v>6.4699999999999994E-2</v>
      </c>
      <c r="CK137" t="s">
        <v>220</v>
      </c>
      <c r="CL137" t="s">
        <v>220</v>
      </c>
      <c r="CM137" t="s">
        <v>231</v>
      </c>
      <c r="CN137" s="2" t="s">
        <v>345</v>
      </c>
      <c r="CS137" s="8" t="s">
        <v>312</v>
      </c>
      <c r="CW137" t="s">
        <v>220</v>
      </c>
      <c r="CX137" t="s">
        <v>220</v>
      </c>
      <c r="CY137" t="s">
        <v>231</v>
      </c>
      <c r="CZ137" t="s">
        <v>220</v>
      </c>
      <c r="DA137" t="s">
        <v>220</v>
      </c>
      <c r="DB137" t="s">
        <v>220</v>
      </c>
      <c r="DC137" t="s">
        <v>220</v>
      </c>
      <c r="DD137" t="s">
        <v>220</v>
      </c>
      <c r="DE137"/>
      <c r="DF137" t="s">
        <v>257</v>
      </c>
      <c r="DG137" t="s">
        <v>257</v>
      </c>
      <c r="DH137" s="323"/>
      <c r="DI137" s="323"/>
      <c r="DJ137" s="323" t="s">
        <v>316</v>
      </c>
      <c r="DL137" t="s">
        <v>220</v>
      </c>
      <c r="DM137" t="s">
        <v>220</v>
      </c>
      <c r="DN137" t="s">
        <v>220</v>
      </c>
      <c r="DO137" t="s">
        <v>257</v>
      </c>
      <c r="DP137" t="s">
        <v>257</v>
      </c>
      <c r="DQ137" s="331" t="s">
        <v>835</v>
      </c>
      <c r="DR137" s="332" t="s">
        <v>1008</v>
      </c>
      <c r="DS137" s="309">
        <v>242.667</v>
      </c>
      <c r="DU137" s="309">
        <v>289.40699999999998</v>
      </c>
      <c r="DW137">
        <v>1780</v>
      </c>
      <c r="DX137" t="s">
        <v>238</v>
      </c>
      <c r="DY137">
        <v>120</v>
      </c>
      <c r="DZ137" t="s">
        <v>238</v>
      </c>
      <c r="EA137"/>
      <c r="EB137"/>
      <c r="ED137" s="410">
        <v>25</v>
      </c>
      <c r="EE137" s="1"/>
      <c r="EF137" s="8" t="s">
        <v>323</v>
      </c>
      <c r="EG137" s="410">
        <v>25</v>
      </c>
      <c r="EH137" s="8" t="s">
        <v>323</v>
      </c>
      <c r="EI137" s="410"/>
      <c r="EK137" s="1">
        <v>25</v>
      </c>
      <c r="EL137" s="8" t="s">
        <v>324</v>
      </c>
      <c r="EM137"/>
      <c r="EQ137" s="344"/>
      <c r="EU137" s="344"/>
      <c r="EW137" s="381">
        <v>100</v>
      </c>
      <c r="EX137" s="8" t="s">
        <v>323</v>
      </c>
      <c r="EY137" s="1"/>
      <c r="FA137">
        <v>26.98</v>
      </c>
      <c r="FB137" t="s">
        <v>225</v>
      </c>
      <c r="FC137" s="7">
        <v>54.992061438749786</v>
      </c>
      <c r="FD137" s="357" t="s">
        <v>225</v>
      </c>
      <c r="FE137" s="8">
        <v>10.495424286523221</v>
      </c>
      <c r="FF137" t="s">
        <v>237</v>
      </c>
      <c r="FH137" s="9">
        <v>14.561294986160577</v>
      </c>
      <c r="FI137" s="9" t="s">
        <v>236</v>
      </c>
      <c r="FJ137">
        <v>81.900000000000006</v>
      </c>
      <c r="FK137" t="s">
        <v>238</v>
      </c>
      <c r="FL137">
        <v>62.1</v>
      </c>
      <c r="FM137">
        <v>39.746601445763652</v>
      </c>
      <c r="FN137" s="5" t="s">
        <v>237</v>
      </c>
      <c r="FP137" s="6">
        <v>10</v>
      </c>
      <c r="FQ137" t="s">
        <v>353</v>
      </c>
      <c r="FS137" t="s">
        <v>261</v>
      </c>
      <c r="FU137" s="8">
        <v>2</v>
      </c>
      <c r="FV137" s="8">
        <v>10</v>
      </c>
      <c r="FW137" s="8">
        <v>10</v>
      </c>
      <c r="FX137" s="8">
        <v>10</v>
      </c>
      <c r="FY137" s="8">
        <v>1</v>
      </c>
      <c r="FZ137">
        <f t="shared" si="2"/>
        <v>2000</v>
      </c>
      <c r="GA137" s="7" t="s">
        <v>303</v>
      </c>
      <c r="GB137" s="7" t="s">
        <v>303</v>
      </c>
      <c r="GC137" s="6">
        <v>9</v>
      </c>
      <c r="GD137" s="348" t="s">
        <v>242</v>
      </c>
      <c r="GE137" s="6">
        <v>0.25</v>
      </c>
      <c r="GF137" s="6">
        <v>7.2806474930802887E-3</v>
      </c>
      <c r="GH137" s="7"/>
      <c r="GI137" s="441"/>
      <c r="GJ137" s="441"/>
      <c r="GK137" s="441"/>
      <c r="GL137" s="441"/>
      <c r="GM137" s="454"/>
      <c r="GN137" s="441"/>
      <c r="GO137" s="441"/>
      <c r="GP137" s="441"/>
      <c r="GQ137" s="441"/>
      <c r="GR137" s="441"/>
      <c r="GS137" s="441"/>
      <c r="GT137" s="441"/>
      <c r="GU137" s="441"/>
      <c r="GV137" s="441"/>
      <c r="GW137" s="441"/>
      <c r="GX137" s="441"/>
      <c r="GY137" s="441"/>
      <c r="GZ137" s="441"/>
      <c r="HA137" s="441"/>
      <c r="HB137" s="441"/>
      <c r="HC137" s="441"/>
      <c r="HD137" s="441"/>
      <c r="HE137" s="441"/>
      <c r="HF137" s="441"/>
      <c r="HG137" s="441"/>
      <c r="HH137" s="441"/>
      <c r="HI137" s="441"/>
      <c r="HJ137" s="441"/>
      <c r="HK137" s="441"/>
      <c r="HL137" s="441"/>
      <c r="HM137" s="441"/>
      <c r="HN137" s="441"/>
      <c r="HO137" s="441"/>
      <c r="HP137" s="441"/>
      <c r="HQ137" s="441"/>
      <c r="HR137" s="441"/>
      <c r="HS137" s="441"/>
      <c r="HT137" s="441"/>
      <c r="HU137" s="441"/>
      <c r="HV137" s="441"/>
      <c r="HW137" s="441"/>
      <c r="HX137" s="441"/>
      <c r="HY137" s="441"/>
      <c r="HZ137" s="441"/>
      <c r="IA137" s="441"/>
      <c r="IB137" s="441"/>
      <c r="IC137" s="441"/>
      <c r="ID137" s="441"/>
      <c r="IE137" s="441"/>
      <c r="IF137" s="441"/>
      <c r="IH137" t="s">
        <v>235</v>
      </c>
    </row>
    <row r="138" spans="1:242" x14ac:dyDescent="0.35">
      <c r="A138" s="312" t="s">
        <v>1009</v>
      </c>
      <c r="B138" s="411" t="s">
        <v>1010</v>
      </c>
      <c r="C138" s="310" t="s">
        <v>1011</v>
      </c>
      <c r="D138" s="316"/>
      <c r="F138" t="s">
        <v>1012</v>
      </c>
      <c r="I138" s="314" t="s">
        <v>1013</v>
      </c>
      <c r="L138" s="185"/>
      <c r="M138" s="1"/>
      <c r="O138" t="s">
        <v>221</v>
      </c>
      <c r="P138" s="381"/>
      <c r="Q138" t="s">
        <v>221</v>
      </c>
      <c r="S138" t="s">
        <v>221</v>
      </c>
      <c r="T138" s="8"/>
      <c r="U138" t="s">
        <v>221</v>
      </c>
      <c r="V138" s="313"/>
      <c r="W138" t="s">
        <v>220</v>
      </c>
      <c r="X138" t="s">
        <v>220</v>
      </c>
      <c r="Z138" t="s">
        <v>220</v>
      </c>
      <c r="AB138" t="s">
        <v>220</v>
      </c>
      <c r="AD138" s="8" t="s">
        <v>222</v>
      </c>
      <c r="AF138" s="8" t="s">
        <v>222</v>
      </c>
      <c r="AG138"/>
      <c r="AH138" t="s">
        <v>312</v>
      </c>
      <c r="AI138"/>
      <c r="AJ138" t="s">
        <v>221</v>
      </c>
      <c r="AK138">
        <v>0</v>
      </c>
      <c r="AL138">
        <v>1</v>
      </c>
      <c r="AM138" t="s">
        <v>414</v>
      </c>
      <c r="AN138" t="s">
        <v>249</v>
      </c>
      <c r="AO138" t="s">
        <v>224</v>
      </c>
      <c r="AP138"/>
      <c r="AQ138" t="s">
        <v>221</v>
      </c>
      <c r="AR138"/>
      <c r="AS138" t="s">
        <v>221</v>
      </c>
      <c r="AT138"/>
      <c r="AU138" t="s">
        <v>220</v>
      </c>
      <c r="AV138"/>
      <c r="AW138" s="313" t="s">
        <v>220</v>
      </c>
      <c r="AX138" t="s">
        <v>226</v>
      </c>
      <c r="AY138" s="313" t="s">
        <v>220</v>
      </c>
      <c r="AZ138" s="313">
        <v>0.314</v>
      </c>
      <c r="BB138" s="313" t="s">
        <v>220</v>
      </c>
      <c r="BC138">
        <v>0.17799999999999999</v>
      </c>
      <c r="BD138" t="s">
        <v>220</v>
      </c>
      <c r="BE138">
        <v>0.30399999999999999</v>
      </c>
      <c r="BF138" s="2" t="s">
        <v>220</v>
      </c>
      <c r="BH138" s="2" t="s">
        <v>228</v>
      </c>
      <c r="BI138" s="2" t="s">
        <v>229</v>
      </c>
      <c r="BK138" s="3"/>
      <c r="BL138" s="2" t="s">
        <v>312</v>
      </c>
      <c r="BM138"/>
      <c r="BP138" s="8" t="s">
        <v>344</v>
      </c>
      <c r="BQ138" t="s">
        <v>291</v>
      </c>
      <c r="BR138" t="s">
        <v>291</v>
      </c>
      <c r="BS138" t="s">
        <v>255</v>
      </c>
      <c r="BU138" t="s">
        <v>293</v>
      </c>
      <c r="BV138" t="s">
        <v>236</v>
      </c>
      <c r="BW138" t="s">
        <v>232</v>
      </c>
      <c r="BX138" t="s">
        <v>256</v>
      </c>
      <c r="BY138" t="s">
        <v>257</v>
      </c>
      <c r="BZ138">
        <v>0.69699999999999995</v>
      </c>
      <c r="CA138" t="s">
        <v>372</v>
      </c>
      <c r="CF138" t="s">
        <v>227</v>
      </c>
      <c r="CG138">
        <v>0.58599999999999997</v>
      </c>
      <c r="CH138" t="s">
        <v>227</v>
      </c>
      <c r="CI138">
        <v>0.65</v>
      </c>
      <c r="CK138" t="s">
        <v>220</v>
      </c>
      <c r="CL138"/>
      <c r="CM138" t="s">
        <v>231</v>
      </c>
      <c r="CN138" s="2" t="s">
        <v>312</v>
      </c>
      <c r="CP138" t="s">
        <v>257</v>
      </c>
      <c r="CQ138" t="s">
        <v>257</v>
      </c>
      <c r="CS138" s="8" t="s">
        <v>312</v>
      </c>
      <c r="CW138" t="s">
        <v>220</v>
      </c>
      <c r="CX138" t="s">
        <v>227</v>
      </c>
      <c r="CY138" t="s">
        <v>231</v>
      </c>
      <c r="CZ138" t="s">
        <v>257</v>
      </c>
      <c r="DA138" t="s">
        <v>257</v>
      </c>
      <c r="DB138" t="s">
        <v>227</v>
      </c>
      <c r="DC138" t="s">
        <v>220</v>
      </c>
      <c r="DD138" t="s">
        <v>220</v>
      </c>
      <c r="DE138"/>
      <c r="DF138"/>
      <c r="DG138"/>
      <c r="DH138" s="323"/>
      <c r="DI138" s="323" t="s">
        <v>312</v>
      </c>
      <c r="DJ138" s="323"/>
      <c r="DL138" t="s">
        <v>220</v>
      </c>
      <c r="DM138" t="s">
        <v>220</v>
      </c>
      <c r="DN138" t="s">
        <v>227</v>
      </c>
      <c r="DO138" t="s">
        <v>227</v>
      </c>
      <c r="DP138" t="s">
        <v>220</v>
      </c>
      <c r="DQ138" s="330">
        <v>407</v>
      </c>
      <c r="DR138" s="330">
        <v>1300</v>
      </c>
      <c r="DS138" s="309">
        <v>361.86399999999998</v>
      </c>
      <c r="DU138" s="309">
        <v>197.86500000000001</v>
      </c>
      <c r="DW138">
        <v>87.3</v>
      </c>
      <c r="DX138" t="s">
        <v>238</v>
      </c>
      <c r="DY138">
        <v>234</v>
      </c>
      <c r="DZ138" t="s">
        <v>238</v>
      </c>
      <c r="EA138"/>
      <c r="EB138"/>
      <c r="ED138" s="410"/>
      <c r="EE138" s="1"/>
      <c r="EG138" s="410"/>
      <c r="EI138" s="410"/>
      <c r="EK138" s="1">
        <v>300</v>
      </c>
      <c r="EL138" s="8" t="s">
        <v>324</v>
      </c>
      <c r="EM138"/>
      <c r="EQ138" s="344"/>
      <c r="EU138" s="344"/>
      <c r="EW138" s="409"/>
      <c r="EY138" s="1"/>
      <c r="FA138">
        <v>53.46</v>
      </c>
      <c r="FB138" t="s">
        <v>236</v>
      </c>
      <c r="FC138" s="7">
        <v>148.86753594923653</v>
      </c>
      <c r="FD138" s="357" t="s">
        <v>236</v>
      </c>
      <c r="FE138" s="8">
        <v>113.31828679306948</v>
      </c>
      <c r="FF138" t="s">
        <v>237</v>
      </c>
      <c r="FH138" s="9">
        <v>156.67510701081497</v>
      </c>
      <c r="FI138" s="9" t="s">
        <v>236</v>
      </c>
      <c r="FK138" t="s">
        <v>235</v>
      </c>
      <c r="FL138">
        <v>43.1</v>
      </c>
      <c r="FM138">
        <v>365.17412725483786</v>
      </c>
      <c r="FN138" s="5" t="s">
        <v>237</v>
      </c>
      <c r="FP138" s="6">
        <v>300</v>
      </c>
      <c r="FQ138" t="s">
        <v>260</v>
      </c>
      <c r="FS138" t="s">
        <v>261</v>
      </c>
      <c r="FU138" s="8">
        <v>1</v>
      </c>
      <c r="FV138" s="8">
        <v>10</v>
      </c>
      <c r="FW138" s="8">
        <v>10</v>
      </c>
      <c r="FX138" s="8">
        <v>1</v>
      </c>
      <c r="FY138" s="8">
        <v>3</v>
      </c>
      <c r="FZ138">
        <f t="shared" si="2"/>
        <v>300</v>
      </c>
      <c r="GA138" s="7" t="s">
        <v>326</v>
      </c>
      <c r="GB138" s="7" t="s">
        <v>326</v>
      </c>
      <c r="GC138" s="6">
        <v>1.5</v>
      </c>
      <c r="GD138" s="348" t="s">
        <v>242</v>
      </c>
      <c r="GF138" s="6">
        <v>1.4366666666666668E-2</v>
      </c>
      <c r="GH138" s="7"/>
      <c r="GI138" s="441"/>
      <c r="GJ138" s="441"/>
      <c r="GK138" s="441"/>
      <c r="GL138" s="441"/>
      <c r="GM138" s="454"/>
      <c r="GN138" s="441"/>
      <c r="GO138" s="441"/>
      <c r="GP138" s="441"/>
      <c r="GQ138" s="441"/>
      <c r="GR138" s="441"/>
      <c r="GS138" s="441"/>
      <c r="GT138" s="441"/>
      <c r="GU138" s="441"/>
      <c r="GV138" s="441"/>
      <c r="GW138" s="441"/>
      <c r="GX138" s="441"/>
      <c r="GY138" s="441"/>
      <c r="GZ138" s="441"/>
      <c r="HA138" s="441"/>
      <c r="HB138" s="441"/>
      <c r="HC138" s="441"/>
      <c r="HD138" s="441"/>
      <c r="HE138" s="441"/>
      <c r="HF138" s="441"/>
      <c r="HG138" s="441"/>
      <c r="HH138" s="441"/>
      <c r="HI138" s="441"/>
      <c r="HJ138" s="441"/>
      <c r="HK138" s="441"/>
      <c r="HL138" s="441"/>
      <c r="HM138" s="441"/>
      <c r="HN138" s="441"/>
      <c r="HO138" s="441"/>
      <c r="HP138" s="441"/>
      <c r="HQ138" s="441"/>
      <c r="HR138" s="441"/>
      <c r="HS138" s="441"/>
      <c r="HT138" s="441"/>
      <c r="HU138" s="441"/>
      <c r="HV138" s="441"/>
      <c r="HW138" s="441"/>
      <c r="HX138" s="441"/>
      <c r="HY138" s="441"/>
      <c r="HZ138" s="441"/>
      <c r="IA138" s="441"/>
      <c r="IB138" s="441"/>
      <c r="IC138" s="441"/>
      <c r="ID138" s="441"/>
      <c r="IE138" s="441"/>
      <c r="IF138" s="441"/>
      <c r="IH138" t="s">
        <v>235</v>
      </c>
    </row>
    <row r="139" spans="1:242" x14ac:dyDescent="0.35">
      <c r="A139" s="310" t="s">
        <v>1014</v>
      </c>
      <c r="B139" s="313" t="s">
        <v>1015</v>
      </c>
      <c r="C139" s="310" t="s">
        <v>1016</v>
      </c>
      <c r="D139" s="316"/>
      <c r="F139" t="s">
        <v>1017</v>
      </c>
      <c r="I139" s="310" t="s">
        <v>1018</v>
      </c>
      <c r="M139" s="313"/>
      <c r="O139"/>
      <c r="P139" s="381"/>
      <c r="Q139"/>
      <c r="T139" s="8"/>
      <c r="U139" t="s">
        <v>221</v>
      </c>
      <c r="V139" s="313"/>
      <c r="W139" t="s">
        <v>220</v>
      </c>
      <c r="X139" t="s">
        <v>220</v>
      </c>
      <c r="Z139" t="s">
        <v>220</v>
      </c>
      <c r="AB139"/>
      <c r="AD139" s="8" t="s">
        <v>222</v>
      </c>
      <c r="AF139" s="8" t="s">
        <v>222</v>
      </c>
      <c r="AG139"/>
      <c r="AH139"/>
      <c r="AI139"/>
      <c r="AJ139" t="s">
        <v>221</v>
      </c>
      <c r="AK139">
        <v>0</v>
      </c>
      <c r="AL139">
        <v>1</v>
      </c>
      <c r="AM139" t="s">
        <v>414</v>
      </c>
      <c r="AN139" t="s">
        <v>236</v>
      </c>
      <c r="AO139" t="s">
        <v>224</v>
      </c>
      <c r="AP139" t="s">
        <v>236</v>
      </c>
      <c r="AQ139" t="s">
        <v>221</v>
      </c>
      <c r="AR139" t="s">
        <v>236</v>
      </c>
      <c r="AS139" t="s">
        <v>221</v>
      </c>
      <c r="AT139"/>
      <c r="AU139" t="s">
        <v>220</v>
      </c>
      <c r="AV139"/>
      <c r="AW139" s="313" t="s">
        <v>220</v>
      </c>
      <c r="AX139" t="s">
        <v>226</v>
      </c>
      <c r="AY139" s="313" t="s">
        <v>220</v>
      </c>
      <c r="AZ139" s="313">
        <v>0.222</v>
      </c>
      <c r="BB139" s="313" t="s">
        <v>220</v>
      </c>
      <c r="BC139">
        <v>0.16600000000000001</v>
      </c>
      <c r="BD139" t="s">
        <v>227</v>
      </c>
      <c r="BE139">
        <v>0.312</v>
      </c>
      <c r="BF139" s="2" t="s">
        <v>220</v>
      </c>
      <c r="BH139" s="2" t="s">
        <v>228</v>
      </c>
      <c r="BI139" s="2" t="s">
        <v>229</v>
      </c>
      <c r="BM139"/>
      <c r="BP139" s="8"/>
      <c r="BQ139" t="s">
        <v>230</v>
      </c>
      <c r="BR139" t="s">
        <v>222</v>
      </c>
      <c r="BU139" t="s">
        <v>293</v>
      </c>
      <c r="BV139" t="s">
        <v>236</v>
      </c>
      <c r="BW139" t="s">
        <v>293</v>
      </c>
      <c r="BX139" t="s">
        <v>393</v>
      </c>
      <c r="BY139" t="s">
        <v>227</v>
      </c>
      <c r="BZ139">
        <v>0.627</v>
      </c>
      <c r="CA139" t="s">
        <v>234</v>
      </c>
      <c r="CF139" t="s">
        <v>227</v>
      </c>
      <c r="CG139">
        <v>0.58299999999999996</v>
      </c>
      <c r="CH139" t="s">
        <v>227</v>
      </c>
      <c r="CI139">
        <v>0.64800000000000002</v>
      </c>
      <c r="CK139" t="s">
        <v>220</v>
      </c>
      <c r="CL139"/>
      <c r="CM139"/>
      <c r="CS139" s="8"/>
      <c r="CW139" t="s">
        <v>220</v>
      </c>
      <c r="CX139" t="s">
        <v>227</v>
      </c>
      <c r="CY139" t="s">
        <v>231</v>
      </c>
      <c r="CZ139" t="s">
        <v>227</v>
      </c>
      <c r="DA139" t="s">
        <v>227</v>
      </c>
      <c r="DB139" t="s">
        <v>227</v>
      </c>
      <c r="DC139"/>
      <c r="DD139"/>
      <c r="DE139"/>
      <c r="DF139"/>
      <c r="DG139"/>
      <c r="DH139" s="323"/>
      <c r="DI139" s="323"/>
      <c r="DJ139" s="323"/>
      <c r="DL139" t="s">
        <v>227</v>
      </c>
      <c r="DM139" t="s">
        <v>227</v>
      </c>
      <c r="DN139" t="s">
        <v>227</v>
      </c>
      <c r="DO139" t="s">
        <v>227</v>
      </c>
      <c r="DP139" t="s">
        <v>227</v>
      </c>
      <c r="DS139" s="309">
        <v>39.805</v>
      </c>
      <c r="DU139" s="338">
        <v>59.792000000000002</v>
      </c>
      <c r="DV139" s="8" t="s">
        <v>394</v>
      </c>
      <c r="DW139"/>
      <c r="DX139" t="s">
        <v>235</v>
      </c>
      <c r="DY139"/>
      <c r="DZ139" t="s">
        <v>235</v>
      </c>
      <c r="EA139"/>
      <c r="EB139"/>
      <c r="ED139" s="410"/>
      <c r="EE139" s="1"/>
      <c r="EG139" s="410"/>
      <c r="EI139" s="410"/>
      <c r="EK139" s="1"/>
      <c r="EM139"/>
      <c r="EQ139" s="344"/>
      <c r="EU139" s="344"/>
      <c r="EW139" s="409"/>
      <c r="EY139" s="1"/>
      <c r="FA139">
        <v>9.01E-2</v>
      </c>
      <c r="FB139" t="s">
        <v>236</v>
      </c>
      <c r="FC139" s="7">
        <v>81.997384545747522</v>
      </c>
      <c r="FD139" s="357" t="s">
        <v>236</v>
      </c>
      <c r="FE139" s="8">
        <v>6.0813500127871807</v>
      </c>
      <c r="FF139" t="s">
        <v>237</v>
      </c>
      <c r="FH139" s="9">
        <v>49.023013013616826</v>
      </c>
      <c r="FI139" s="9" t="s">
        <v>236</v>
      </c>
      <c r="FK139" t="s">
        <v>235</v>
      </c>
      <c r="FL139">
        <v>58.5</v>
      </c>
      <c r="FM139">
        <v>12.93004391796279</v>
      </c>
      <c r="FN139" s="5" t="s">
        <v>237</v>
      </c>
      <c r="FP139" s="6">
        <v>4.505E-2</v>
      </c>
      <c r="FQ139" t="s">
        <v>275</v>
      </c>
      <c r="FS139" t="s">
        <v>240</v>
      </c>
      <c r="FV139" s="8"/>
      <c r="FW139" s="8"/>
      <c r="FX139" s="8"/>
      <c r="GA139" s="7" t="s">
        <v>326</v>
      </c>
      <c r="GB139" s="7" t="s">
        <v>326</v>
      </c>
      <c r="GC139" s="6">
        <v>1.5</v>
      </c>
      <c r="GD139" s="348" t="s">
        <v>242</v>
      </c>
      <c r="GG139" s="7">
        <v>0.1</v>
      </c>
      <c r="GH139" s="7"/>
      <c r="GI139" s="441">
        <v>0.66700000000000004</v>
      </c>
      <c r="GJ139" s="441">
        <v>1.25</v>
      </c>
      <c r="GK139" s="441">
        <v>2</v>
      </c>
      <c r="GL139" s="441">
        <v>5</v>
      </c>
      <c r="GM139" s="452" t="s">
        <v>1019</v>
      </c>
      <c r="GN139" s="6">
        <v>0.01</v>
      </c>
      <c r="GO139" s="6">
        <v>1.8749999999999999E-2</v>
      </c>
      <c r="GP139" s="6">
        <v>0.03</v>
      </c>
      <c r="GQ139" s="6">
        <v>7.4999999999999997E-2</v>
      </c>
      <c r="GR139" s="6" t="s">
        <v>230</v>
      </c>
      <c r="GT139" t="s">
        <v>373</v>
      </c>
      <c r="GU139" t="s">
        <v>243</v>
      </c>
      <c r="GV139" t="s">
        <v>236</v>
      </c>
      <c r="GW139" t="s">
        <v>374</v>
      </c>
      <c r="GX139" t="s">
        <v>249</v>
      </c>
      <c r="GY139" t="s">
        <v>1020</v>
      </c>
      <c r="HE139" t="s">
        <v>246</v>
      </c>
      <c r="HF139" t="s">
        <v>236</v>
      </c>
      <c r="HG139" t="s">
        <v>231</v>
      </c>
      <c r="HH139" t="s">
        <v>236</v>
      </c>
      <c r="HI139" t="s">
        <v>247</v>
      </c>
      <c r="HJ139" t="s">
        <v>236</v>
      </c>
      <c r="HK139" t="s">
        <v>266</v>
      </c>
      <c r="HL139" t="s">
        <v>231</v>
      </c>
      <c r="HM139" t="s">
        <v>231</v>
      </c>
      <c r="HO139" t="s">
        <v>231</v>
      </c>
      <c r="HP139" t="s">
        <v>249</v>
      </c>
      <c r="HQ139" t="s">
        <v>231</v>
      </c>
      <c r="HR139" t="s">
        <v>249</v>
      </c>
      <c r="HU139" t="s">
        <v>231</v>
      </c>
      <c r="HV139" t="s">
        <v>236</v>
      </c>
      <c r="HW139" t="s">
        <v>246</v>
      </c>
      <c r="HX139" t="s">
        <v>236</v>
      </c>
      <c r="IA139" t="s">
        <v>231</v>
      </c>
      <c r="IB139" t="s">
        <v>250</v>
      </c>
      <c r="IC139">
        <v>0.66700000000000004</v>
      </c>
      <c r="ID139">
        <v>1.25</v>
      </c>
      <c r="IE139">
        <v>2</v>
      </c>
      <c r="IF139">
        <v>5</v>
      </c>
      <c r="IH139" t="s">
        <v>267</v>
      </c>
    </row>
    <row r="140" spans="1:242" hidden="1" x14ac:dyDescent="0.35">
      <c r="A140" s="310" t="s">
        <v>1021</v>
      </c>
      <c r="B140" s="313" t="s">
        <v>1022</v>
      </c>
      <c r="C140" s="310" t="s">
        <v>1023</v>
      </c>
      <c r="D140" s="316"/>
      <c r="F140" t="s">
        <v>1024</v>
      </c>
      <c r="I140" s="310" t="s">
        <v>1025</v>
      </c>
      <c r="M140" s="313" t="s">
        <v>220</v>
      </c>
      <c r="O140"/>
      <c r="P140" s="381"/>
      <c r="Q140"/>
      <c r="T140" s="8"/>
      <c r="U140"/>
      <c r="V140" s="313"/>
      <c r="W140" t="s">
        <v>257</v>
      </c>
      <c r="X140" t="s">
        <v>257</v>
      </c>
      <c r="Z140" t="s">
        <v>257</v>
      </c>
      <c r="AB140"/>
      <c r="AD140" s="8" t="s">
        <v>699</v>
      </c>
      <c r="AF140" s="8" t="s">
        <v>230</v>
      </c>
      <c r="AG140"/>
      <c r="AH140"/>
      <c r="AI140"/>
      <c r="AJ140" t="s">
        <v>221</v>
      </c>
      <c r="AK140">
        <v>0</v>
      </c>
      <c r="AL140">
        <v>0.75</v>
      </c>
      <c r="AM140" t="s">
        <v>221</v>
      </c>
      <c r="AN140" t="s">
        <v>223</v>
      </c>
      <c r="AO140" t="s">
        <v>224</v>
      </c>
      <c r="AP140" t="s">
        <v>223</v>
      </c>
      <c r="AQ140" t="s">
        <v>221</v>
      </c>
      <c r="AR140" t="s">
        <v>225</v>
      </c>
      <c r="AS140" t="s">
        <v>221</v>
      </c>
      <c r="AT140" t="s">
        <v>225</v>
      </c>
      <c r="AU140" t="s">
        <v>257</v>
      </c>
      <c r="AV140"/>
      <c r="AW140" s="313" t="s">
        <v>257</v>
      </c>
      <c r="AX140" t="s">
        <v>226</v>
      </c>
      <c r="AY140" s="313" t="s">
        <v>257</v>
      </c>
      <c r="AZ140" s="313">
        <v>0.314</v>
      </c>
      <c r="BB140" s="313" t="s">
        <v>257</v>
      </c>
      <c r="BC140">
        <v>0.23300000000000001</v>
      </c>
      <c r="BD140" t="s">
        <v>220</v>
      </c>
      <c r="BE140">
        <v>0.25900000000000001</v>
      </c>
      <c r="BF140" s="2" t="s">
        <v>257</v>
      </c>
      <c r="BH140" s="2" t="s">
        <v>228</v>
      </c>
      <c r="BI140" s="2" t="s">
        <v>1026</v>
      </c>
      <c r="BM140"/>
      <c r="BP140" s="8"/>
      <c r="BQ140" t="s">
        <v>230</v>
      </c>
      <c r="BR140" t="s">
        <v>230</v>
      </c>
      <c r="BU140" t="s">
        <v>293</v>
      </c>
      <c r="BV140" t="s">
        <v>236</v>
      </c>
      <c r="BW140" t="s">
        <v>232</v>
      </c>
      <c r="BX140" t="s">
        <v>276</v>
      </c>
      <c r="BY140" t="s">
        <v>257</v>
      </c>
      <c r="BZ140">
        <v>0.53500000000000003</v>
      </c>
      <c r="CA140" t="s">
        <v>372</v>
      </c>
      <c r="CF140" t="s">
        <v>227</v>
      </c>
      <c r="CG140">
        <v>0.60399999999999998</v>
      </c>
      <c r="CH140" t="s">
        <v>257</v>
      </c>
      <c r="CI140">
        <v>0.72</v>
      </c>
      <c r="CK140"/>
      <c r="CL140"/>
      <c r="CM140"/>
      <c r="CS140" s="8"/>
      <c r="CW140" t="s">
        <v>227</v>
      </c>
      <c r="CX140" t="s">
        <v>257</v>
      </c>
      <c r="CY140" t="s">
        <v>231</v>
      </c>
      <c r="CZ140" t="s">
        <v>257</v>
      </c>
      <c r="DA140" t="s">
        <v>257</v>
      </c>
      <c r="DB140" t="s">
        <v>220</v>
      </c>
      <c r="DC140"/>
      <c r="DD140"/>
      <c r="DE140"/>
      <c r="DF140"/>
      <c r="DG140"/>
      <c r="DH140" s="323"/>
      <c r="DI140" s="323"/>
      <c r="DJ140" s="323"/>
      <c r="DL140" t="s">
        <v>257</v>
      </c>
      <c r="DM140" t="s">
        <v>257</v>
      </c>
      <c r="DN140" t="s">
        <v>257</v>
      </c>
      <c r="DO140" t="s">
        <v>220</v>
      </c>
      <c r="DP140" t="s">
        <v>257</v>
      </c>
      <c r="DS140" s="309">
        <v>57.107999999999997</v>
      </c>
      <c r="DU140" s="309">
        <v>323.99299999999999</v>
      </c>
      <c r="DW140"/>
      <c r="DX140" t="s">
        <v>235</v>
      </c>
      <c r="DY140"/>
      <c r="DZ140" t="s">
        <v>235</v>
      </c>
      <c r="EA140"/>
      <c r="EB140"/>
      <c r="ED140" s="410"/>
      <c r="EE140" s="1"/>
      <c r="EG140" s="410"/>
      <c r="EI140" s="410"/>
      <c r="EK140" s="1">
        <v>1000</v>
      </c>
      <c r="EL140" s="8" t="s">
        <v>323</v>
      </c>
      <c r="EM140"/>
      <c r="EQ140" s="344"/>
      <c r="EU140" s="344"/>
      <c r="EW140" s="409"/>
      <c r="EY140" s="1"/>
      <c r="FA140">
        <v>108</v>
      </c>
      <c r="FB140" t="s">
        <v>236</v>
      </c>
      <c r="FC140" s="7">
        <v>103.5857464582682</v>
      </c>
      <c r="FD140" s="357" t="s">
        <v>225</v>
      </c>
      <c r="FE140" s="8">
        <v>101.11137119549072</v>
      </c>
      <c r="FF140" t="s">
        <v>237</v>
      </c>
      <c r="FH140" s="9">
        <v>111.53213095598549</v>
      </c>
      <c r="FI140" s="9" t="s">
        <v>225</v>
      </c>
      <c r="FK140" t="s">
        <v>235</v>
      </c>
      <c r="FL140">
        <v>295</v>
      </c>
      <c r="FM140">
        <v>142.69212315793646</v>
      </c>
      <c r="FN140" s="419" t="s">
        <v>237</v>
      </c>
      <c r="FV140" s="8"/>
      <c r="FW140" s="8"/>
      <c r="FX140" s="8"/>
      <c r="GC140" s="7">
        <v>2.5000000000000001E-3</v>
      </c>
      <c r="GH140" s="7"/>
      <c r="GI140" s="441" t="s">
        <v>395</v>
      </c>
      <c r="GJ140" s="441" t="s">
        <v>395</v>
      </c>
      <c r="GK140" s="441" t="s">
        <v>395</v>
      </c>
      <c r="GL140" s="441" t="s">
        <v>395</v>
      </c>
      <c r="GM140" s="452" t="s">
        <v>230</v>
      </c>
      <c r="GN140" s="6" t="s">
        <v>395</v>
      </c>
      <c r="GO140" s="6" t="s">
        <v>395</v>
      </c>
      <c r="GP140" s="6" t="s">
        <v>395</v>
      </c>
      <c r="GQ140" s="6" t="s">
        <v>395</v>
      </c>
      <c r="GR140" s="6" t="s">
        <v>230</v>
      </c>
      <c r="GU140" t="s">
        <v>365</v>
      </c>
      <c r="GV140" t="s">
        <v>223</v>
      </c>
      <c r="GW140" t="s">
        <v>359</v>
      </c>
      <c r="GX140" t="s">
        <v>223</v>
      </c>
      <c r="GY140" t="s">
        <v>245</v>
      </c>
      <c r="HE140" t="s">
        <v>384</v>
      </c>
      <c r="HF140" t="s">
        <v>223</v>
      </c>
      <c r="HG140" t="s">
        <v>231</v>
      </c>
      <c r="HH140" t="s">
        <v>223</v>
      </c>
      <c r="HI140" t="s">
        <v>247</v>
      </c>
      <c r="HJ140" t="s">
        <v>223</v>
      </c>
      <c r="HK140" t="s">
        <v>266</v>
      </c>
      <c r="HO140" t="s">
        <v>231</v>
      </c>
      <c r="HP140" t="s">
        <v>223</v>
      </c>
      <c r="HQ140" t="s">
        <v>231</v>
      </c>
      <c r="HR140" t="s">
        <v>223</v>
      </c>
      <c r="HU140" t="s">
        <v>231</v>
      </c>
      <c r="HV140" t="s">
        <v>223</v>
      </c>
      <c r="HW140" t="s">
        <v>246</v>
      </c>
      <c r="HX140" t="s">
        <v>236</v>
      </c>
      <c r="IA140" t="s">
        <v>231</v>
      </c>
      <c r="IB140" t="s">
        <v>250</v>
      </c>
      <c r="IC140" t="s">
        <v>395</v>
      </c>
      <c r="ID140" t="s">
        <v>395</v>
      </c>
      <c r="IE140" t="s">
        <v>395</v>
      </c>
      <c r="IF140" t="s">
        <v>395</v>
      </c>
      <c r="IH140" t="s">
        <v>235</v>
      </c>
    </row>
    <row r="141" spans="1:242" x14ac:dyDescent="0.35">
      <c r="A141" s="310" t="s">
        <v>1027</v>
      </c>
      <c r="B141" t="s">
        <v>1028</v>
      </c>
      <c r="C141" s="310" t="s">
        <v>1029</v>
      </c>
      <c r="D141" s="316"/>
      <c r="F141" t="s">
        <v>1030</v>
      </c>
      <c r="I141" s="310" t="s">
        <v>1031</v>
      </c>
      <c r="M141" s="313"/>
      <c r="O141" t="s">
        <v>221</v>
      </c>
      <c r="P141" s="381"/>
      <c r="Q141" t="s">
        <v>221</v>
      </c>
      <c r="T141" s="8"/>
      <c r="U141" t="s">
        <v>221</v>
      </c>
      <c r="V141" s="313"/>
      <c r="W141" t="s">
        <v>220</v>
      </c>
      <c r="X141" t="s">
        <v>220</v>
      </c>
      <c r="Z141" t="s">
        <v>220</v>
      </c>
      <c r="AB141"/>
      <c r="AD141" s="8" t="s">
        <v>230</v>
      </c>
      <c r="AF141" s="8" t="s">
        <v>230</v>
      </c>
      <c r="AG141"/>
      <c r="AH141"/>
      <c r="AI141"/>
      <c r="AJ141" t="s">
        <v>221</v>
      </c>
      <c r="AK141">
        <v>0</v>
      </c>
      <c r="AL141">
        <v>1</v>
      </c>
      <c r="AM141" t="s">
        <v>221</v>
      </c>
      <c r="AN141" t="s">
        <v>249</v>
      </c>
      <c r="AO141" t="s">
        <v>224</v>
      </c>
      <c r="AP141"/>
      <c r="AQ141" t="s">
        <v>221</v>
      </c>
      <c r="AR141" t="s">
        <v>223</v>
      </c>
      <c r="AS141" t="s">
        <v>221</v>
      </c>
      <c r="AT141"/>
      <c r="AU141" t="s">
        <v>220</v>
      </c>
      <c r="AV141"/>
      <c r="AW141" s="313" t="s">
        <v>220</v>
      </c>
      <c r="AX141" t="s">
        <v>226</v>
      </c>
      <c r="AY141" s="313" t="s">
        <v>220</v>
      </c>
      <c r="AZ141" s="313">
        <v>0.314</v>
      </c>
      <c r="BB141" s="313" t="s">
        <v>220</v>
      </c>
      <c r="BC141">
        <v>0.224</v>
      </c>
      <c r="BD141" t="s">
        <v>220</v>
      </c>
      <c r="BE141">
        <v>0.151</v>
      </c>
      <c r="BF141" s="2" t="s">
        <v>220</v>
      </c>
      <c r="BH141" s="2" t="s">
        <v>228</v>
      </c>
      <c r="BI141" s="2" t="s">
        <v>424</v>
      </c>
      <c r="BM141"/>
      <c r="BP141" s="8"/>
      <c r="BQ141" t="s">
        <v>230</v>
      </c>
      <c r="BR141" t="s">
        <v>230</v>
      </c>
      <c r="BU141" t="s">
        <v>293</v>
      </c>
      <c r="BV141" t="s">
        <v>236</v>
      </c>
      <c r="BW141" t="s">
        <v>293</v>
      </c>
      <c r="BX141" t="s">
        <v>458</v>
      </c>
      <c r="BY141" t="s">
        <v>220</v>
      </c>
      <c r="BZ141">
        <v>0.495</v>
      </c>
      <c r="CA141" t="s">
        <v>234</v>
      </c>
      <c r="CF141" t="s">
        <v>220</v>
      </c>
      <c r="CG141">
        <v>0.499</v>
      </c>
      <c r="CH141" t="s">
        <v>220</v>
      </c>
      <c r="CI141">
        <v>0.35299999999999998</v>
      </c>
      <c r="CK141"/>
      <c r="CL141"/>
      <c r="CM141"/>
      <c r="CS141" s="8"/>
      <c r="CW141" t="s">
        <v>220</v>
      </c>
      <c r="CX141" t="s">
        <v>257</v>
      </c>
      <c r="CY141" t="s">
        <v>231</v>
      </c>
      <c r="CZ141" t="s">
        <v>227</v>
      </c>
      <c r="DA141" t="s">
        <v>227</v>
      </c>
      <c r="DB141" t="s">
        <v>227</v>
      </c>
      <c r="DC141"/>
      <c r="DD141"/>
      <c r="DE141"/>
      <c r="DF141"/>
      <c r="DG141"/>
      <c r="DH141" s="323"/>
      <c r="DI141" s="323"/>
      <c r="DJ141" s="323"/>
      <c r="DL141" t="s">
        <v>257</v>
      </c>
      <c r="DM141" t="s">
        <v>257</v>
      </c>
      <c r="DN141" t="s">
        <v>257</v>
      </c>
      <c r="DO141" t="s">
        <v>227</v>
      </c>
      <c r="DP141" t="s">
        <v>227</v>
      </c>
      <c r="DS141" s="309">
        <v>119.86499999999999</v>
      </c>
      <c r="DU141" s="309">
        <v>103.501</v>
      </c>
      <c r="DW141">
        <v>1320</v>
      </c>
      <c r="DX141" t="s">
        <v>267</v>
      </c>
      <c r="DY141">
        <v>44.5</v>
      </c>
      <c r="DZ141" t="s">
        <v>238</v>
      </c>
      <c r="EA141"/>
      <c r="EB141"/>
      <c r="ED141" s="410"/>
      <c r="EE141" s="1"/>
      <c r="EG141" s="410"/>
      <c r="EI141" s="410"/>
      <c r="EK141" s="1"/>
      <c r="EM141"/>
      <c r="EQ141" s="344"/>
      <c r="EU141" s="344"/>
      <c r="EW141" s="409"/>
      <c r="EY141" s="1"/>
      <c r="FA141">
        <v>9.17</v>
      </c>
      <c r="FB141" t="s">
        <v>223</v>
      </c>
      <c r="FC141" s="7">
        <v>40.644332916521293</v>
      </c>
      <c r="FD141" s="357" t="s">
        <v>225</v>
      </c>
      <c r="FE141" s="8">
        <v>44.998703387215066</v>
      </c>
      <c r="FF141" t="s">
        <v>237</v>
      </c>
      <c r="FH141" s="9">
        <v>55.513677743521157</v>
      </c>
      <c r="FI141" s="9" t="s">
        <v>225</v>
      </c>
      <c r="FJ141">
        <v>31.3</v>
      </c>
      <c r="FK141" t="s">
        <v>238</v>
      </c>
      <c r="FL141">
        <v>52</v>
      </c>
      <c r="FM141">
        <v>221.87072372089474</v>
      </c>
      <c r="FN141" s="5" t="s">
        <v>237</v>
      </c>
      <c r="FP141" s="6">
        <v>3.13</v>
      </c>
      <c r="FQ141" t="s">
        <v>450</v>
      </c>
      <c r="FS141" t="s">
        <v>240</v>
      </c>
      <c r="FU141" s="8">
        <v>1</v>
      </c>
      <c r="FV141" s="8">
        <v>10</v>
      </c>
      <c r="FW141" s="8">
        <v>10</v>
      </c>
      <c r="FX141" s="8">
        <v>10</v>
      </c>
      <c r="FY141" s="8">
        <v>3</v>
      </c>
      <c r="FZ141">
        <f t="shared" si="2"/>
        <v>3000</v>
      </c>
      <c r="GA141" s="7" t="s">
        <v>241</v>
      </c>
      <c r="GB141" s="7" t="s">
        <v>326</v>
      </c>
      <c r="GC141" s="6">
        <v>1.5</v>
      </c>
      <c r="GD141" s="348" t="s">
        <v>304</v>
      </c>
      <c r="GF141" s="6">
        <v>9.2522796239201937E-3</v>
      </c>
      <c r="GH141" s="7"/>
      <c r="GI141" s="441">
        <v>7.0000000000000007E-2</v>
      </c>
      <c r="GJ141" s="441">
        <v>0.13</v>
      </c>
      <c r="GK141" s="441">
        <v>0.20899999999999999</v>
      </c>
      <c r="GL141" s="441">
        <v>0.52200000000000002</v>
      </c>
      <c r="GM141" s="452" t="s">
        <v>262</v>
      </c>
      <c r="GN141" s="6">
        <v>0.01</v>
      </c>
      <c r="GO141" s="6">
        <v>1.8749999999999999E-2</v>
      </c>
      <c r="GP141" s="6">
        <v>0.03</v>
      </c>
      <c r="GQ141" s="6">
        <v>7.4999999999999997E-2</v>
      </c>
      <c r="GR141" s="6" t="s">
        <v>230</v>
      </c>
      <c r="GT141" t="s">
        <v>621</v>
      </c>
      <c r="GU141" t="s">
        <v>243</v>
      </c>
      <c r="GV141" t="s">
        <v>223</v>
      </c>
      <c r="GW141" t="s">
        <v>622</v>
      </c>
      <c r="GY141" t="s">
        <v>1032</v>
      </c>
      <c r="HE141" t="s">
        <v>246</v>
      </c>
      <c r="HF141" t="s">
        <v>236</v>
      </c>
      <c r="HG141" t="s">
        <v>231</v>
      </c>
      <c r="HH141" t="s">
        <v>223</v>
      </c>
      <c r="HI141" t="s">
        <v>247</v>
      </c>
      <c r="HJ141" t="s">
        <v>223</v>
      </c>
      <c r="HK141" t="s">
        <v>248</v>
      </c>
      <c r="HL141" t="s">
        <v>231</v>
      </c>
      <c r="HM141" t="s">
        <v>231</v>
      </c>
      <c r="HO141" t="s">
        <v>231</v>
      </c>
      <c r="HP141" t="s">
        <v>249</v>
      </c>
      <c r="HQ141" t="s">
        <v>231</v>
      </c>
      <c r="HR141" t="s">
        <v>249</v>
      </c>
      <c r="HU141" t="s">
        <v>231</v>
      </c>
      <c r="HV141" t="s">
        <v>223</v>
      </c>
      <c r="HW141" t="s">
        <v>246</v>
      </c>
      <c r="HX141" t="s">
        <v>236</v>
      </c>
      <c r="IA141" t="s">
        <v>231</v>
      </c>
      <c r="IB141" t="s">
        <v>250</v>
      </c>
      <c r="IC141">
        <v>7.0000000000000007E-2</v>
      </c>
      <c r="ID141">
        <v>0.13</v>
      </c>
      <c r="IE141">
        <v>0.20899999999999999</v>
      </c>
      <c r="IF141">
        <v>0.52200000000000002</v>
      </c>
      <c r="IH141" t="s">
        <v>267</v>
      </c>
    </row>
    <row r="142" spans="1:242" x14ac:dyDescent="0.35">
      <c r="A142" s="310" t="s">
        <v>1027</v>
      </c>
      <c r="B142" t="s">
        <v>1033</v>
      </c>
      <c r="C142" s="310" t="s">
        <v>1034</v>
      </c>
      <c r="D142" s="316"/>
      <c r="F142" t="s">
        <v>1035</v>
      </c>
      <c r="I142" s="310" t="s">
        <v>1036</v>
      </c>
      <c r="M142" s="313"/>
      <c r="O142" t="s">
        <v>221</v>
      </c>
      <c r="P142" s="383"/>
      <c r="Q142" t="s">
        <v>221</v>
      </c>
      <c r="T142" s="387"/>
      <c r="U142" t="s">
        <v>221</v>
      </c>
      <c r="V142" s="313"/>
      <c r="W142" t="s">
        <v>220</v>
      </c>
      <c r="X142" t="s">
        <v>220</v>
      </c>
      <c r="Z142" t="s">
        <v>220</v>
      </c>
      <c r="AB142"/>
      <c r="AD142" s="8" t="s">
        <v>230</v>
      </c>
      <c r="AF142" s="8" t="s">
        <v>230</v>
      </c>
      <c r="AG142"/>
      <c r="AH142"/>
      <c r="AI142"/>
      <c r="AJ142" t="s">
        <v>221</v>
      </c>
      <c r="AK142">
        <v>0</v>
      </c>
      <c r="AL142">
        <v>1</v>
      </c>
      <c r="AM142" t="s">
        <v>221</v>
      </c>
      <c r="AN142" t="s">
        <v>249</v>
      </c>
      <c r="AO142" t="s">
        <v>224</v>
      </c>
      <c r="AP142"/>
      <c r="AQ142" t="s">
        <v>221</v>
      </c>
      <c r="AR142" t="s">
        <v>223</v>
      </c>
      <c r="AS142" t="s">
        <v>221</v>
      </c>
      <c r="AT142"/>
      <c r="AU142" t="s">
        <v>220</v>
      </c>
      <c r="AV142"/>
      <c r="AW142" s="313" t="s">
        <v>220</v>
      </c>
      <c r="AX142" t="s">
        <v>226</v>
      </c>
      <c r="AY142" s="313" t="s">
        <v>220</v>
      </c>
      <c r="AZ142" s="313">
        <v>0.314</v>
      </c>
      <c r="BB142" s="313" t="s">
        <v>220</v>
      </c>
      <c r="BC142">
        <v>0.224</v>
      </c>
      <c r="BD142" t="s">
        <v>220</v>
      </c>
      <c r="BE142">
        <v>0.156</v>
      </c>
      <c r="BF142" s="2" t="s">
        <v>220</v>
      </c>
      <c r="BH142" s="2" t="s">
        <v>228</v>
      </c>
      <c r="BI142" s="2" t="s">
        <v>424</v>
      </c>
      <c r="BM142"/>
      <c r="BP142" s="8"/>
      <c r="BQ142" t="s">
        <v>230</v>
      </c>
      <c r="BR142" t="s">
        <v>230</v>
      </c>
      <c r="BU142" t="s">
        <v>293</v>
      </c>
      <c r="BV142" t="s">
        <v>236</v>
      </c>
      <c r="BW142" t="s">
        <v>293</v>
      </c>
      <c r="BX142" t="s">
        <v>458</v>
      </c>
      <c r="BY142" t="s">
        <v>257</v>
      </c>
      <c r="BZ142">
        <v>0.50800000000000001</v>
      </c>
      <c r="CA142" t="s">
        <v>234</v>
      </c>
      <c r="CF142" t="s">
        <v>220</v>
      </c>
      <c r="CG142">
        <v>0.28699999999999998</v>
      </c>
      <c r="CH142" t="s">
        <v>220</v>
      </c>
      <c r="CI142">
        <v>0.25600000000000001</v>
      </c>
      <c r="CK142"/>
      <c r="CL142"/>
      <c r="CM142"/>
      <c r="CS142" s="8"/>
      <c r="CW142" t="s">
        <v>220</v>
      </c>
      <c r="CX142" t="s">
        <v>220</v>
      </c>
      <c r="CY142" t="s">
        <v>231</v>
      </c>
      <c r="CZ142" t="s">
        <v>220</v>
      </c>
      <c r="DA142" t="s">
        <v>227</v>
      </c>
      <c r="DB142" t="s">
        <v>220</v>
      </c>
      <c r="DC142"/>
      <c r="DD142"/>
      <c r="DE142"/>
      <c r="DF142"/>
      <c r="DG142"/>
      <c r="DH142" s="323"/>
      <c r="DI142" s="323"/>
      <c r="DJ142" s="323"/>
      <c r="DL142" t="s">
        <v>257</v>
      </c>
      <c r="DM142" t="s">
        <v>257</v>
      </c>
      <c r="DN142" t="s">
        <v>257</v>
      </c>
      <c r="DO142" t="s">
        <v>227</v>
      </c>
      <c r="DP142" t="s">
        <v>227</v>
      </c>
      <c r="DS142" s="309">
        <v>118.29900000000001</v>
      </c>
      <c r="DU142" s="309">
        <v>141.601</v>
      </c>
      <c r="DW142"/>
      <c r="DX142"/>
      <c r="DY142">
        <v>66</v>
      </c>
      <c r="DZ142" t="s">
        <v>238</v>
      </c>
      <c r="EA142"/>
      <c r="EB142"/>
      <c r="ED142" s="410"/>
      <c r="EE142" s="1"/>
      <c r="EG142" s="410"/>
      <c r="EI142" s="410"/>
      <c r="EK142" s="1"/>
      <c r="EM142"/>
      <c r="EQ142" s="344"/>
      <c r="EU142" s="344"/>
      <c r="EW142" s="409"/>
      <c r="EY142" s="1"/>
      <c r="FA142">
        <v>9.17</v>
      </c>
      <c r="FB142" t="s">
        <v>223</v>
      </c>
      <c r="FC142" s="7">
        <v>48.663125607319913</v>
      </c>
      <c r="FD142" s="357" t="s">
        <v>225</v>
      </c>
      <c r="FE142" s="8">
        <v>44.998703387215066</v>
      </c>
      <c r="FF142" t="s">
        <v>237</v>
      </c>
      <c r="FH142" s="9">
        <v>173.98026980382883</v>
      </c>
      <c r="FI142" s="9" t="s">
        <v>223</v>
      </c>
      <c r="FJ142">
        <v>9.3000000000000007</v>
      </c>
      <c r="FK142" t="s">
        <v>238</v>
      </c>
      <c r="FL142">
        <v>52</v>
      </c>
      <c r="FM142">
        <v>221.87072372089474</v>
      </c>
      <c r="FN142" s="5" t="s">
        <v>237</v>
      </c>
      <c r="FP142" s="6">
        <v>0.93</v>
      </c>
      <c r="FQ142" t="s">
        <v>450</v>
      </c>
      <c r="FS142" t="s">
        <v>240</v>
      </c>
      <c r="FU142" s="8">
        <v>1</v>
      </c>
      <c r="FV142" s="8">
        <v>10</v>
      </c>
      <c r="FW142" s="8">
        <v>10</v>
      </c>
      <c r="FX142" s="8">
        <v>10</v>
      </c>
      <c r="FY142" s="8">
        <v>3</v>
      </c>
      <c r="FZ142">
        <f t="shared" si="2"/>
        <v>3000</v>
      </c>
      <c r="GA142" s="7" t="s">
        <v>241</v>
      </c>
      <c r="GB142" s="7" t="s">
        <v>326</v>
      </c>
      <c r="GC142" s="6">
        <v>1.5</v>
      </c>
      <c r="GD142" s="348" t="s">
        <v>304</v>
      </c>
      <c r="GF142" s="6">
        <v>3.0999999999999999E-3</v>
      </c>
      <c r="GH142" s="7"/>
      <c r="GI142" s="441">
        <v>2.1000000000000001E-2</v>
      </c>
      <c r="GJ142" s="441">
        <v>3.9E-2</v>
      </c>
      <c r="GK142" s="441">
        <v>6.2E-2</v>
      </c>
      <c r="GL142" s="441">
        <v>0.155</v>
      </c>
      <c r="GM142" s="452" t="s">
        <v>529</v>
      </c>
      <c r="GN142" s="6">
        <v>0.01</v>
      </c>
      <c r="GO142" s="6">
        <v>1.8749999999999999E-2</v>
      </c>
      <c r="GP142" s="6">
        <v>0.03</v>
      </c>
      <c r="GQ142" s="6">
        <v>7.4999999999999997E-2</v>
      </c>
      <c r="GR142" s="6" t="s">
        <v>230</v>
      </c>
      <c r="GT142" t="s">
        <v>621</v>
      </c>
      <c r="GU142" t="s">
        <v>243</v>
      </c>
      <c r="GV142" t="s">
        <v>223</v>
      </c>
      <c r="GW142" t="s">
        <v>622</v>
      </c>
      <c r="GY142" t="s">
        <v>1032</v>
      </c>
      <c r="HB142" t="s">
        <v>376</v>
      </c>
      <c r="HE142" t="s">
        <v>246</v>
      </c>
      <c r="HF142" t="s">
        <v>236</v>
      </c>
      <c r="HG142" t="s">
        <v>231</v>
      </c>
      <c r="HH142" t="s">
        <v>223</v>
      </c>
      <c r="HI142" t="s">
        <v>247</v>
      </c>
      <c r="HJ142" t="s">
        <v>249</v>
      </c>
      <c r="HK142" t="s">
        <v>248</v>
      </c>
      <c r="HL142" t="s">
        <v>231</v>
      </c>
      <c r="HM142" t="s">
        <v>231</v>
      </c>
      <c r="HO142" t="s">
        <v>231</v>
      </c>
      <c r="HP142" t="s">
        <v>249</v>
      </c>
      <c r="HQ142" t="s">
        <v>231</v>
      </c>
      <c r="HR142" t="s">
        <v>249</v>
      </c>
      <c r="HU142" t="s">
        <v>231</v>
      </c>
      <c r="HV142" t="s">
        <v>223</v>
      </c>
      <c r="HW142" t="s">
        <v>246</v>
      </c>
      <c r="HX142" t="s">
        <v>236</v>
      </c>
      <c r="IA142" t="s">
        <v>231</v>
      </c>
      <c r="IB142" t="s">
        <v>250</v>
      </c>
      <c r="IC142">
        <v>2.1000000000000001E-2</v>
      </c>
      <c r="ID142">
        <v>3.9E-2</v>
      </c>
      <c r="IE142">
        <v>6.2E-2</v>
      </c>
      <c r="IF142">
        <v>0.155</v>
      </c>
      <c r="IH142" t="s">
        <v>267</v>
      </c>
    </row>
    <row r="143" spans="1:242" x14ac:dyDescent="0.35">
      <c r="A143" s="310" t="s">
        <v>1027</v>
      </c>
      <c r="B143" t="s">
        <v>1037</v>
      </c>
      <c r="C143" s="310" t="s">
        <v>1038</v>
      </c>
      <c r="D143" s="316"/>
      <c r="F143" t="s">
        <v>1039</v>
      </c>
      <c r="I143" s="310" t="s">
        <v>1040</v>
      </c>
      <c r="M143" s="313"/>
      <c r="O143" t="s">
        <v>221</v>
      </c>
      <c r="P143" s="383"/>
      <c r="Q143" t="s">
        <v>221</v>
      </c>
      <c r="T143" s="387"/>
      <c r="U143" t="s">
        <v>221</v>
      </c>
      <c r="V143" s="313"/>
      <c r="W143" t="s">
        <v>220</v>
      </c>
      <c r="X143" t="s">
        <v>220</v>
      </c>
      <c r="Z143" t="s">
        <v>220</v>
      </c>
      <c r="AB143"/>
      <c r="AD143" s="8" t="s">
        <v>230</v>
      </c>
      <c r="AF143" s="8" t="s">
        <v>230</v>
      </c>
      <c r="AG143"/>
      <c r="AH143"/>
      <c r="AI143"/>
      <c r="AJ143" t="s">
        <v>221</v>
      </c>
      <c r="AK143">
        <v>0</v>
      </c>
      <c r="AL143">
        <v>1</v>
      </c>
      <c r="AM143" t="s">
        <v>221</v>
      </c>
      <c r="AN143" t="s">
        <v>249</v>
      </c>
      <c r="AO143" t="s">
        <v>224</v>
      </c>
      <c r="AP143"/>
      <c r="AQ143" t="s">
        <v>221</v>
      </c>
      <c r="AR143" t="s">
        <v>223</v>
      </c>
      <c r="AS143" t="s">
        <v>221</v>
      </c>
      <c r="AT143"/>
      <c r="AU143" t="s">
        <v>220</v>
      </c>
      <c r="AV143"/>
      <c r="AW143" s="313" t="s">
        <v>220</v>
      </c>
      <c r="AX143" t="s">
        <v>226</v>
      </c>
      <c r="AY143" s="313" t="s">
        <v>220</v>
      </c>
      <c r="AZ143" s="313">
        <v>0.314</v>
      </c>
      <c r="BB143" s="313" t="s">
        <v>220</v>
      </c>
      <c r="BC143">
        <v>0.224</v>
      </c>
      <c r="BD143" t="s">
        <v>220</v>
      </c>
      <c r="BE143">
        <v>0.222</v>
      </c>
      <c r="BF143" s="2" t="s">
        <v>220</v>
      </c>
      <c r="BH143" s="2" t="s">
        <v>228</v>
      </c>
      <c r="BI143" s="2" t="s">
        <v>424</v>
      </c>
      <c r="BM143"/>
      <c r="BO143" t="s">
        <v>220</v>
      </c>
      <c r="BP143" s="8"/>
      <c r="BQ143" t="s">
        <v>230</v>
      </c>
      <c r="BR143" t="s">
        <v>230</v>
      </c>
      <c r="BU143" t="s">
        <v>293</v>
      </c>
      <c r="BV143" t="s">
        <v>236</v>
      </c>
      <c r="BW143" t="s">
        <v>293</v>
      </c>
      <c r="BX143" t="s">
        <v>458</v>
      </c>
      <c r="BY143" t="s">
        <v>220</v>
      </c>
      <c r="BZ143">
        <v>0.50800000000000001</v>
      </c>
      <c r="CA143" t="s">
        <v>234</v>
      </c>
      <c r="CC143" t="s">
        <v>220</v>
      </c>
      <c r="CD143" t="s">
        <v>220</v>
      </c>
      <c r="CF143" t="s">
        <v>220</v>
      </c>
      <c r="CG143">
        <v>0.499</v>
      </c>
      <c r="CH143" t="s">
        <v>220</v>
      </c>
      <c r="CI143">
        <v>0.32</v>
      </c>
      <c r="CK143"/>
      <c r="CL143"/>
      <c r="CM143"/>
      <c r="CP143" t="s">
        <v>220</v>
      </c>
      <c r="CR143" t="s">
        <v>220</v>
      </c>
      <c r="CS143" s="8"/>
      <c r="CW143" t="s">
        <v>220</v>
      </c>
      <c r="CX143" t="s">
        <v>220</v>
      </c>
      <c r="CY143" t="s">
        <v>231</v>
      </c>
      <c r="CZ143" t="s">
        <v>220</v>
      </c>
      <c r="DA143" t="s">
        <v>227</v>
      </c>
      <c r="DB143" t="s">
        <v>220</v>
      </c>
      <c r="DC143"/>
      <c r="DD143"/>
      <c r="DE143"/>
      <c r="DF143"/>
      <c r="DG143"/>
      <c r="DH143" s="323"/>
      <c r="DI143" s="323"/>
      <c r="DJ143" s="323"/>
      <c r="DL143" t="s">
        <v>257</v>
      </c>
      <c r="DM143" t="s">
        <v>257</v>
      </c>
      <c r="DN143" t="s">
        <v>257</v>
      </c>
      <c r="DO143" t="s">
        <v>227</v>
      </c>
      <c r="DP143" t="s">
        <v>227</v>
      </c>
      <c r="DS143" s="309">
        <v>78.427999999999997</v>
      </c>
      <c r="DU143" s="309">
        <v>96.888999999999996</v>
      </c>
      <c r="DW143">
        <v>3510</v>
      </c>
      <c r="DX143" t="s">
        <v>267</v>
      </c>
      <c r="DY143">
        <v>109</v>
      </c>
      <c r="DZ143" t="s">
        <v>238</v>
      </c>
      <c r="EA143"/>
      <c r="EB143"/>
      <c r="ED143" s="410"/>
      <c r="EE143" s="1"/>
      <c r="EG143" s="410"/>
      <c r="EI143" s="410"/>
      <c r="EK143" s="1"/>
      <c r="EM143"/>
      <c r="EQ143" s="344"/>
      <c r="EU143" s="344"/>
      <c r="EW143" s="409"/>
      <c r="EY143" s="1"/>
      <c r="FA143">
        <v>9.17</v>
      </c>
      <c r="FB143" t="s">
        <v>223</v>
      </c>
      <c r="FC143" s="7">
        <v>73.417568989483129</v>
      </c>
      <c r="FD143" s="357" t="s">
        <v>225</v>
      </c>
      <c r="FE143" s="8">
        <v>29.998531811907949</v>
      </c>
      <c r="FF143" t="s">
        <v>237</v>
      </c>
      <c r="FH143" s="9">
        <v>141.51419329314302</v>
      </c>
      <c r="FI143" s="9" t="s">
        <v>225</v>
      </c>
      <c r="FJ143">
        <v>8.11</v>
      </c>
      <c r="FK143" t="s">
        <v>238</v>
      </c>
      <c r="FL143">
        <v>52</v>
      </c>
      <c r="FM143">
        <v>116.35900529847595</v>
      </c>
      <c r="FN143" s="5" t="s">
        <v>237</v>
      </c>
      <c r="FP143" s="6">
        <v>0.81099999999999994</v>
      </c>
      <c r="FQ143" t="s">
        <v>450</v>
      </c>
      <c r="FS143" t="s">
        <v>240</v>
      </c>
      <c r="FU143" s="8">
        <v>1</v>
      </c>
      <c r="FV143" s="8">
        <v>10</v>
      </c>
      <c r="FW143" s="8">
        <v>10</v>
      </c>
      <c r="FX143" s="8">
        <v>10</v>
      </c>
      <c r="FY143" s="8">
        <v>3</v>
      </c>
      <c r="FZ143">
        <f t="shared" si="2"/>
        <v>3000</v>
      </c>
      <c r="GA143" s="7" t="s">
        <v>241</v>
      </c>
      <c r="GB143" s="7" t="s">
        <v>326</v>
      </c>
      <c r="GC143" s="6">
        <v>1.5</v>
      </c>
      <c r="GD143" s="348" t="s">
        <v>304</v>
      </c>
      <c r="GF143" s="6">
        <v>2.7033333333333332E-3</v>
      </c>
      <c r="GH143" s="7"/>
      <c r="GI143" s="441">
        <v>1.7999999999999999E-2</v>
      </c>
      <c r="GJ143" s="441">
        <v>3.4000000000000002E-2</v>
      </c>
      <c r="GK143" s="441">
        <v>5.3999999999999999E-2</v>
      </c>
      <c r="GL143" s="441">
        <v>0.13500000000000001</v>
      </c>
      <c r="GM143" s="452" t="s">
        <v>262</v>
      </c>
      <c r="GN143" s="6">
        <v>0.01</v>
      </c>
      <c r="GO143" s="6">
        <v>1.8749999999999999E-2</v>
      </c>
      <c r="GP143" s="6">
        <v>0.03</v>
      </c>
      <c r="GQ143" s="6">
        <v>7.4999999999999997E-2</v>
      </c>
      <c r="GR143" s="6" t="s">
        <v>230</v>
      </c>
      <c r="GT143" t="s">
        <v>621</v>
      </c>
      <c r="GU143" t="s">
        <v>243</v>
      </c>
      <c r="GV143" t="s">
        <v>223</v>
      </c>
      <c r="GW143" t="s">
        <v>622</v>
      </c>
      <c r="GY143" t="s">
        <v>1032</v>
      </c>
      <c r="HE143" t="s">
        <v>246</v>
      </c>
      <c r="HF143" t="s">
        <v>236</v>
      </c>
      <c r="HG143" t="s">
        <v>231</v>
      </c>
      <c r="HH143" t="s">
        <v>223</v>
      </c>
      <c r="HI143" t="s">
        <v>247</v>
      </c>
      <c r="HJ143" t="s">
        <v>223</v>
      </c>
      <c r="HK143" t="s">
        <v>248</v>
      </c>
      <c r="HL143" t="s">
        <v>231</v>
      </c>
      <c r="HM143" t="s">
        <v>231</v>
      </c>
      <c r="HO143" t="s">
        <v>231</v>
      </c>
      <c r="HP143" t="s">
        <v>249</v>
      </c>
      <c r="HQ143" t="s">
        <v>231</v>
      </c>
      <c r="HR143" t="s">
        <v>249</v>
      </c>
      <c r="HU143" t="s">
        <v>231</v>
      </c>
      <c r="HV143" t="s">
        <v>223</v>
      </c>
      <c r="HW143" t="s">
        <v>246</v>
      </c>
      <c r="HX143" t="s">
        <v>236</v>
      </c>
      <c r="IA143" t="s">
        <v>231</v>
      </c>
      <c r="IB143" t="s">
        <v>250</v>
      </c>
      <c r="IC143">
        <v>1.7999999999999999E-2</v>
      </c>
      <c r="ID143">
        <v>3.4000000000000002E-2</v>
      </c>
      <c r="IE143">
        <v>5.3999999999999999E-2</v>
      </c>
      <c r="IF143">
        <v>0.13500000000000001</v>
      </c>
      <c r="IH143" t="s">
        <v>267</v>
      </c>
    </row>
    <row r="144" spans="1:242" x14ac:dyDescent="0.35">
      <c r="A144" s="310" t="s">
        <v>1041</v>
      </c>
      <c r="B144" s="313" t="s">
        <v>1042</v>
      </c>
      <c r="C144" s="310" t="s">
        <v>1043</v>
      </c>
      <c r="D144" s="316"/>
      <c r="F144" t="s">
        <v>1044</v>
      </c>
      <c r="I144" s="310" t="s">
        <v>1045</v>
      </c>
      <c r="M144" s="313" t="s">
        <v>220</v>
      </c>
      <c r="O144" t="s">
        <v>221</v>
      </c>
      <c r="P144" s="381"/>
      <c r="Q144" t="s">
        <v>221</v>
      </c>
      <c r="S144" t="s">
        <v>221</v>
      </c>
      <c r="T144" s="8"/>
      <c r="U144" t="s">
        <v>221</v>
      </c>
      <c r="V144" s="313"/>
      <c r="W144" t="s">
        <v>220</v>
      </c>
      <c r="X144" t="s">
        <v>220</v>
      </c>
      <c r="Z144" t="s">
        <v>220</v>
      </c>
      <c r="AB144"/>
      <c r="AD144" s="8" t="s">
        <v>222</v>
      </c>
      <c r="AF144" s="8" t="s">
        <v>222</v>
      </c>
      <c r="AG144"/>
      <c r="AH144" t="s">
        <v>312</v>
      </c>
      <c r="AI144"/>
      <c r="AJ144" t="s">
        <v>221</v>
      </c>
      <c r="AK144">
        <v>0</v>
      </c>
      <c r="AL144">
        <v>1</v>
      </c>
      <c r="AM144" t="s">
        <v>221</v>
      </c>
      <c r="AN144" t="s">
        <v>249</v>
      </c>
      <c r="AO144" t="s">
        <v>224</v>
      </c>
      <c r="AP144"/>
      <c r="AQ144" t="s">
        <v>221</v>
      </c>
      <c r="AR144"/>
      <c r="AS144" t="s">
        <v>221</v>
      </c>
      <c r="AT144"/>
      <c r="AU144" t="s">
        <v>220</v>
      </c>
      <c r="AV144"/>
      <c r="AW144" s="313" t="s">
        <v>220</v>
      </c>
      <c r="AX144" t="s">
        <v>226</v>
      </c>
      <c r="AY144" s="313" t="s">
        <v>220</v>
      </c>
      <c r="AZ144" s="313">
        <v>0.26300000000000001</v>
      </c>
      <c r="BB144" s="313" t="s">
        <v>220</v>
      </c>
      <c r="BC144">
        <v>8.6099999999999996E-2</v>
      </c>
      <c r="BD144" t="s">
        <v>220</v>
      </c>
      <c r="BE144">
        <v>0.24399999999999999</v>
      </c>
      <c r="BF144" s="2" t="s">
        <v>220</v>
      </c>
      <c r="BH144" s="2" t="s">
        <v>228</v>
      </c>
      <c r="BI144" s="2" t="s">
        <v>229</v>
      </c>
      <c r="BM144"/>
      <c r="BO144" t="s">
        <v>220</v>
      </c>
      <c r="BP144" s="8" t="s">
        <v>312</v>
      </c>
      <c r="BQ144" t="s">
        <v>222</v>
      </c>
      <c r="BR144" t="s">
        <v>222</v>
      </c>
      <c r="BS144" t="s">
        <v>255</v>
      </c>
      <c r="BU144" t="s">
        <v>231</v>
      </c>
      <c r="BV144" t="s">
        <v>225</v>
      </c>
      <c r="BW144" t="s">
        <v>232</v>
      </c>
      <c r="BX144" t="s">
        <v>256</v>
      </c>
      <c r="BY144" t="s">
        <v>220</v>
      </c>
      <c r="BZ144">
        <v>0.45500000000000002</v>
      </c>
      <c r="CA144" t="s">
        <v>234</v>
      </c>
      <c r="CF144" t="s">
        <v>257</v>
      </c>
      <c r="CG144">
        <v>0.54700000000000004</v>
      </c>
      <c r="CH144" t="s">
        <v>257</v>
      </c>
      <c r="CI144">
        <v>0.56000000000000005</v>
      </c>
      <c r="CK144" t="s">
        <v>220</v>
      </c>
      <c r="CL144"/>
      <c r="CM144" t="s">
        <v>231</v>
      </c>
      <c r="CN144" s="2" t="s">
        <v>312</v>
      </c>
      <c r="CS144" s="8"/>
      <c r="CW144" t="s">
        <v>220</v>
      </c>
      <c r="CX144" t="s">
        <v>220</v>
      </c>
      <c r="CY144" t="s">
        <v>231</v>
      </c>
      <c r="CZ144" t="s">
        <v>220</v>
      </c>
      <c r="DA144" t="s">
        <v>227</v>
      </c>
      <c r="DB144" t="s">
        <v>220</v>
      </c>
      <c r="DC144" t="s">
        <v>220</v>
      </c>
      <c r="DD144" t="s">
        <v>220</v>
      </c>
      <c r="DE144"/>
      <c r="DF144"/>
      <c r="DG144"/>
      <c r="DH144" s="323"/>
      <c r="DI144" s="323"/>
      <c r="DJ144" s="323"/>
      <c r="DL144" t="s">
        <v>220</v>
      </c>
      <c r="DM144" t="s">
        <v>220</v>
      </c>
      <c r="DN144" t="s">
        <v>257</v>
      </c>
      <c r="DO144" t="s">
        <v>220</v>
      </c>
      <c r="DP144" t="s">
        <v>220</v>
      </c>
      <c r="DQ144" s="330">
        <v>64.599999999999994</v>
      </c>
      <c r="DR144" s="330">
        <v>21900</v>
      </c>
      <c r="DS144" s="309">
        <v>305.92700000000002</v>
      </c>
      <c r="DU144" s="309">
        <v>87.391999999999996</v>
      </c>
      <c r="DW144"/>
      <c r="DX144" t="s">
        <v>235</v>
      </c>
      <c r="DY144"/>
      <c r="DZ144" t="s">
        <v>235</v>
      </c>
      <c r="EA144"/>
      <c r="EB144"/>
      <c r="ED144" s="410"/>
      <c r="EE144" s="1"/>
      <c r="EG144" s="410"/>
      <c r="EI144" s="410"/>
      <c r="EK144" s="1"/>
      <c r="EM144"/>
      <c r="EQ144" s="344"/>
      <c r="EU144" s="344"/>
      <c r="EW144" s="409"/>
      <c r="EY144" s="1">
        <v>90</v>
      </c>
      <c r="EZ144" s="9" t="s">
        <v>324</v>
      </c>
      <c r="FA144">
        <v>58.51</v>
      </c>
      <c r="FB144" t="s">
        <v>236</v>
      </c>
      <c r="FC144" s="7">
        <v>90.614980223199808</v>
      </c>
      <c r="FD144" s="357" t="s">
        <v>225</v>
      </c>
      <c r="FE144" s="8">
        <v>60.953689724016904</v>
      </c>
      <c r="FF144" t="s">
        <v>237</v>
      </c>
      <c r="FH144" s="9">
        <v>136.26991969948702</v>
      </c>
      <c r="FI144" s="9" t="s">
        <v>225</v>
      </c>
      <c r="FK144" t="s">
        <v>235</v>
      </c>
      <c r="FL144">
        <v>34.5</v>
      </c>
      <c r="FM144">
        <v>164.28578981372715</v>
      </c>
      <c r="FN144" s="5" t="s">
        <v>237</v>
      </c>
      <c r="FP144" s="6">
        <v>9</v>
      </c>
      <c r="FQ144" t="s">
        <v>260</v>
      </c>
      <c r="FS144" t="s">
        <v>261</v>
      </c>
      <c r="FU144" s="8">
        <v>1</v>
      </c>
      <c r="FV144" s="8">
        <v>10</v>
      </c>
      <c r="FW144" s="8">
        <v>10</v>
      </c>
      <c r="FX144" s="8">
        <v>10</v>
      </c>
      <c r="FY144" s="8">
        <v>3</v>
      </c>
      <c r="FZ144">
        <f t="shared" si="2"/>
        <v>3000</v>
      </c>
      <c r="GA144" s="7" t="s">
        <v>326</v>
      </c>
      <c r="GB144" s="7" t="s">
        <v>326</v>
      </c>
      <c r="GC144" s="6">
        <v>1.5</v>
      </c>
      <c r="GD144" s="348" t="s">
        <v>242</v>
      </c>
      <c r="GF144" s="6">
        <v>1.1500000000000002E-2</v>
      </c>
      <c r="GH144" s="7"/>
      <c r="GI144" s="441"/>
      <c r="GJ144" s="441"/>
      <c r="GK144" s="441"/>
      <c r="GL144" s="441"/>
      <c r="GM144" s="454"/>
      <c r="GN144" s="441"/>
      <c r="GO144" s="441"/>
      <c r="GP144" s="441"/>
      <c r="GQ144" s="441"/>
      <c r="GR144" s="441"/>
      <c r="GS144" s="441"/>
      <c r="GT144" s="441"/>
      <c r="GU144" s="441"/>
      <c r="GV144" s="441"/>
      <c r="GW144" s="441"/>
      <c r="GX144" s="441"/>
      <c r="GY144" s="441"/>
      <c r="GZ144" s="441"/>
      <c r="HA144" s="441"/>
      <c r="HB144" s="441"/>
      <c r="HC144" s="441"/>
      <c r="HD144" s="441"/>
      <c r="HE144" s="441"/>
      <c r="HF144" s="441"/>
      <c r="HG144" s="441"/>
      <c r="HH144" s="441"/>
      <c r="HI144" s="441"/>
      <c r="HJ144" s="441"/>
      <c r="HK144" s="441"/>
      <c r="HL144" s="441"/>
      <c r="HM144" s="441"/>
      <c r="HN144" s="441"/>
      <c r="HO144" s="441"/>
      <c r="HP144" s="441"/>
      <c r="HQ144" s="441"/>
      <c r="HR144" s="441"/>
      <c r="HS144" s="441"/>
      <c r="HT144" s="441"/>
      <c r="HU144" s="441"/>
      <c r="HV144" s="441"/>
      <c r="HW144" s="441"/>
      <c r="HX144" s="441"/>
      <c r="HY144" s="441"/>
      <c r="HZ144" s="441"/>
      <c r="IA144" s="441"/>
      <c r="IB144" s="441"/>
      <c r="IC144" s="441"/>
      <c r="ID144" s="441"/>
      <c r="IE144" s="441"/>
      <c r="IF144" s="441"/>
      <c r="IH144" t="s">
        <v>235</v>
      </c>
    </row>
    <row r="145" spans="1:242" ht="18" hidden="1" x14ac:dyDescent="0.35">
      <c r="A145" s="310" t="s">
        <v>1046</v>
      </c>
      <c r="B145" s="313" t="s">
        <v>1047</v>
      </c>
      <c r="C145" s="310" t="s">
        <v>1048</v>
      </c>
      <c r="D145" s="316"/>
      <c r="F145" t="s">
        <v>1049</v>
      </c>
      <c r="I145" s="310" t="s">
        <v>1050</v>
      </c>
      <c r="M145" s="313"/>
      <c r="O145"/>
      <c r="P145" s="381"/>
      <c r="Q145"/>
      <c r="S145" t="s">
        <v>221</v>
      </c>
      <c r="T145" s="8"/>
      <c r="U145" t="s">
        <v>221</v>
      </c>
      <c r="V145" s="313"/>
      <c r="W145" t="s">
        <v>301</v>
      </c>
      <c r="X145"/>
      <c r="Z145"/>
      <c r="AB145"/>
      <c r="AD145" s="8" t="s">
        <v>291</v>
      </c>
      <c r="AF145" s="8" t="s">
        <v>222</v>
      </c>
      <c r="AG145"/>
      <c r="AH145"/>
      <c r="AI145"/>
      <c r="AJ145" t="s">
        <v>221</v>
      </c>
      <c r="AK145">
        <v>0</v>
      </c>
      <c r="AL145">
        <v>1</v>
      </c>
      <c r="AM145" t="s">
        <v>414</v>
      </c>
      <c r="AN145" t="s">
        <v>236</v>
      </c>
      <c r="AO145" t="s">
        <v>414</v>
      </c>
      <c r="AP145" t="s">
        <v>236</v>
      </c>
      <c r="AQ145" t="s">
        <v>414</v>
      </c>
      <c r="AR145"/>
      <c r="AS145" t="s">
        <v>221</v>
      </c>
      <c r="AT145"/>
      <c r="AU145" t="s">
        <v>257</v>
      </c>
      <c r="AV145"/>
      <c r="AW145" s="313" t="s">
        <v>767</v>
      </c>
      <c r="AX145" t="s">
        <v>1051</v>
      </c>
      <c r="AY145" s="313" t="s">
        <v>257</v>
      </c>
      <c r="AZ145" s="313">
        <v>0.72399999999999998</v>
      </c>
      <c r="BB145" s="313" t="s">
        <v>257</v>
      </c>
      <c r="BC145">
        <v>0.65300000000000002</v>
      </c>
      <c r="BD145" t="s">
        <v>431</v>
      </c>
      <c r="BE145">
        <v>0.51</v>
      </c>
      <c r="BF145" s="2" t="s">
        <v>257</v>
      </c>
      <c r="BH145" s="2" t="s">
        <v>228</v>
      </c>
      <c r="BI145" s="2" t="s">
        <v>1026</v>
      </c>
      <c r="BM145"/>
      <c r="BO145" t="s">
        <v>257</v>
      </c>
      <c r="BP145" s="8"/>
      <c r="BQ145" t="s">
        <v>319</v>
      </c>
      <c r="BR145" t="s">
        <v>709</v>
      </c>
      <c r="BS145" t="s">
        <v>320</v>
      </c>
      <c r="BU145" t="s">
        <v>317</v>
      </c>
      <c r="BV145" t="s">
        <v>236</v>
      </c>
      <c r="BW145" t="s">
        <v>321</v>
      </c>
      <c r="BX145" t="s">
        <v>700</v>
      </c>
      <c r="BY145" t="s">
        <v>257</v>
      </c>
      <c r="BZ145">
        <v>0.623</v>
      </c>
      <c r="CA145" t="s">
        <v>372</v>
      </c>
      <c r="CF145" t="s">
        <v>227</v>
      </c>
      <c r="CG145">
        <v>0.55900000000000005</v>
      </c>
      <c r="CH145" t="s">
        <v>257</v>
      </c>
      <c r="CI145">
        <v>0.90200000000000002</v>
      </c>
      <c r="CK145"/>
      <c r="CL145"/>
      <c r="CM145" t="s">
        <v>231</v>
      </c>
      <c r="CP145" t="s">
        <v>257</v>
      </c>
      <c r="CQ145" t="s">
        <v>257</v>
      </c>
      <c r="CS145" s="8"/>
      <c r="CW145" t="s">
        <v>227</v>
      </c>
      <c r="CX145" t="s">
        <v>227</v>
      </c>
      <c r="CY145" t="s">
        <v>231</v>
      </c>
      <c r="CZ145" t="s">
        <v>257</v>
      </c>
      <c r="DA145" t="s">
        <v>257</v>
      </c>
      <c r="DB145" t="s">
        <v>220</v>
      </c>
      <c r="DC145" t="s">
        <v>257</v>
      </c>
      <c r="DD145" t="s">
        <v>257</v>
      </c>
      <c r="DE145" t="s">
        <v>257</v>
      </c>
      <c r="DF145"/>
      <c r="DG145"/>
      <c r="DH145" s="323"/>
      <c r="DI145" s="323"/>
      <c r="DJ145" s="323"/>
      <c r="DL145" t="s">
        <v>257</v>
      </c>
      <c r="DM145" t="s">
        <v>257</v>
      </c>
      <c r="DN145" t="s">
        <v>257</v>
      </c>
      <c r="DO145" t="s">
        <v>227</v>
      </c>
      <c r="DP145" t="s">
        <v>227</v>
      </c>
      <c r="DQ145" s="332" t="s">
        <v>1052</v>
      </c>
      <c r="DR145" s="332" t="s">
        <v>1053</v>
      </c>
      <c r="DS145" s="309">
        <v>284.53399999999999</v>
      </c>
      <c r="DU145" s="309">
        <v>103.95399999999999</v>
      </c>
      <c r="DW145"/>
      <c r="DX145" t="s">
        <v>235</v>
      </c>
      <c r="DY145"/>
      <c r="DZ145" t="s">
        <v>235</v>
      </c>
      <c r="EA145"/>
      <c r="EB145"/>
      <c r="ED145" s="410"/>
      <c r="EE145" s="1"/>
      <c r="EG145" s="410"/>
      <c r="EI145" s="410">
        <v>30</v>
      </c>
      <c r="EJ145" s="8" t="s">
        <v>259</v>
      </c>
      <c r="EK145" s="1"/>
      <c r="EM145"/>
      <c r="EN145" s="9">
        <v>59.310934749600001</v>
      </c>
      <c r="EQ145" s="344"/>
      <c r="EU145" s="344"/>
      <c r="EW145" s="409"/>
      <c r="EY145" s="1">
        <v>15</v>
      </c>
      <c r="EZ145" s="9" t="s">
        <v>324</v>
      </c>
      <c r="FA145">
        <v>47.41</v>
      </c>
      <c r="FB145" t="s">
        <v>236</v>
      </c>
      <c r="FC145" s="7">
        <v>45.050539892792386</v>
      </c>
      <c r="FD145" s="357" t="s">
        <v>236</v>
      </c>
      <c r="FE145" s="8">
        <v>5.9676040497234926</v>
      </c>
      <c r="FF145" t="s">
        <v>237</v>
      </c>
      <c r="FH145" s="9">
        <v>30.185613014198005</v>
      </c>
      <c r="FI145" s="9" t="s">
        <v>236</v>
      </c>
      <c r="FK145" t="s">
        <v>235</v>
      </c>
      <c r="FL145">
        <v>32.6</v>
      </c>
      <c r="FM145">
        <v>14.879899569860225</v>
      </c>
      <c r="FN145" s="419" t="s">
        <v>237</v>
      </c>
      <c r="FV145" s="8"/>
      <c r="FW145" s="8"/>
      <c r="FX145" s="8"/>
      <c r="GC145" s="7">
        <v>2.5000000000000001E-3</v>
      </c>
      <c r="GH145" s="7"/>
      <c r="GI145" s="441" t="s">
        <v>395</v>
      </c>
      <c r="GJ145" s="441" t="s">
        <v>395</v>
      </c>
      <c r="GK145" s="441" t="s">
        <v>395</v>
      </c>
      <c r="GL145" s="441" t="s">
        <v>395</v>
      </c>
      <c r="GM145" s="452" t="s">
        <v>230</v>
      </c>
      <c r="GN145" s="6" t="s">
        <v>395</v>
      </c>
      <c r="GO145" s="6" t="s">
        <v>395</v>
      </c>
      <c r="GP145" s="6" t="s">
        <v>395</v>
      </c>
      <c r="GQ145" s="6" t="s">
        <v>395</v>
      </c>
      <c r="GR145" s="6" t="s">
        <v>230</v>
      </c>
      <c r="GT145" t="s">
        <v>621</v>
      </c>
      <c r="GU145" t="s">
        <v>243</v>
      </c>
      <c r="GV145" t="s">
        <v>236</v>
      </c>
      <c r="GW145" t="s">
        <v>622</v>
      </c>
      <c r="GY145" t="s">
        <v>1054</v>
      </c>
      <c r="HE145" t="s">
        <v>246</v>
      </c>
      <c r="HF145" t="s">
        <v>236</v>
      </c>
      <c r="HG145" t="s">
        <v>231</v>
      </c>
      <c r="HH145" t="s">
        <v>236</v>
      </c>
      <c r="HI145" t="s">
        <v>247</v>
      </c>
      <c r="HJ145" t="s">
        <v>236</v>
      </c>
      <c r="HK145" t="s">
        <v>266</v>
      </c>
      <c r="HL145" t="s">
        <v>231</v>
      </c>
      <c r="HM145" t="s">
        <v>231</v>
      </c>
      <c r="HO145" t="s">
        <v>231</v>
      </c>
      <c r="HP145" t="s">
        <v>249</v>
      </c>
      <c r="HQ145" t="s">
        <v>231</v>
      </c>
      <c r="HR145" t="s">
        <v>249</v>
      </c>
      <c r="HU145" t="s">
        <v>231</v>
      </c>
      <c r="HV145" t="s">
        <v>236</v>
      </c>
      <c r="HW145" t="s">
        <v>246</v>
      </c>
      <c r="HX145" t="s">
        <v>236</v>
      </c>
      <c r="IA145" t="s">
        <v>231</v>
      </c>
      <c r="IB145" t="s">
        <v>250</v>
      </c>
      <c r="IC145" t="s">
        <v>395</v>
      </c>
      <c r="ID145" t="s">
        <v>395</v>
      </c>
      <c r="IE145" t="s">
        <v>395</v>
      </c>
      <c r="IF145" t="s">
        <v>395</v>
      </c>
      <c r="IH145" t="s">
        <v>235</v>
      </c>
    </row>
    <row r="146" spans="1:242" x14ac:dyDescent="0.35">
      <c r="A146" s="310" t="s">
        <v>1055</v>
      </c>
      <c r="B146" s="313" t="s">
        <v>1056</v>
      </c>
      <c r="C146" s="310" t="s">
        <v>1057</v>
      </c>
      <c r="D146" s="316"/>
      <c r="F146" t="s">
        <v>1058</v>
      </c>
      <c r="I146" s="310" t="s">
        <v>1059</v>
      </c>
      <c r="M146" s="313"/>
      <c r="O146" t="s">
        <v>221</v>
      </c>
      <c r="P146" s="381"/>
      <c r="Q146" t="s">
        <v>221</v>
      </c>
      <c r="T146" s="8"/>
      <c r="U146" t="s">
        <v>221</v>
      </c>
      <c r="V146" s="313"/>
      <c r="W146" t="s">
        <v>220</v>
      </c>
      <c r="X146" t="s">
        <v>220</v>
      </c>
      <c r="Z146" t="s">
        <v>220</v>
      </c>
      <c r="AB146"/>
      <c r="AD146" s="8" t="s">
        <v>222</v>
      </c>
      <c r="AF146" s="8" t="s">
        <v>222</v>
      </c>
      <c r="AG146"/>
      <c r="AH146"/>
      <c r="AI146"/>
      <c r="AJ146" t="s">
        <v>221</v>
      </c>
      <c r="AK146">
        <v>0</v>
      </c>
      <c r="AL146">
        <v>1</v>
      </c>
      <c r="AM146" t="s">
        <v>221</v>
      </c>
      <c r="AN146" t="s">
        <v>249</v>
      </c>
      <c r="AO146" t="s">
        <v>224</v>
      </c>
      <c r="AP146"/>
      <c r="AQ146" t="s">
        <v>221</v>
      </c>
      <c r="AR146" t="s">
        <v>236</v>
      </c>
      <c r="AS146" t="s">
        <v>221</v>
      </c>
      <c r="AT146"/>
      <c r="AU146" t="s">
        <v>220</v>
      </c>
      <c r="AV146"/>
      <c r="AW146" s="313" t="s">
        <v>220</v>
      </c>
      <c r="AX146" t="s">
        <v>226</v>
      </c>
      <c r="AY146" s="313" t="s">
        <v>220</v>
      </c>
      <c r="AZ146" s="313">
        <v>0.25800000000000001</v>
      </c>
      <c r="BB146" s="313" t="s">
        <v>220</v>
      </c>
      <c r="BC146">
        <v>0.12</v>
      </c>
      <c r="BD146" t="s">
        <v>220</v>
      </c>
      <c r="BE146">
        <v>0.25</v>
      </c>
      <c r="BF146" s="2" t="s">
        <v>220</v>
      </c>
      <c r="BH146" s="2" t="s">
        <v>228</v>
      </c>
      <c r="BI146" s="2" t="s">
        <v>229</v>
      </c>
      <c r="BM146"/>
      <c r="BP146" s="8"/>
      <c r="BQ146" t="s">
        <v>230</v>
      </c>
      <c r="BR146" t="s">
        <v>222</v>
      </c>
      <c r="BU146" t="s">
        <v>293</v>
      </c>
      <c r="BV146" t="s">
        <v>236</v>
      </c>
      <c r="BW146" t="s">
        <v>232</v>
      </c>
      <c r="BX146" t="s">
        <v>276</v>
      </c>
      <c r="BY146" t="s">
        <v>220</v>
      </c>
      <c r="BZ146">
        <v>0.46600000000000003</v>
      </c>
      <c r="CA146" t="s">
        <v>234</v>
      </c>
      <c r="CF146" t="s">
        <v>257</v>
      </c>
      <c r="CG146">
        <v>0.64900000000000002</v>
      </c>
      <c r="CH146" t="s">
        <v>257</v>
      </c>
      <c r="CI146">
        <v>0.69099999999999995</v>
      </c>
      <c r="CK146"/>
      <c r="CL146"/>
      <c r="CM146"/>
      <c r="CS146" s="8"/>
      <c r="CW146" t="s">
        <v>227</v>
      </c>
      <c r="CX146" t="s">
        <v>220</v>
      </c>
      <c r="CY146" t="s">
        <v>231</v>
      </c>
      <c r="CZ146" t="s">
        <v>220</v>
      </c>
      <c r="DA146" t="s">
        <v>220</v>
      </c>
      <c r="DB146" t="s">
        <v>227</v>
      </c>
      <c r="DC146"/>
      <c r="DD146"/>
      <c r="DE146"/>
      <c r="DF146"/>
      <c r="DG146"/>
      <c r="DH146" s="323"/>
      <c r="DI146" s="323"/>
      <c r="DJ146" s="323"/>
      <c r="DL146" t="s">
        <v>257</v>
      </c>
      <c r="DM146" t="s">
        <v>220</v>
      </c>
      <c r="DN146" t="s">
        <v>257</v>
      </c>
      <c r="DO146" t="s">
        <v>220</v>
      </c>
      <c r="DP146" t="s">
        <v>220</v>
      </c>
      <c r="DS146" s="309">
        <v>69.825999999999993</v>
      </c>
      <c r="DU146" s="309">
        <v>416.20800000000003</v>
      </c>
      <c r="DW146">
        <v>111</v>
      </c>
      <c r="DX146" t="s">
        <v>238</v>
      </c>
      <c r="DY146">
        <v>1890</v>
      </c>
      <c r="DZ146" t="s">
        <v>238</v>
      </c>
      <c r="EA146"/>
      <c r="EB146"/>
      <c r="ED146" s="410"/>
      <c r="EE146" s="1"/>
      <c r="EG146" s="410"/>
      <c r="EI146" s="410"/>
      <c r="EK146" s="1">
        <v>500</v>
      </c>
      <c r="EL146" s="8" t="s">
        <v>323</v>
      </c>
      <c r="EM146"/>
      <c r="EQ146" s="344"/>
      <c r="EU146" s="344"/>
      <c r="EW146" s="409"/>
      <c r="EY146" s="1"/>
      <c r="FA146">
        <v>57.63</v>
      </c>
      <c r="FB146" t="s">
        <v>236</v>
      </c>
      <c r="FC146" s="7">
        <v>136.3326887686346</v>
      </c>
      <c r="FD146" s="357" t="s">
        <v>225</v>
      </c>
      <c r="FE146" s="8">
        <v>56.26003525795435</v>
      </c>
      <c r="FF146" t="s">
        <v>237</v>
      </c>
      <c r="FH146" s="9">
        <v>182.09582976852775</v>
      </c>
      <c r="FI146" s="9" t="s">
        <v>225</v>
      </c>
      <c r="FJ146">
        <v>8.09</v>
      </c>
      <c r="FK146" t="s">
        <v>238</v>
      </c>
      <c r="FL146">
        <v>79.3</v>
      </c>
      <c r="FM146">
        <v>105.63309388106875</v>
      </c>
      <c r="FN146" s="5" t="s">
        <v>237</v>
      </c>
      <c r="FP146" s="6">
        <v>500</v>
      </c>
      <c r="FQ146" t="s">
        <v>260</v>
      </c>
      <c r="FS146" t="s">
        <v>261</v>
      </c>
      <c r="FU146" s="8">
        <v>1</v>
      </c>
      <c r="FV146" s="8">
        <v>10</v>
      </c>
      <c r="FW146" s="8">
        <v>10</v>
      </c>
      <c r="FX146" s="8">
        <v>1</v>
      </c>
      <c r="FY146" s="8">
        <v>1</v>
      </c>
      <c r="FZ146">
        <f t="shared" si="2"/>
        <v>100</v>
      </c>
      <c r="GA146" s="7" t="s">
        <v>241</v>
      </c>
      <c r="GB146" s="7" t="s">
        <v>241</v>
      </c>
      <c r="GC146" s="6">
        <v>30</v>
      </c>
      <c r="GD146" s="348" t="s">
        <v>242</v>
      </c>
      <c r="GF146" s="6">
        <v>8.09E-3</v>
      </c>
      <c r="GH146" s="7"/>
      <c r="GI146" s="441"/>
      <c r="GJ146" s="441"/>
      <c r="GK146" s="441"/>
      <c r="GL146" s="441"/>
      <c r="GM146" s="454"/>
      <c r="GN146" s="441"/>
      <c r="GO146" s="441"/>
      <c r="GP146" s="441"/>
      <c r="GQ146" s="441"/>
      <c r="GR146" s="441"/>
      <c r="GS146" s="441"/>
      <c r="GT146" s="441"/>
      <c r="GU146" s="441"/>
      <c r="GV146" s="441"/>
      <c r="GW146" s="441"/>
      <c r="GX146" s="441"/>
      <c r="GY146" s="441"/>
      <c r="GZ146" s="441"/>
      <c r="HA146" s="441"/>
      <c r="HB146" s="441"/>
      <c r="HC146" s="441"/>
      <c r="HD146" s="441"/>
      <c r="HE146" s="441"/>
      <c r="HF146" s="441"/>
      <c r="HG146" s="441"/>
      <c r="HH146" s="441"/>
      <c r="HI146" s="441"/>
      <c r="HJ146" s="441"/>
      <c r="HK146" s="441"/>
      <c r="HL146" s="441"/>
      <c r="HM146" s="441"/>
      <c r="HN146" s="441"/>
      <c r="HO146" s="441"/>
      <c r="HP146" s="441"/>
      <c r="HQ146" s="441"/>
      <c r="HR146" s="441"/>
      <c r="HS146" s="441"/>
      <c r="HT146" s="441"/>
      <c r="HU146" s="441"/>
      <c r="HV146" s="441"/>
      <c r="HW146" s="441"/>
      <c r="HX146" s="441"/>
      <c r="HY146" s="441"/>
      <c r="HZ146" s="441"/>
      <c r="IA146" s="441"/>
      <c r="IB146" s="441"/>
      <c r="IC146" s="441"/>
      <c r="ID146" s="441"/>
      <c r="IE146" s="441"/>
      <c r="IF146" s="441"/>
      <c r="IH146" t="s">
        <v>235</v>
      </c>
    </row>
    <row r="147" spans="1:242" ht="87" x14ac:dyDescent="0.35">
      <c r="A147" s="310" t="s">
        <v>1060</v>
      </c>
      <c r="B147" s="313" t="s">
        <v>1061</v>
      </c>
      <c r="C147" s="310" t="s">
        <v>1062</v>
      </c>
      <c r="D147" s="316"/>
      <c r="F147" t="s">
        <v>1063</v>
      </c>
      <c r="I147" s="310" t="s">
        <v>1064</v>
      </c>
      <c r="J147" t="s">
        <v>1065</v>
      </c>
      <c r="M147" s="313"/>
      <c r="O147"/>
      <c r="P147" s="381"/>
      <c r="Q147"/>
      <c r="T147" s="8"/>
      <c r="U147"/>
      <c r="V147" s="313"/>
      <c r="W147"/>
      <c r="X147"/>
      <c r="Z147"/>
      <c r="AB147"/>
      <c r="AD147" s="8" t="s">
        <v>230</v>
      </c>
      <c r="AF147" s="8" t="s">
        <v>230</v>
      </c>
      <c r="AG147"/>
      <c r="AH147"/>
      <c r="AI147"/>
      <c r="AJ147" t="s">
        <v>221</v>
      </c>
      <c r="AK147">
        <v>0.05</v>
      </c>
      <c r="AL147">
        <v>0.45</v>
      </c>
      <c r="AM147" t="s">
        <v>221</v>
      </c>
      <c r="AN147" t="s">
        <v>225</v>
      </c>
      <c r="AO147" t="s">
        <v>221</v>
      </c>
      <c r="AP147" t="s">
        <v>225</v>
      </c>
      <c r="AQ147" t="s">
        <v>414</v>
      </c>
      <c r="AR147" t="s">
        <v>236</v>
      </c>
      <c r="AS147" t="s">
        <v>221</v>
      </c>
      <c r="AT147" t="s">
        <v>225</v>
      </c>
      <c r="AU147" t="s">
        <v>220</v>
      </c>
      <c r="AV147"/>
      <c r="AW147" s="313" t="s">
        <v>220</v>
      </c>
      <c r="AX147" t="s">
        <v>226</v>
      </c>
      <c r="AY147" s="313" t="s">
        <v>220</v>
      </c>
      <c r="AZ147" s="313">
        <v>0.11899999999999999</v>
      </c>
      <c r="BB147" s="313" t="s">
        <v>220</v>
      </c>
      <c r="BC147">
        <v>6.0199999999999997E-2</v>
      </c>
      <c r="BD147" t="s">
        <v>220</v>
      </c>
      <c r="BE147">
        <v>0.34599999999999997</v>
      </c>
      <c r="BF147" s="2" t="s">
        <v>220</v>
      </c>
      <c r="BG147" s="2" t="s">
        <v>653</v>
      </c>
      <c r="BH147" s="2" t="s">
        <v>274</v>
      </c>
      <c r="BI147" s="2" t="s">
        <v>275</v>
      </c>
      <c r="BM147"/>
      <c r="BP147" s="8"/>
      <c r="BQ147" t="s">
        <v>230</v>
      </c>
      <c r="BR147" t="s">
        <v>230</v>
      </c>
      <c r="BU147" t="s">
        <v>317</v>
      </c>
      <c r="BV147" t="s">
        <v>225</v>
      </c>
      <c r="BW147" t="s">
        <v>232</v>
      </c>
      <c r="BX147" t="s">
        <v>276</v>
      </c>
      <c r="BY147" t="s">
        <v>220</v>
      </c>
      <c r="BZ147">
        <v>0.36599999999999999</v>
      </c>
      <c r="CA147" t="s">
        <v>372</v>
      </c>
      <c r="CF147" t="s">
        <v>220</v>
      </c>
      <c r="CG147">
        <v>0.33700000000000002</v>
      </c>
      <c r="CH147" t="s">
        <v>220</v>
      </c>
      <c r="CI147">
        <v>0.34499999999999997</v>
      </c>
      <c r="CK147"/>
      <c r="CL147"/>
      <c r="CM147"/>
      <c r="CS147" s="8"/>
      <c r="CW147" t="s">
        <v>227</v>
      </c>
      <c r="CX147" t="s">
        <v>220</v>
      </c>
      <c r="CY147" t="s">
        <v>231</v>
      </c>
      <c r="CZ147" t="s">
        <v>220</v>
      </c>
      <c r="DA147" t="s">
        <v>220</v>
      </c>
      <c r="DB147" t="s">
        <v>220</v>
      </c>
      <c r="DC147"/>
      <c r="DD147"/>
      <c r="DE147"/>
      <c r="DF147"/>
      <c r="DG147"/>
      <c r="DH147" s="323"/>
      <c r="DI147" s="323"/>
      <c r="DJ147" s="323"/>
      <c r="DL147" t="s">
        <v>257</v>
      </c>
      <c r="DM147" t="s">
        <v>220</v>
      </c>
      <c r="DN147" t="s">
        <v>257</v>
      </c>
      <c r="DO147" t="s">
        <v>227</v>
      </c>
      <c r="DP147" t="s">
        <v>227</v>
      </c>
      <c r="DS147" s="309">
        <v>203.374</v>
      </c>
      <c r="DU147" s="338">
        <v>151.55600000000001</v>
      </c>
      <c r="DV147" s="8" t="s">
        <v>394</v>
      </c>
      <c r="DW147"/>
      <c r="DX147" t="s">
        <v>235</v>
      </c>
      <c r="DY147"/>
      <c r="DZ147" t="s">
        <v>235</v>
      </c>
      <c r="EA147"/>
      <c r="EB147"/>
      <c r="ED147" s="410"/>
      <c r="EE147" s="1"/>
      <c r="EG147" s="410"/>
      <c r="EI147" s="410"/>
      <c r="EK147" s="1"/>
      <c r="EM147"/>
      <c r="EQ147" s="344"/>
      <c r="EU147" s="344"/>
      <c r="EW147" s="409"/>
      <c r="EY147" s="1"/>
      <c r="FA147">
        <v>49.18</v>
      </c>
      <c r="FB147" t="s">
        <v>225</v>
      </c>
      <c r="FC147" s="7">
        <v>72.011192024978982</v>
      </c>
      <c r="FD147" s="357" t="s">
        <v>236</v>
      </c>
      <c r="FE147" s="8">
        <v>6.3445379577571446</v>
      </c>
      <c r="FF147" t="s">
        <v>237</v>
      </c>
      <c r="FH147" s="9">
        <v>7.8252820506661207</v>
      </c>
      <c r="FI147" s="9" t="s">
        <v>225</v>
      </c>
      <c r="FK147" t="s">
        <v>235</v>
      </c>
      <c r="FL147">
        <v>82.6</v>
      </c>
      <c r="FM147">
        <v>10.814339512979386</v>
      </c>
      <c r="FN147" s="5" t="s">
        <v>237</v>
      </c>
      <c r="FP147" s="6">
        <v>0.54071697564896926</v>
      </c>
      <c r="FQ147" t="s">
        <v>277</v>
      </c>
      <c r="FS147" t="s">
        <v>240</v>
      </c>
      <c r="FU147" s="8">
        <v>2</v>
      </c>
      <c r="FV147" s="8">
        <v>10</v>
      </c>
      <c r="FW147" s="8">
        <v>10</v>
      </c>
      <c r="FX147" s="8">
        <v>10</v>
      </c>
      <c r="FY147" s="8">
        <v>3</v>
      </c>
      <c r="FZ147">
        <f t="shared" si="2"/>
        <v>6000</v>
      </c>
      <c r="GA147" s="7" t="s">
        <v>326</v>
      </c>
      <c r="GB147" s="7" t="s">
        <v>326</v>
      </c>
      <c r="GC147" s="6">
        <v>1.5</v>
      </c>
      <c r="GD147" s="348" t="s">
        <v>242</v>
      </c>
      <c r="GF147" s="6">
        <v>1.057422992959524E-2</v>
      </c>
      <c r="GH147" s="7"/>
      <c r="GI147" s="445"/>
      <c r="GJ147" s="445"/>
      <c r="GK147" s="445"/>
      <c r="GL147" s="445"/>
      <c r="GM147" s="460" t="s">
        <v>1066</v>
      </c>
      <c r="GN147" s="448"/>
      <c r="GO147" s="448"/>
      <c r="GP147" s="448"/>
      <c r="GQ147" s="448"/>
      <c r="GR147" s="460" t="s">
        <v>1066</v>
      </c>
      <c r="GU147" t="s">
        <v>365</v>
      </c>
      <c r="GV147" t="s">
        <v>223</v>
      </c>
      <c r="GW147" t="s">
        <v>244</v>
      </c>
      <c r="GX147" t="s">
        <v>236</v>
      </c>
      <c r="GY147" t="s">
        <v>245</v>
      </c>
      <c r="HE147" t="s">
        <v>384</v>
      </c>
      <c r="HF147" t="s">
        <v>223</v>
      </c>
      <c r="HG147" t="s">
        <v>231</v>
      </c>
      <c r="HH147" t="s">
        <v>223</v>
      </c>
      <c r="HI147" t="s">
        <v>247</v>
      </c>
      <c r="HJ147" t="s">
        <v>223</v>
      </c>
      <c r="HK147" t="s">
        <v>418</v>
      </c>
      <c r="HO147" t="s">
        <v>231</v>
      </c>
      <c r="HP147" t="s">
        <v>223</v>
      </c>
      <c r="HQ147" t="s">
        <v>231</v>
      </c>
      <c r="HR147" t="s">
        <v>223</v>
      </c>
      <c r="HU147" t="s">
        <v>231</v>
      </c>
      <c r="HV147" t="s">
        <v>223</v>
      </c>
      <c r="HW147" t="s">
        <v>246</v>
      </c>
      <c r="HX147" t="s">
        <v>236</v>
      </c>
      <c r="IA147" t="s">
        <v>231</v>
      </c>
      <c r="IB147" t="s">
        <v>250</v>
      </c>
      <c r="IC147" s="447"/>
      <c r="ID147" s="447"/>
      <c r="IE147" s="447"/>
      <c r="IF147" s="447"/>
      <c r="IG147" s="459" t="s">
        <v>451</v>
      </c>
      <c r="IH147" t="s">
        <v>235</v>
      </c>
    </row>
    <row r="148" spans="1:242" hidden="1" x14ac:dyDescent="0.35">
      <c r="A148" s="310" t="s">
        <v>1067</v>
      </c>
      <c r="B148" s="313" t="s">
        <v>1068</v>
      </c>
      <c r="C148" s="310" t="s">
        <v>1069</v>
      </c>
      <c r="D148" s="316"/>
      <c r="F148" t="s">
        <v>1070</v>
      </c>
      <c r="I148" s="310" t="s">
        <v>1071</v>
      </c>
      <c r="M148" s="313"/>
      <c r="O148"/>
      <c r="P148" s="381"/>
      <c r="Q148"/>
      <c r="T148" s="8"/>
      <c r="U148"/>
      <c r="V148" s="313"/>
      <c r="W148"/>
      <c r="X148"/>
      <c r="Z148"/>
      <c r="AB148"/>
      <c r="AD148" s="8" t="s">
        <v>230</v>
      </c>
      <c r="AF148" s="8" t="s">
        <v>230</v>
      </c>
      <c r="AG148"/>
      <c r="AH148"/>
      <c r="AI148"/>
      <c r="AJ148" t="s">
        <v>414</v>
      </c>
      <c r="AK148">
        <v>0.1</v>
      </c>
      <c r="AL148">
        <v>0.1</v>
      </c>
      <c r="AM148" t="s">
        <v>414</v>
      </c>
      <c r="AN148" t="s">
        <v>236</v>
      </c>
      <c r="AO148" t="s">
        <v>224</v>
      </c>
      <c r="AP148" t="s">
        <v>236</v>
      </c>
      <c r="AQ148" t="s">
        <v>221</v>
      </c>
      <c r="AR148" t="s">
        <v>236</v>
      </c>
      <c r="AS148" t="s">
        <v>414</v>
      </c>
      <c r="AT148" t="s">
        <v>236</v>
      </c>
      <c r="AU148" t="s">
        <v>257</v>
      </c>
      <c r="AV148"/>
      <c r="AW148" s="313" t="s">
        <v>257</v>
      </c>
      <c r="AX148" t="s">
        <v>1072</v>
      </c>
      <c r="AY148" s="313" t="s">
        <v>431</v>
      </c>
      <c r="AZ148" s="313">
        <v>0.54100000000000004</v>
      </c>
      <c r="BB148" s="313" t="s">
        <v>220</v>
      </c>
      <c r="BC148">
        <v>0.31</v>
      </c>
      <c r="BD148" t="s">
        <v>227</v>
      </c>
      <c r="BE148">
        <v>0.33100000000000002</v>
      </c>
      <c r="BF148" s="2" t="s">
        <v>257</v>
      </c>
      <c r="BG148" s="2" t="s">
        <v>230</v>
      </c>
      <c r="BH148" s="2" t="s">
        <v>274</v>
      </c>
      <c r="BI148" s="2" t="s">
        <v>432</v>
      </c>
      <c r="BM148"/>
      <c r="BP148" s="8"/>
      <c r="BQ148" t="s">
        <v>230</v>
      </c>
      <c r="BR148" t="s">
        <v>230</v>
      </c>
      <c r="BU148" t="s">
        <v>293</v>
      </c>
      <c r="BV148" t="s">
        <v>236</v>
      </c>
      <c r="BW148" t="s">
        <v>293</v>
      </c>
      <c r="BX148" t="s">
        <v>458</v>
      </c>
      <c r="BY148" t="s">
        <v>227</v>
      </c>
      <c r="BZ148">
        <v>0.64700000000000002</v>
      </c>
      <c r="CA148" t="s">
        <v>372</v>
      </c>
      <c r="CF148" t="s">
        <v>227</v>
      </c>
      <c r="CG148">
        <v>0.58599999999999997</v>
      </c>
      <c r="CH148" t="s">
        <v>227</v>
      </c>
      <c r="CI148">
        <v>0.67</v>
      </c>
      <c r="CK148"/>
      <c r="CL148"/>
      <c r="CM148"/>
      <c r="CS148" s="8"/>
      <c r="CW148" t="s">
        <v>227</v>
      </c>
      <c r="CX148" t="s">
        <v>227</v>
      </c>
      <c r="CY148" t="s">
        <v>231</v>
      </c>
      <c r="CZ148" t="s">
        <v>227</v>
      </c>
      <c r="DA148" t="s">
        <v>227</v>
      </c>
      <c r="DB148" t="s">
        <v>227</v>
      </c>
      <c r="DC148"/>
      <c r="DD148"/>
      <c r="DE148"/>
      <c r="DF148"/>
      <c r="DG148"/>
      <c r="DH148" s="323"/>
      <c r="DI148" s="323"/>
      <c r="DJ148" s="323"/>
      <c r="DL148" t="s">
        <v>227</v>
      </c>
      <c r="DM148" t="s">
        <v>227</v>
      </c>
      <c r="DN148" t="s">
        <v>227</v>
      </c>
      <c r="DO148" t="s">
        <v>227</v>
      </c>
      <c r="DP148" t="s">
        <v>227</v>
      </c>
      <c r="DS148" s="309">
        <v>102.48699999999999</v>
      </c>
      <c r="DU148" s="309">
        <v>194.929</v>
      </c>
      <c r="DW148"/>
      <c r="DX148" t="s">
        <v>235</v>
      </c>
      <c r="DY148"/>
      <c r="DZ148" t="s">
        <v>235</v>
      </c>
      <c r="EA148"/>
      <c r="EB148"/>
      <c r="ED148" s="410"/>
      <c r="EE148" s="1"/>
      <c r="EG148" s="410"/>
      <c r="EI148" s="410"/>
      <c r="EK148" s="1"/>
      <c r="EM148"/>
      <c r="EQ148" s="344"/>
      <c r="EU148" s="344"/>
      <c r="EW148" s="409"/>
      <c r="EY148" s="1"/>
      <c r="FA148">
        <v>165.08</v>
      </c>
      <c r="FB148" t="s">
        <v>236</v>
      </c>
      <c r="FC148" s="7">
        <v>139.37985231128258</v>
      </c>
      <c r="FD148" s="357" t="s">
        <v>236</v>
      </c>
      <c r="FE148" s="8">
        <v>120.53134420984212</v>
      </c>
      <c r="FF148" t="s">
        <v>237</v>
      </c>
      <c r="FH148" s="9">
        <v>84.937602857969196</v>
      </c>
      <c r="FI148" s="9" t="s">
        <v>236</v>
      </c>
      <c r="FJ148">
        <v>1.63</v>
      </c>
      <c r="FK148" t="s">
        <v>238</v>
      </c>
      <c r="FL148">
        <v>72.900000000000006</v>
      </c>
      <c r="FM148">
        <v>168.38368126872305</v>
      </c>
      <c r="FN148" s="419" t="s">
        <v>237</v>
      </c>
      <c r="FV148" s="8"/>
      <c r="FW148" s="8"/>
      <c r="FX148" s="8"/>
      <c r="GC148" s="7">
        <v>2.5000000000000001E-3</v>
      </c>
      <c r="GH148" s="7"/>
      <c r="GI148" s="441" t="s">
        <v>395</v>
      </c>
      <c r="GJ148" s="441" t="s">
        <v>395</v>
      </c>
      <c r="GK148" s="441" t="s">
        <v>395</v>
      </c>
      <c r="GL148" s="441" t="s">
        <v>395</v>
      </c>
      <c r="GM148" s="452" t="s">
        <v>230</v>
      </c>
      <c r="GN148" s="6" t="s">
        <v>395</v>
      </c>
      <c r="GO148" s="6" t="s">
        <v>395</v>
      </c>
      <c r="GP148" s="6" t="s">
        <v>395</v>
      </c>
      <c r="GQ148" s="6" t="s">
        <v>395</v>
      </c>
      <c r="GR148" s="6" t="s">
        <v>230</v>
      </c>
      <c r="GU148" t="s">
        <v>365</v>
      </c>
      <c r="GV148" t="s">
        <v>236</v>
      </c>
      <c r="GW148" t="s">
        <v>359</v>
      </c>
      <c r="GX148" t="s">
        <v>225</v>
      </c>
      <c r="GY148" t="s">
        <v>245</v>
      </c>
      <c r="HE148" t="s">
        <v>384</v>
      </c>
      <c r="HF148" t="s">
        <v>225</v>
      </c>
      <c r="HG148" t="s">
        <v>231</v>
      </c>
      <c r="HH148" t="s">
        <v>225</v>
      </c>
      <c r="HI148" t="s">
        <v>247</v>
      </c>
      <c r="HJ148" t="s">
        <v>225</v>
      </c>
      <c r="HK148" t="s">
        <v>248</v>
      </c>
      <c r="HO148" t="s">
        <v>231</v>
      </c>
      <c r="HP148" t="s">
        <v>223</v>
      </c>
      <c r="HQ148" t="s">
        <v>231</v>
      </c>
      <c r="HR148" t="s">
        <v>223</v>
      </c>
      <c r="HU148" t="s">
        <v>231</v>
      </c>
      <c r="HV148" t="s">
        <v>236</v>
      </c>
      <c r="HW148" t="s">
        <v>246</v>
      </c>
      <c r="HX148" t="s">
        <v>236</v>
      </c>
      <c r="IA148" t="s">
        <v>231</v>
      </c>
      <c r="IB148" t="s">
        <v>250</v>
      </c>
      <c r="IC148" t="s">
        <v>395</v>
      </c>
      <c r="ID148" t="s">
        <v>395</v>
      </c>
      <c r="IE148" t="s">
        <v>395</v>
      </c>
      <c r="IF148" t="s">
        <v>395</v>
      </c>
      <c r="IH148" t="s">
        <v>235</v>
      </c>
    </row>
    <row r="149" spans="1:242" x14ac:dyDescent="0.35">
      <c r="A149" s="310" t="s">
        <v>1073</v>
      </c>
      <c r="B149" s="313" t="s">
        <v>1074</v>
      </c>
      <c r="C149" s="310" t="s">
        <v>1075</v>
      </c>
      <c r="D149" s="316"/>
      <c r="F149" t="s">
        <v>1076</v>
      </c>
      <c r="I149" s="310" t="s">
        <v>1077</v>
      </c>
      <c r="M149" s="313"/>
      <c r="O149"/>
      <c r="P149" s="381"/>
      <c r="Q149"/>
      <c r="T149" s="8"/>
      <c r="U149"/>
      <c r="V149" s="313"/>
      <c r="W149"/>
      <c r="X149"/>
      <c r="Z149"/>
      <c r="AB149"/>
      <c r="AD149" s="8" t="s">
        <v>230</v>
      </c>
      <c r="AF149" s="8" t="s">
        <v>230</v>
      </c>
      <c r="AG149"/>
      <c r="AH149"/>
      <c r="AI149"/>
      <c r="AJ149" t="s">
        <v>221</v>
      </c>
      <c r="AK149">
        <v>0</v>
      </c>
      <c r="AL149">
        <v>0.9</v>
      </c>
      <c r="AM149" t="s">
        <v>221</v>
      </c>
      <c r="AN149" t="s">
        <v>223</v>
      </c>
      <c r="AO149" t="s">
        <v>221</v>
      </c>
      <c r="AP149" t="s">
        <v>223</v>
      </c>
      <c r="AQ149" t="s">
        <v>221</v>
      </c>
      <c r="AR149" t="s">
        <v>223</v>
      </c>
      <c r="AS149" t="s">
        <v>221</v>
      </c>
      <c r="AT149" t="s">
        <v>223</v>
      </c>
      <c r="AU149" t="s">
        <v>272</v>
      </c>
      <c r="AV149"/>
      <c r="AW149" s="313" t="s">
        <v>227</v>
      </c>
      <c r="AX149" t="s">
        <v>226</v>
      </c>
      <c r="AY149" s="313" t="s">
        <v>227</v>
      </c>
      <c r="AZ149" s="313">
        <v>0.34</v>
      </c>
      <c r="BB149" s="313" t="s">
        <v>227</v>
      </c>
      <c r="BC149">
        <v>0.218</v>
      </c>
      <c r="BD149" t="s">
        <v>227</v>
      </c>
      <c r="BE149">
        <v>0.151</v>
      </c>
      <c r="BF149" s="2" t="s">
        <v>220</v>
      </c>
      <c r="BG149" s="2" t="s">
        <v>273</v>
      </c>
      <c r="BH149" s="2" t="s">
        <v>274</v>
      </c>
      <c r="BI149" s="2" t="s">
        <v>275</v>
      </c>
      <c r="BM149"/>
      <c r="BP149" s="8"/>
      <c r="BQ149" t="s">
        <v>230</v>
      </c>
      <c r="BR149" t="s">
        <v>230</v>
      </c>
      <c r="BU149" t="s">
        <v>231</v>
      </c>
      <c r="BV149" t="s">
        <v>223</v>
      </c>
      <c r="BW149" t="s">
        <v>232</v>
      </c>
      <c r="BX149" t="s">
        <v>276</v>
      </c>
      <c r="BY149" t="s">
        <v>227</v>
      </c>
      <c r="BZ149">
        <v>0.61099999999999999</v>
      </c>
      <c r="CA149" t="s">
        <v>234</v>
      </c>
      <c r="CF149" t="s">
        <v>227</v>
      </c>
      <c r="CG149">
        <v>0.379</v>
      </c>
      <c r="CH149" t="s">
        <v>227</v>
      </c>
      <c r="CI149">
        <v>0.46400000000000002</v>
      </c>
      <c r="CK149"/>
      <c r="CL149"/>
      <c r="CM149"/>
      <c r="CS149" s="8"/>
      <c r="CW149" t="s">
        <v>227</v>
      </c>
      <c r="CX149" t="s">
        <v>227</v>
      </c>
      <c r="CY149" t="s">
        <v>231</v>
      </c>
      <c r="CZ149" t="s">
        <v>227</v>
      </c>
      <c r="DA149" t="s">
        <v>227</v>
      </c>
      <c r="DB149" t="s">
        <v>227</v>
      </c>
      <c r="DC149"/>
      <c r="DD149"/>
      <c r="DE149"/>
      <c r="DF149"/>
      <c r="DG149"/>
      <c r="DH149" s="323"/>
      <c r="DI149" s="323"/>
      <c r="DJ149" s="323"/>
      <c r="DL149" t="s">
        <v>227</v>
      </c>
      <c r="DM149" t="s">
        <v>227</v>
      </c>
      <c r="DN149" t="s">
        <v>227</v>
      </c>
      <c r="DO149" t="s">
        <v>227</v>
      </c>
      <c r="DP149" t="s">
        <v>227</v>
      </c>
      <c r="DS149" s="309">
        <v>446.83699999999999</v>
      </c>
      <c r="DU149" s="309">
        <v>196.113</v>
      </c>
      <c r="DW149"/>
      <c r="DX149" t="s">
        <v>235</v>
      </c>
      <c r="DY149"/>
      <c r="DZ149" t="s">
        <v>235</v>
      </c>
      <c r="EA149"/>
      <c r="EB149"/>
      <c r="ED149" s="410"/>
      <c r="EE149" s="1"/>
      <c r="EG149" s="410"/>
      <c r="EI149" s="410"/>
      <c r="EK149" s="1"/>
      <c r="EM149"/>
      <c r="EQ149" s="344"/>
      <c r="EU149" s="344"/>
      <c r="EW149" s="409"/>
      <c r="EY149" s="1"/>
      <c r="FA149">
        <v>32.49</v>
      </c>
      <c r="FB149" t="s">
        <v>225</v>
      </c>
      <c r="FC149" s="7">
        <v>170.1374815899199</v>
      </c>
      <c r="FD149" s="357" t="s">
        <v>225</v>
      </c>
      <c r="FE149" s="8">
        <v>29.888216469593768</v>
      </c>
      <c r="FF149" t="s">
        <v>237</v>
      </c>
      <c r="FH149" s="9">
        <v>54.95408738576247</v>
      </c>
      <c r="FI149" s="9" t="s">
        <v>225</v>
      </c>
      <c r="FK149" t="s">
        <v>235</v>
      </c>
      <c r="FL149">
        <v>29.2</v>
      </c>
      <c r="FM149">
        <v>116.49304569904538</v>
      </c>
      <c r="FN149" s="5" t="s">
        <v>237</v>
      </c>
      <c r="FP149" s="6">
        <v>2.92</v>
      </c>
      <c r="FQ149" t="s">
        <v>239</v>
      </c>
      <c r="FS149" t="s">
        <v>240</v>
      </c>
      <c r="FU149" s="8">
        <v>1</v>
      </c>
      <c r="FV149" s="8">
        <v>10</v>
      </c>
      <c r="FW149" s="8">
        <v>10</v>
      </c>
      <c r="FX149" s="8">
        <v>10</v>
      </c>
      <c r="FY149" s="8">
        <v>3</v>
      </c>
      <c r="FZ149">
        <f t="shared" si="2"/>
        <v>3000</v>
      </c>
      <c r="GA149" s="7" t="s">
        <v>241</v>
      </c>
      <c r="GB149" s="7" t="s">
        <v>241</v>
      </c>
      <c r="GC149" s="6">
        <v>30</v>
      </c>
      <c r="GD149" s="348" t="s">
        <v>242</v>
      </c>
      <c r="GF149" s="6">
        <v>9.7333333333333334E-3</v>
      </c>
      <c r="GH149" s="7"/>
      <c r="GI149" s="445"/>
      <c r="GJ149" s="445"/>
      <c r="GK149" s="445"/>
      <c r="GL149" s="445"/>
      <c r="GM149" s="453"/>
      <c r="GN149" s="6">
        <v>0.2</v>
      </c>
      <c r="GO149" s="6">
        <v>0.375</v>
      </c>
      <c r="GP149" s="6">
        <v>0.6</v>
      </c>
      <c r="GQ149" s="6">
        <v>1.5</v>
      </c>
      <c r="GR149" s="6" t="s">
        <v>230</v>
      </c>
      <c r="GU149" t="s">
        <v>243</v>
      </c>
      <c r="GV149" t="s">
        <v>236</v>
      </c>
      <c r="GW149" t="s">
        <v>244</v>
      </c>
      <c r="GX149" t="s">
        <v>236</v>
      </c>
      <c r="GY149" t="s">
        <v>245</v>
      </c>
      <c r="HE149" t="s">
        <v>246</v>
      </c>
      <c r="HF149" t="s">
        <v>236</v>
      </c>
      <c r="HG149" t="s">
        <v>231</v>
      </c>
      <c r="HH149" t="s">
        <v>223</v>
      </c>
      <c r="HI149" t="s">
        <v>247</v>
      </c>
      <c r="HJ149" t="s">
        <v>223</v>
      </c>
      <c r="HK149" t="s">
        <v>248</v>
      </c>
      <c r="HO149" t="s">
        <v>231</v>
      </c>
      <c r="HP149" t="s">
        <v>223</v>
      </c>
      <c r="HQ149" t="s">
        <v>231</v>
      </c>
      <c r="HR149" t="s">
        <v>223</v>
      </c>
      <c r="HU149" t="s">
        <v>231</v>
      </c>
      <c r="HV149" t="s">
        <v>223</v>
      </c>
      <c r="HW149" t="s">
        <v>246</v>
      </c>
      <c r="HX149" t="s">
        <v>236</v>
      </c>
      <c r="IA149" t="s">
        <v>231</v>
      </c>
      <c r="IB149" t="s">
        <v>250</v>
      </c>
      <c r="IC149" s="447"/>
      <c r="ID149" s="447"/>
      <c r="IE149" s="447"/>
      <c r="IF149" s="447"/>
      <c r="IH149" t="s">
        <v>235</v>
      </c>
    </row>
    <row r="150" spans="1:242" x14ac:dyDescent="0.35">
      <c r="A150" s="310" t="s">
        <v>1078</v>
      </c>
      <c r="B150" s="313" t="s">
        <v>1079</v>
      </c>
      <c r="C150" s="310" t="s">
        <v>1080</v>
      </c>
      <c r="D150" s="316"/>
      <c r="F150" t="s">
        <v>1081</v>
      </c>
      <c r="I150" s="310" t="s">
        <v>1082</v>
      </c>
      <c r="M150" s="313" t="s">
        <v>220</v>
      </c>
      <c r="O150" t="s">
        <v>221</v>
      </c>
      <c r="P150" s="381"/>
      <c r="Q150" t="s">
        <v>221</v>
      </c>
      <c r="T150" s="8"/>
      <c r="U150" t="s">
        <v>221</v>
      </c>
      <c r="V150" s="313"/>
      <c r="W150" t="s">
        <v>220</v>
      </c>
      <c r="X150" t="s">
        <v>220</v>
      </c>
      <c r="Z150" t="s">
        <v>220</v>
      </c>
      <c r="AB150"/>
      <c r="AD150" s="8" t="s">
        <v>222</v>
      </c>
      <c r="AF150" s="8" t="s">
        <v>222</v>
      </c>
      <c r="AG150"/>
      <c r="AH150"/>
      <c r="AI150"/>
      <c r="AJ150" t="s">
        <v>221</v>
      </c>
      <c r="AK150">
        <v>0</v>
      </c>
      <c r="AL150">
        <v>1</v>
      </c>
      <c r="AM150" t="s">
        <v>221</v>
      </c>
      <c r="AN150" t="s">
        <v>249</v>
      </c>
      <c r="AO150" t="s">
        <v>224</v>
      </c>
      <c r="AP150"/>
      <c r="AQ150" t="s">
        <v>221</v>
      </c>
      <c r="AR150" t="s">
        <v>223</v>
      </c>
      <c r="AS150" t="s">
        <v>221</v>
      </c>
      <c r="AT150"/>
      <c r="AU150" t="s">
        <v>220</v>
      </c>
      <c r="AV150"/>
      <c r="AW150" s="313" t="s">
        <v>220</v>
      </c>
      <c r="AX150" t="s">
        <v>226</v>
      </c>
      <c r="AY150" s="313" t="s">
        <v>220</v>
      </c>
      <c r="AZ150" s="313">
        <v>0.24299999999999999</v>
      </c>
      <c r="BB150" s="313" t="s">
        <v>220</v>
      </c>
      <c r="BC150">
        <v>0.14000000000000001</v>
      </c>
      <c r="BD150" t="s">
        <v>220</v>
      </c>
      <c r="BE150">
        <v>0.25</v>
      </c>
      <c r="BF150" s="2" t="s">
        <v>220</v>
      </c>
      <c r="BH150" s="2" t="s">
        <v>228</v>
      </c>
      <c r="BI150" s="2" t="s">
        <v>229</v>
      </c>
      <c r="BM150"/>
      <c r="BO150" t="s">
        <v>220</v>
      </c>
      <c r="BP150" s="8"/>
      <c r="BQ150" t="s">
        <v>230</v>
      </c>
      <c r="BR150" t="s">
        <v>222</v>
      </c>
      <c r="BU150" t="s">
        <v>293</v>
      </c>
      <c r="BV150" t="s">
        <v>236</v>
      </c>
      <c r="BW150" t="s">
        <v>232</v>
      </c>
      <c r="BX150" t="s">
        <v>284</v>
      </c>
      <c r="BY150" t="s">
        <v>220</v>
      </c>
      <c r="BZ150">
        <v>0.46</v>
      </c>
      <c r="CA150" t="s">
        <v>234</v>
      </c>
      <c r="CF150" t="s">
        <v>227</v>
      </c>
      <c r="CG150">
        <v>0.60099999999999998</v>
      </c>
      <c r="CH150" t="s">
        <v>257</v>
      </c>
      <c r="CI150">
        <v>0.63700000000000001</v>
      </c>
      <c r="CK150"/>
      <c r="CL150"/>
      <c r="CM150"/>
      <c r="CS150" s="8"/>
      <c r="CW150" t="s">
        <v>227</v>
      </c>
      <c r="CX150" t="s">
        <v>220</v>
      </c>
      <c r="CY150" t="s">
        <v>231</v>
      </c>
      <c r="CZ150" t="s">
        <v>220</v>
      </c>
      <c r="DA150" t="s">
        <v>227</v>
      </c>
      <c r="DB150" t="s">
        <v>220</v>
      </c>
      <c r="DC150" t="s">
        <v>220</v>
      </c>
      <c r="DD150" t="s">
        <v>220</v>
      </c>
      <c r="DE150"/>
      <c r="DF150"/>
      <c r="DG150"/>
      <c r="DH150" s="323"/>
      <c r="DI150" s="323"/>
      <c r="DJ150" s="323"/>
      <c r="DL150" t="s">
        <v>220</v>
      </c>
      <c r="DM150" t="s">
        <v>220</v>
      </c>
      <c r="DN150" t="s">
        <v>257</v>
      </c>
      <c r="DO150" t="s">
        <v>220</v>
      </c>
      <c r="DP150" t="s">
        <v>220</v>
      </c>
      <c r="DQ150" s="332" t="s">
        <v>835</v>
      </c>
      <c r="DR150" s="332" t="s">
        <v>835</v>
      </c>
      <c r="DS150" s="309">
        <v>304.44299999999998</v>
      </c>
      <c r="DU150" s="309">
        <v>158.357</v>
      </c>
      <c r="DW150">
        <v>9.2799999999999994E-2</v>
      </c>
      <c r="DX150" t="s">
        <v>238</v>
      </c>
      <c r="DY150"/>
      <c r="DZ150" t="s">
        <v>235</v>
      </c>
      <c r="EA150"/>
      <c r="EB150"/>
      <c r="ED150" s="410">
        <v>240</v>
      </c>
      <c r="EE150" s="1"/>
      <c r="EF150" s="8" t="s">
        <v>323</v>
      </c>
      <c r="EG150" s="410">
        <v>240</v>
      </c>
      <c r="EH150" s="8" t="s">
        <v>323</v>
      </c>
      <c r="EI150" s="410">
        <v>1.7999999999999999E-2</v>
      </c>
      <c r="EJ150" s="8" t="s">
        <v>323</v>
      </c>
      <c r="EK150" s="1">
        <v>347</v>
      </c>
      <c r="EL150" s="8" t="s">
        <v>323</v>
      </c>
      <c r="EM150"/>
      <c r="EQ150" s="344"/>
      <c r="EU150" s="344"/>
      <c r="EW150" s="409"/>
      <c r="EY150" s="1"/>
      <c r="FA150">
        <v>78.7</v>
      </c>
      <c r="FB150" t="s">
        <v>236</v>
      </c>
      <c r="FC150" s="7">
        <v>81.357950560539678</v>
      </c>
      <c r="FD150" s="357" t="s">
        <v>225</v>
      </c>
      <c r="FE150" s="8">
        <v>97.746226404958975</v>
      </c>
      <c r="FF150" t="s">
        <v>237</v>
      </c>
      <c r="FH150" s="9">
        <v>38.547835766577208</v>
      </c>
      <c r="FI150" s="9" t="s">
        <v>225</v>
      </c>
      <c r="FK150" t="s">
        <v>235</v>
      </c>
      <c r="FL150">
        <v>51</v>
      </c>
      <c r="FM150">
        <v>255.27013026612485</v>
      </c>
      <c r="FN150" s="5" t="s">
        <v>237</v>
      </c>
      <c r="FP150" s="6">
        <v>1.7999999999999999E-2</v>
      </c>
      <c r="FQ150" t="s">
        <v>294</v>
      </c>
      <c r="FS150" t="s">
        <v>261</v>
      </c>
      <c r="FU150" s="8">
        <v>1</v>
      </c>
      <c r="FV150" s="8">
        <v>10</v>
      </c>
      <c r="FW150" s="8">
        <v>10</v>
      </c>
      <c r="FX150" s="8">
        <v>1</v>
      </c>
      <c r="FY150" s="8">
        <v>1</v>
      </c>
      <c r="FZ150">
        <f t="shared" si="2"/>
        <v>100</v>
      </c>
      <c r="GA150" s="7" t="s">
        <v>241</v>
      </c>
      <c r="GB150" s="7" t="s">
        <v>241</v>
      </c>
      <c r="GC150" s="6">
        <v>30</v>
      </c>
      <c r="GD150" s="348" t="s">
        <v>242</v>
      </c>
      <c r="GE150" s="6">
        <v>2.4</v>
      </c>
      <c r="GF150" s="6">
        <v>1.7999999999999998E-4</v>
      </c>
      <c r="GH150" s="7"/>
      <c r="GI150" s="441"/>
      <c r="GJ150" s="441"/>
      <c r="GK150" s="441"/>
      <c r="GL150" s="441"/>
      <c r="GM150" s="454"/>
      <c r="GN150" s="441"/>
      <c r="GO150" s="441"/>
      <c r="GP150" s="441"/>
      <c r="GQ150" s="441"/>
      <c r="GR150" s="441"/>
      <c r="GS150" s="441"/>
      <c r="GT150" s="441"/>
      <c r="GU150" s="441"/>
      <c r="GV150" s="441"/>
      <c r="GW150" s="441"/>
      <c r="GX150" s="441"/>
      <c r="GY150" s="441"/>
      <c r="GZ150" s="441"/>
      <c r="HA150" s="441"/>
      <c r="HB150" s="441"/>
      <c r="HC150" s="441"/>
      <c r="HD150" s="441"/>
      <c r="HE150" s="441"/>
      <c r="HF150" s="441"/>
      <c r="HG150" s="441"/>
      <c r="HH150" s="441"/>
      <c r="HI150" s="441"/>
      <c r="HJ150" s="441"/>
      <c r="HK150" s="441"/>
      <c r="HL150" s="441"/>
      <c r="HM150" s="441"/>
      <c r="HN150" s="441"/>
      <c r="HO150" s="441"/>
      <c r="HP150" s="441"/>
      <c r="HQ150" s="441"/>
      <c r="HR150" s="441"/>
      <c r="HS150" s="441"/>
      <c r="HT150" s="441"/>
      <c r="HU150" s="441"/>
      <c r="HV150" s="441"/>
      <c r="HW150" s="441"/>
      <c r="HX150" s="441"/>
      <c r="HY150" s="441"/>
      <c r="HZ150" s="441"/>
      <c r="IA150" s="441"/>
      <c r="IB150" s="441"/>
      <c r="IC150" s="441"/>
      <c r="ID150" s="441"/>
      <c r="IE150" s="441"/>
      <c r="IF150" s="441"/>
      <c r="IH150" t="s">
        <v>235</v>
      </c>
    </row>
    <row r="151" spans="1:242" x14ac:dyDescent="0.35">
      <c r="A151" s="310" t="s">
        <v>1083</v>
      </c>
      <c r="B151" s="313" t="s">
        <v>1084</v>
      </c>
      <c r="C151" s="310" t="s">
        <v>1085</v>
      </c>
      <c r="D151" s="316"/>
      <c r="F151" t="s">
        <v>1086</v>
      </c>
      <c r="I151" s="310" t="s">
        <v>1087</v>
      </c>
      <c r="M151" s="313"/>
      <c r="O151"/>
      <c r="P151" s="381"/>
      <c r="Q151"/>
      <c r="T151" s="8"/>
      <c r="U151"/>
      <c r="V151" s="313"/>
      <c r="W151"/>
      <c r="X151"/>
      <c r="Z151"/>
      <c r="AB151"/>
      <c r="AD151" s="8" t="s">
        <v>230</v>
      </c>
      <c r="AF151" s="8" t="s">
        <v>230</v>
      </c>
      <c r="AG151"/>
      <c r="AH151"/>
      <c r="AI151"/>
      <c r="AJ151" t="s">
        <v>221</v>
      </c>
      <c r="AK151">
        <v>0</v>
      </c>
      <c r="AL151">
        <v>0.9</v>
      </c>
      <c r="AM151" t="s">
        <v>221</v>
      </c>
      <c r="AN151" t="s">
        <v>223</v>
      </c>
      <c r="AO151" t="s">
        <v>224</v>
      </c>
      <c r="AP151" t="s">
        <v>223</v>
      </c>
      <c r="AQ151" t="s">
        <v>221</v>
      </c>
      <c r="AR151" t="s">
        <v>223</v>
      </c>
      <c r="AS151" t="s">
        <v>221</v>
      </c>
      <c r="AT151" t="s">
        <v>223</v>
      </c>
      <c r="AU151" t="s">
        <v>220</v>
      </c>
      <c r="AV151"/>
      <c r="AW151" s="313" t="s">
        <v>220</v>
      </c>
      <c r="AX151" t="s">
        <v>226</v>
      </c>
      <c r="AY151" s="313" t="s">
        <v>220</v>
      </c>
      <c r="AZ151" s="313">
        <v>8.2600000000000007E-2</v>
      </c>
      <c r="BB151" s="313" t="s">
        <v>220</v>
      </c>
      <c r="BC151">
        <v>9.6000000000000002E-2</v>
      </c>
      <c r="BD151" t="s">
        <v>220</v>
      </c>
      <c r="BE151">
        <v>0.24</v>
      </c>
      <c r="BF151" s="2" t="s">
        <v>220</v>
      </c>
      <c r="BG151" s="2" t="s">
        <v>273</v>
      </c>
      <c r="BH151" s="2" t="s">
        <v>274</v>
      </c>
      <c r="BI151" s="2" t="s">
        <v>275</v>
      </c>
      <c r="BM151"/>
      <c r="BP151" s="8"/>
      <c r="BQ151" t="s">
        <v>230</v>
      </c>
      <c r="BR151" t="s">
        <v>230</v>
      </c>
      <c r="BU151" t="s">
        <v>231</v>
      </c>
      <c r="BV151" t="s">
        <v>223</v>
      </c>
      <c r="BW151" t="s">
        <v>232</v>
      </c>
      <c r="BX151" t="s">
        <v>284</v>
      </c>
      <c r="BY151" t="s">
        <v>220</v>
      </c>
      <c r="BZ151">
        <v>0.45100000000000001</v>
      </c>
      <c r="CA151" t="s">
        <v>234</v>
      </c>
      <c r="CF151" t="s">
        <v>257</v>
      </c>
      <c r="CG151">
        <v>0.53200000000000003</v>
      </c>
      <c r="CH151" t="s">
        <v>257</v>
      </c>
      <c r="CI151">
        <v>0.55200000000000005</v>
      </c>
      <c r="CK151"/>
      <c r="CL151"/>
      <c r="CM151"/>
      <c r="CS151" s="8"/>
      <c r="CW151" t="s">
        <v>227</v>
      </c>
      <c r="CX151" t="s">
        <v>220</v>
      </c>
      <c r="CY151" t="s">
        <v>231</v>
      </c>
      <c r="CZ151" t="s">
        <v>220</v>
      </c>
      <c r="DA151" t="s">
        <v>227</v>
      </c>
      <c r="DB151" t="s">
        <v>220</v>
      </c>
      <c r="DC151"/>
      <c r="DD151"/>
      <c r="DE151"/>
      <c r="DF151"/>
      <c r="DG151"/>
      <c r="DH151" s="323"/>
      <c r="DI151" s="323"/>
      <c r="DJ151" s="323"/>
      <c r="DL151" t="s">
        <v>257</v>
      </c>
      <c r="DM151" t="s">
        <v>257</v>
      </c>
      <c r="DN151" t="s">
        <v>257</v>
      </c>
      <c r="DO151" t="s">
        <v>220</v>
      </c>
      <c r="DP151" t="s">
        <v>220</v>
      </c>
      <c r="DS151" s="309">
        <v>166.25800000000001</v>
      </c>
      <c r="DU151" s="309">
        <v>150.74299999999999</v>
      </c>
      <c r="DW151"/>
      <c r="DX151" t="s">
        <v>235</v>
      </c>
      <c r="DY151"/>
      <c r="DZ151" t="s">
        <v>235</v>
      </c>
      <c r="EA151"/>
      <c r="EB151"/>
      <c r="ED151" s="410"/>
      <c r="EE151" s="1"/>
      <c r="EG151" s="410"/>
      <c r="EI151" s="410"/>
      <c r="EK151" s="1"/>
      <c r="EM151"/>
      <c r="EQ151" s="344"/>
      <c r="EU151" s="344"/>
      <c r="EW151" s="409"/>
      <c r="EY151" s="1"/>
      <c r="FA151">
        <v>61.63</v>
      </c>
      <c r="FB151" t="s">
        <v>225</v>
      </c>
      <c r="FC151" s="7">
        <v>48.887744389414507</v>
      </c>
      <c r="FD151" s="357" t="s">
        <v>225</v>
      </c>
      <c r="FE151" s="8">
        <v>57.319184115876332</v>
      </c>
      <c r="FF151" t="s">
        <v>237</v>
      </c>
      <c r="FH151" s="9">
        <v>194.71526498539015</v>
      </c>
      <c r="FI151" s="9" t="s">
        <v>225</v>
      </c>
      <c r="FJ151">
        <v>1010</v>
      </c>
      <c r="FK151" t="s">
        <v>238</v>
      </c>
      <c r="FL151">
        <v>239</v>
      </c>
      <c r="FM151">
        <v>163.07973610235956</v>
      </c>
      <c r="FN151" s="5" t="s">
        <v>237</v>
      </c>
      <c r="FP151" s="6">
        <v>8.1539868051179774</v>
      </c>
      <c r="FQ151" t="s">
        <v>277</v>
      </c>
      <c r="FS151" t="s">
        <v>240</v>
      </c>
      <c r="FU151" s="8">
        <v>2</v>
      </c>
      <c r="FV151" s="8">
        <v>10</v>
      </c>
      <c r="FW151" s="8">
        <v>10</v>
      </c>
      <c r="FX151" s="8">
        <v>10</v>
      </c>
      <c r="FY151" s="8">
        <v>3</v>
      </c>
      <c r="FZ151">
        <f t="shared" si="2"/>
        <v>6000</v>
      </c>
      <c r="GA151" s="7" t="s">
        <v>241</v>
      </c>
      <c r="GB151" s="7" t="s">
        <v>241</v>
      </c>
      <c r="GC151" s="6">
        <v>30</v>
      </c>
      <c r="GD151" s="348" t="s">
        <v>242</v>
      </c>
      <c r="GF151" s="6">
        <v>7.9666666666666663E-2</v>
      </c>
      <c r="GH151" s="7"/>
      <c r="GI151" s="445"/>
      <c r="GJ151" s="445"/>
      <c r="GK151" s="445"/>
      <c r="GL151" s="445"/>
      <c r="GM151" s="453"/>
      <c r="GN151" s="6">
        <v>0.2</v>
      </c>
      <c r="GO151" s="6">
        <v>0.375</v>
      </c>
      <c r="GP151" s="6">
        <v>0.6</v>
      </c>
      <c r="GQ151" s="6">
        <v>1.5</v>
      </c>
      <c r="GR151" s="6" t="s">
        <v>230</v>
      </c>
      <c r="GU151" t="s">
        <v>243</v>
      </c>
      <c r="GV151" t="s">
        <v>236</v>
      </c>
      <c r="GW151" t="s">
        <v>359</v>
      </c>
      <c r="GX151" t="s">
        <v>223</v>
      </c>
      <c r="GY151" t="s">
        <v>245</v>
      </c>
      <c r="HE151" t="s">
        <v>246</v>
      </c>
      <c r="HF151" t="s">
        <v>236</v>
      </c>
      <c r="HG151" t="s">
        <v>231</v>
      </c>
      <c r="HH151" t="s">
        <v>223</v>
      </c>
      <c r="HI151" t="s">
        <v>247</v>
      </c>
      <c r="HJ151" t="s">
        <v>223</v>
      </c>
      <c r="HK151" t="s">
        <v>266</v>
      </c>
      <c r="HO151" t="s">
        <v>231</v>
      </c>
      <c r="HP151" t="s">
        <v>223</v>
      </c>
      <c r="HQ151" t="s">
        <v>231</v>
      </c>
      <c r="HR151" t="s">
        <v>223</v>
      </c>
      <c r="HU151" t="s">
        <v>231</v>
      </c>
      <c r="HV151" t="s">
        <v>223</v>
      </c>
      <c r="HW151" t="s">
        <v>246</v>
      </c>
      <c r="HX151" t="s">
        <v>236</v>
      </c>
      <c r="IA151" t="s">
        <v>231</v>
      </c>
      <c r="IB151" t="s">
        <v>250</v>
      </c>
      <c r="IC151" s="447"/>
      <c r="ID151" s="447"/>
      <c r="IE151" s="447"/>
      <c r="IF151" s="447"/>
      <c r="IH151" t="s">
        <v>235</v>
      </c>
    </row>
    <row r="152" spans="1:242" x14ac:dyDescent="0.35">
      <c r="A152" s="310" t="s">
        <v>1088</v>
      </c>
      <c r="B152" s="313" t="s">
        <v>1089</v>
      </c>
      <c r="C152" s="310" t="s">
        <v>1090</v>
      </c>
      <c r="D152" s="316"/>
      <c r="F152" t="s">
        <v>1091</v>
      </c>
      <c r="I152" s="310" t="s">
        <v>1092</v>
      </c>
      <c r="M152" s="313"/>
      <c r="O152" t="s">
        <v>221</v>
      </c>
      <c r="P152" s="381"/>
      <c r="Q152" t="s">
        <v>221</v>
      </c>
      <c r="T152" s="8"/>
      <c r="U152" t="s">
        <v>221</v>
      </c>
      <c r="V152" s="313"/>
      <c r="W152" t="s">
        <v>220</v>
      </c>
      <c r="X152" t="s">
        <v>220</v>
      </c>
      <c r="Z152" t="s">
        <v>220</v>
      </c>
      <c r="AB152"/>
      <c r="AD152" s="8" t="s">
        <v>222</v>
      </c>
      <c r="AF152" s="8" t="s">
        <v>222</v>
      </c>
      <c r="AG152"/>
      <c r="AH152"/>
      <c r="AI152"/>
      <c r="AJ152" t="s">
        <v>221</v>
      </c>
      <c r="AK152">
        <v>0</v>
      </c>
      <c r="AL152">
        <v>1</v>
      </c>
      <c r="AM152" t="s">
        <v>221</v>
      </c>
      <c r="AN152" t="s">
        <v>249</v>
      </c>
      <c r="AO152" t="s">
        <v>224</v>
      </c>
      <c r="AP152"/>
      <c r="AQ152" t="s">
        <v>221</v>
      </c>
      <c r="AR152" t="s">
        <v>223</v>
      </c>
      <c r="AS152" t="s">
        <v>221</v>
      </c>
      <c r="AT152"/>
      <c r="AU152" t="s">
        <v>220</v>
      </c>
      <c r="AV152"/>
      <c r="AW152" s="313" t="s">
        <v>220</v>
      </c>
      <c r="AX152" t="s">
        <v>226</v>
      </c>
      <c r="AY152" s="313" t="s">
        <v>220</v>
      </c>
      <c r="AZ152" s="313">
        <v>0.17299999999999999</v>
      </c>
      <c r="BB152" s="313" t="s">
        <v>220</v>
      </c>
      <c r="BC152">
        <v>0.105</v>
      </c>
      <c r="BD152" t="s">
        <v>220</v>
      </c>
      <c r="BE152">
        <v>0.21199999999999999</v>
      </c>
      <c r="BF152" s="2" t="s">
        <v>220</v>
      </c>
      <c r="BH152" s="2" t="s">
        <v>228</v>
      </c>
      <c r="BI152" s="2" t="s">
        <v>229</v>
      </c>
      <c r="BK152" s="2" t="s">
        <v>352</v>
      </c>
      <c r="BM152"/>
      <c r="BP152" s="8"/>
      <c r="BQ152" t="s">
        <v>230</v>
      </c>
      <c r="BR152" t="s">
        <v>222</v>
      </c>
      <c r="BU152" t="s">
        <v>293</v>
      </c>
      <c r="BV152" t="s">
        <v>236</v>
      </c>
      <c r="BW152" t="s">
        <v>232</v>
      </c>
      <c r="BX152" t="s">
        <v>284</v>
      </c>
      <c r="BY152" t="s">
        <v>220</v>
      </c>
      <c r="BZ152">
        <v>0.379</v>
      </c>
      <c r="CA152" t="s">
        <v>234</v>
      </c>
      <c r="CF152" t="s">
        <v>220</v>
      </c>
      <c r="CG152">
        <v>0.48699999999999999</v>
      </c>
      <c r="CH152" t="s">
        <v>257</v>
      </c>
      <c r="CI152">
        <v>0.57599999999999996</v>
      </c>
      <c r="CK152"/>
      <c r="CL152"/>
      <c r="CM152"/>
      <c r="CS152" s="8"/>
      <c r="CW152" t="s">
        <v>227</v>
      </c>
      <c r="CX152" t="s">
        <v>220</v>
      </c>
      <c r="CY152" t="s">
        <v>231</v>
      </c>
      <c r="CZ152" t="s">
        <v>220</v>
      </c>
      <c r="DA152" t="s">
        <v>220</v>
      </c>
      <c r="DB152" t="s">
        <v>220</v>
      </c>
      <c r="DC152"/>
      <c r="DD152"/>
      <c r="DE152"/>
      <c r="DF152"/>
      <c r="DG152"/>
      <c r="DH152" s="323"/>
      <c r="DI152" s="323"/>
      <c r="DJ152" s="323"/>
      <c r="DL152" t="s">
        <v>257</v>
      </c>
      <c r="DM152" t="s">
        <v>220</v>
      </c>
      <c r="DN152" t="s">
        <v>257</v>
      </c>
      <c r="DO152" t="s">
        <v>220</v>
      </c>
      <c r="DP152" t="s">
        <v>220</v>
      </c>
      <c r="DS152" s="309">
        <v>91.754000000000005</v>
      </c>
      <c r="DU152" s="309">
        <v>169.654</v>
      </c>
      <c r="DW152">
        <v>54.3</v>
      </c>
      <c r="DX152" t="s">
        <v>238</v>
      </c>
      <c r="DY152">
        <v>241</v>
      </c>
      <c r="DZ152" t="s">
        <v>238</v>
      </c>
      <c r="EA152"/>
      <c r="EB152"/>
      <c r="ED152" s="410"/>
      <c r="EE152" s="1"/>
      <c r="EG152" s="410">
        <v>120</v>
      </c>
      <c r="EH152" s="8" t="s">
        <v>259</v>
      </c>
      <c r="EI152" s="410">
        <v>125</v>
      </c>
      <c r="EJ152" s="8" t="s">
        <v>259</v>
      </c>
      <c r="EK152" s="1"/>
      <c r="EM152"/>
      <c r="EQ152" s="344"/>
      <c r="EU152" s="344"/>
      <c r="EW152" s="409"/>
      <c r="EY152" s="1"/>
      <c r="FA152">
        <v>91.06</v>
      </c>
      <c r="FB152" t="s">
        <v>236</v>
      </c>
      <c r="FC152" s="7">
        <v>79.542639814536088</v>
      </c>
      <c r="FD152" s="357" t="s">
        <v>225</v>
      </c>
      <c r="FE152" s="8">
        <v>128.20353491189525</v>
      </c>
      <c r="FF152" t="s">
        <v>237</v>
      </c>
      <c r="FH152" s="9">
        <v>103.29992352432308</v>
      </c>
      <c r="FI152" s="9" t="s">
        <v>225</v>
      </c>
      <c r="FJ152">
        <v>25.4</v>
      </c>
      <c r="FK152" t="s">
        <v>238</v>
      </c>
      <c r="FL152">
        <v>240</v>
      </c>
      <c r="FM152">
        <v>420.53292121804242</v>
      </c>
      <c r="FN152" s="5" t="s">
        <v>237</v>
      </c>
      <c r="FP152" s="6">
        <v>60</v>
      </c>
      <c r="FQ152" t="s">
        <v>615</v>
      </c>
      <c r="FS152" t="s">
        <v>261</v>
      </c>
      <c r="FU152" s="8">
        <v>2</v>
      </c>
      <c r="FV152" s="8">
        <v>10</v>
      </c>
      <c r="FW152" s="8">
        <v>10</v>
      </c>
      <c r="FX152" s="8">
        <v>1</v>
      </c>
      <c r="FY152" s="8">
        <v>3</v>
      </c>
      <c r="FZ152">
        <f t="shared" si="2"/>
        <v>600</v>
      </c>
      <c r="GA152" s="7" t="s">
        <v>241</v>
      </c>
      <c r="GB152" s="7" t="s">
        <v>241</v>
      </c>
      <c r="GC152" s="6">
        <v>30</v>
      </c>
      <c r="GD152" s="348" t="s">
        <v>242</v>
      </c>
      <c r="GF152" s="6">
        <v>8.4666666666666675E-3</v>
      </c>
      <c r="GH152" s="7"/>
      <c r="GI152" s="441"/>
      <c r="GJ152" s="441"/>
      <c r="GK152" s="441"/>
      <c r="GL152" s="441"/>
      <c r="GM152" s="454"/>
      <c r="GN152" s="441"/>
      <c r="GO152" s="441"/>
      <c r="GP152" s="441"/>
      <c r="GQ152" s="441"/>
      <c r="GR152" s="441"/>
      <c r="GS152" s="441"/>
      <c r="GT152" s="441"/>
      <c r="GU152" s="441"/>
      <c r="GV152" s="441"/>
      <c r="GW152" s="441"/>
      <c r="GX152" s="441"/>
      <c r="GY152" s="441"/>
      <c r="GZ152" s="441"/>
      <c r="HA152" s="441"/>
      <c r="HB152" s="441"/>
      <c r="HC152" s="441"/>
      <c r="HD152" s="441"/>
      <c r="HE152" s="441"/>
      <c r="HF152" s="441"/>
      <c r="HG152" s="441"/>
      <c r="HH152" s="441"/>
      <c r="HI152" s="441"/>
      <c r="HJ152" s="441"/>
      <c r="HK152" s="441"/>
      <c r="HL152" s="441"/>
      <c r="HM152" s="441"/>
      <c r="HN152" s="441"/>
      <c r="HO152" s="441"/>
      <c r="HP152" s="441"/>
      <c r="HQ152" s="441"/>
      <c r="HR152" s="441"/>
      <c r="HS152" s="441"/>
      <c r="HT152" s="441"/>
      <c r="HU152" s="441"/>
      <c r="HV152" s="441"/>
      <c r="HW152" s="441"/>
      <c r="HX152" s="441"/>
      <c r="HY152" s="441"/>
      <c r="HZ152" s="441"/>
      <c r="IA152" s="441"/>
      <c r="IB152" s="441"/>
      <c r="IC152" s="441"/>
      <c r="ID152" s="441"/>
      <c r="IE152" s="441"/>
      <c r="IF152" s="441"/>
      <c r="IH152" t="s">
        <v>235</v>
      </c>
    </row>
    <row r="153" spans="1:242" x14ac:dyDescent="0.35">
      <c r="A153" s="310" t="s">
        <v>1093</v>
      </c>
      <c r="B153" s="313" t="s">
        <v>1094</v>
      </c>
      <c r="C153" s="310" t="s">
        <v>1095</v>
      </c>
      <c r="D153" s="316"/>
      <c r="F153" t="s">
        <v>1096</v>
      </c>
      <c r="I153" s="310" t="s">
        <v>1097</v>
      </c>
      <c r="M153" s="313" t="s">
        <v>220</v>
      </c>
      <c r="O153" t="s">
        <v>221</v>
      </c>
      <c r="P153" s="381"/>
      <c r="Q153" t="s">
        <v>221</v>
      </c>
      <c r="T153" s="8"/>
      <c r="U153" t="s">
        <v>221</v>
      </c>
      <c r="V153" s="313"/>
      <c r="W153" t="s">
        <v>220</v>
      </c>
      <c r="X153" t="s">
        <v>220</v>
      </c>
      <c r="Z153" t="s">
        <v>220</v>
      </c>
      <c r="AB153"/>
      <c r="AD153" s="8" t="s">
        <v>222</v>
      </c>
      <c r="AF153" s="8" t="s">
        <v>222</v>
      </c>
      <c r="AG153"/>
      <c r="AH153"/>
      <c r="AI153"/>
      <c r="AJ153" t="s">
        <v>221</v>
      </c>
      <c r="AK153">
        <v>0</v>
      </c>
      <c r="AL153">
        <v>1</v>
      </c>
      <c r="AM153" t="s">
        <v>221</v>
      </c>
      <c r="AN153" t="s">
        <v>249</v>
      </c>
      <c r="AO153" t="s">
        <v>221</v>
      </c>
      <c r="AP153"/>
      <c r="AQ153" t="s">
        <v>221</v>
      </c>
      <c r="AR153" t="s">
        <v>223</v>
      </c>
      <c r="AS153" t="s">
        <v>221</v>
      </c>
      <c r="AT153"/>
      <c r="AU153" t="s">
        <v>220</v>
      </c>
      <c r="AV153"/>
      <c r="AW153" s="313" t="s">
        <v>220</v>
      </c>
      <c r="AX153" t="s">
        <v>226</v>
      </c>
      <c r="AY153" s="313" t="s">
        <v>220</v>
      </c>
      <c r="AZ153" s="313">
        <v>0.16</v>
      </c>
      <c r="BB153" s="313" t="s">
        <v>220</v>
      </c>
      <c r="BC153">
        <v>6.5000000000000002E-2</v>
      </c>
      <c r="BD153" t="s">
        <v>220</v>
      </c>
      <c r="BE153">
        <v>0.13300000000000001</v>
      </c>
      <c r="BF153" s="2" t="s">
        <v>220</v>
      </c>
      <c r="BH153" s="2" t="s">
        <v>228</v>
      </c>
      <c r="BI153" s="2" t="s">
        <v>229</v>
      </c>
      <c r="BM153"/>
      <c r="BP153" s="8"/>
      <c r="BQ153" t="s">
        <v>230</v>
      </c>
      <c r="BR153" t="s">
        <v>230</v>
      </c>
      <c r="BU153" t="s">
        <v>231</v>
      </c>
      <c r="BV153" t="s">
        <v>223</v>
      </c>
      <c r="BW153" t="s">
        <v>232</v>
      </c>
      <c r="BX153" t="s">
        <v>284</v>
      </c>
      <c r="BY153" t="s">
        <v>220</v>
      </c>
      <c r="BZ153">
        <v>0.38400000000000001</v>
      </c>
      <c r="CA153" t="s">
        <v>234</v>
      </c>
      <c r="CF153" t="s">
        <v>257</v>
      </c>
      <c r="CG153">
        <v>0.53800000000000003</v>
      </c>
      <c r="CH153" t="s">
        <v>257</v>
      </c>
      <c r="CI153">
        <v>0.627</v>
      </c>
      <c r="CK153"/>
      <c r="CL153" t="s">
        <v>220</v>
      </c>
      <c r="CM153" t="s">
        <v>231</v>
      </c>
      <c r="CS153" s="8"/>
      <c r="CW153" t="s">
        <v>220</v>
      </c>
      <c r="CX153" t="s">
        <v>220</v>
      </c>
      <c r="CY153" t="s">
        <v>231</v>
      </c>
      <c r="CZ153" t="s">
        <v>220</v>
      </c>
      <c r="DA153" t="s">
        <v>220</v>
      </c>
      <c r="DB153" t="s">
        <v>227</v>
      </c>
      <c r="DC153"/>
      <c r="DD153"/>
      <c r="DE153"/>
      <c r="DF153"/>
      <c r="DG153"/>
      <c r="DH153" s="323"/>
      <c r="DI153" s="323"/>
      <c r="DJ153" s="323"/>
      <c r="DL153" t="s">
        <v>257</v>
      </c>
      <c r="DM153" t="s">
        <v>220</v>
      </c>
      <c r="DN153" t="s">
        <v>257</v>
      </c>
      <c r="DO153" t="s">
        <v>220</v>
      </c>
      <c r="DP153" t="s">
        <v>220</v>
      </c>
      <c r="DS153" s="309">
        <v>54.548999999999999</v>
      </c>
      <c r="DU153" s="309">
        <v>323.12799999999999</v>
      </c>
      <c r="DW153">
        <v>139</v>
      </c>
      <c r="DX153" t="s">
        <v>238</v>
      </c>
      <c r="DY153">
        <v>2240</v>
      </c>
      <c r="DZ153" t="s">
        <v>238</v>
      </c>
      <c r="EA153"/>
      <c r="EB153"/>
      <c r="ED153" s="410"/>
      <c r="EE153" s="1"/>
      <c r="EG153" s="410">
        <v>120</v>
      </c>
      <c r="EH153" s="8" t="s">
        <v>259</v>
      </c>
      <c r="EI153" s="410"/>
      <c r="EK153" s="1"/>
      <c r="EM153"/>
      <c r="EQ153" s="344"/>
      <c r="EU153" s="344"/>
      <c r="EW153" s="409"/>
      <c r="EY153" s="1"/>
      <c r="FA153">
        <v>66.680000000000007</v>
      </c>
      <c r="FB153" t="s">
        <v>225</v>
      </c>
      <c r="FC153" s="7">
        <v>107.52266003927264</v>
      </c>
      <c r="FD153" s="357" t="s">
        <v>225</v>
      </c>
      <c r="FE153" s="8">
        <v>73.773434096102974</v>
      </c>
      <c r="FF153" t="s">
        <v>237</v>
      </c>
      <c r="FH153" s="9">
        <v>104.59236904631683</v>
      </c>
      <c r="FI153" s="9" t="s">
        <v>225</v>
      </c>
      <c r="FJ153">
        <v>125</v>
      </c>
      <c r="FK153" t="s">
        <v>238</v>
      </c>
      <c r="FL153">
        <v>128</v>
      </c>
      <c r="FM153">
        <v>174.06040913031947</v>
      </c>
      <c r="FN153" s="5" t="s">
        <v>237</v>
      </c>
      <c r="FP153" s="6">
        <v>60</v>
      </c>
      <c r="FQ153" t="s">
        <v>615</v>
      </c>
      <c r="FS153" t="s">
        <v>261</v>
      </c>
      <c r="FU153" s="8">
        <v>2</v>
      </c>
      <c r="FV153" s="8">
        <v>10</v>
      </c>
      <c r="FW153" s="8">
        <v>10</v>
      </c>
      <c r="FX153" s="8">
        <v>1</v>
      </c>
      <c r="FY153" s="8">
        <v>3</v>
      </c>
      <c r="FZ153">
        <f t="shared" si="2"/>
        <v>600</v>
      </c>
      <c r="GA153" s="7" t="s">
        <v>241</v>
      </c>
      <c r="GB153" s="7" t="s">
        <v>241</v>
      </c>
      <c r="GC153" s="6">
        <v>30</v>
      </c>
      <c r="GD153" s="348" t="s">
        <v>242</v>
      </c>
      <c r="GE153" s="6">
        <v>6</v>
      </c>
      <c r="GF153" s="6">
        <v>4.1666666666666671E-2</v>
      </c>
      <c r="GH153" s="7"/>
      <c r="GI153" s="441"/>
      <c r="GJ153" s="441"/>
      <c r="GK153" s="441"/>
      <c r="GL153" s="441"/>
      <c r="GM153" s="454"/>
      <c r="GN153" s="441"/>
      <c r="GO153" s="441"/>
      <c r="GP153" s="441"/>
      <c r="GQ153" s="441"/>
      <c r="GR153" s="441"/>
      <c r="GS153" s="441"/>
      <c r="GT153" s="441"/>
      <c r="GU153" s="441"/>
      <c r="GV153" s="441"/>
      <c r="GW153" s="441"/>
      <c r="GX153" s="441"/>
      <c r="GY153" s="441"/>
      <c r="GZ153" s="441"/>
      <c r="HA153" s="441"/>
      <c r="HB153" s="441"/>
      <c r="HC153" s="441"/>
      <c r="HD153" s="441"/>
      <c r="HE153" s="441"/>
      <c r="HF153" s="441"/>
      <c r="HG153" s="441"/>
      <c r="HH153" s="441"/>
      <c r="HI153" s="441"/>
      <c r="HJ153" s="441"/>
      <c r="HK153" s="441"/>
      <c r="HL153" s="441"/>
      <c r="HM153" s="441"/>
      <c r="HN153" s="441"/>
      <c r="HO153" s="441"/>
      <c r="HP153" s="441"/>
      <c r="HQ153" s="441"/>
      <c r="HR153" s="441"/>
      <c r="HS153" s="441"/>
      <c r="HT153" s="441"/>
      <c r="HU153" s="441"/>
      <c r="HV153" s="441"/>
      <c r="HW153" s="441"/>
      <c r="HX153" s="441"/>
      <c r="HY153" s="441"/>
      <c r="HZ153" s="441"/>
      <c r="IA153" s="441"/>
      <c r="IB153" s="441"/>
      <c r="IC153" s="441"/>
      <c r="ID153" s="441"/>
      <c r="IE153" s="441"/>
      <c r="IF153" s="441"/>
      <c r="IH153" t="s">
        <v>235</v>
      </c>
    </row>
    <row r="154" spans="1:242" x14ac:dyDescent="0.35">
      <c r="A154" s="310" t="s">
        <v>1098</v>
      </c>
      <c r="B154" s="313" t="s">
        <v>1099</v>
      </c>
      <c r="C154" s="310" t="s">
        <v>1100</v>
      </c>
      <c r="D154" s="316"/>
      <c r="F154" t="s">
        <v>1101</v>
      </c>
      <c r="I154" s="310" t="s">
        <v>1102</v>
      </c>
      <c r="M154" s="313"/>
      <c r="O154" t="s">
        <v>221</v>
      </c>
      <c r="P154" s="381"/>
      <c r="Q154" t="s">
        <v>221</v>
      </c>
      <c r="T154" s="8"/>
      <c r="U154" t="s">
        <v>221</v>
      </c>
      <c r="V154" s="313"/>
      <c r="W154" t="s">
        <v>220</v>
      </c>
      <c r="X154" t="s">
        <v>220</v>
      </c>
      <c r="Z154" t="s">
        <v>220</v>
      </c>
      <c r="AB154"/>
      <c r="AD154" s="8" t="s">
        <v>222</v>
      </c>
      <c r="AF154" s="8" t="s">
        <v>222</v>
      </c>
      <c r="AG154"/>
      <c r="AH154"/>
      <c r="AI154"/>
      <c r="AJ154" t="s">
        <v>221</v>
      </c>
      <c r="AK154">
        <v>0</v>
      </c>
      <c r="AL154">
        <v>1</v>
      </c>
      <c r="AM154" t="s">
        <v>221</v>
      </c>
      <c r="AN154" t="s">
        <v>249</v>
      </c>
      <c r="AO154" t="s">
        <v>224</v>
      </c>
      <c r="AP154"/>
      <c r="AQ154" t="s">
        <v>414</v>
      </c>
      <c r="AR154" t="s">
        <v>236</v>
      </c>
      <c r="AS154" t="s">
        <v>221</v>
      </c>
      <c r="AT154"/>
      <c r="AU154" t="s">
        <v>220</v>
      </c>
      <c r="AV154"/>
      <c r="AW154" s="313" t="s">
        <v>220</v>
      </c>
      <c r="AX154" t="s">
        <v>226</v>
      </c>
      <c r="AY154" s="313" t="s">
        <v>220</v>
      </c>
      <c r="AZ154" s="313">
        <v>0.17499999999999999</v>
      </c>
      <c r="BB154" s="313" t="s">
        <v>220</v>
      </c>
      <c r="BC154">
        <v>9.69E-2</v>
      </c>
      <c r="BD154" t="s">
        <v>431</v>
      </c>
      <c r="BE154">
        <v>0.47699999999999998</v>
      </c>
      <c r="BF154" s="2" t="s">
        <v>220</v>
      </c>
      <c r="BH154" s="2" t="s">
        <v>228</v>
      </c>
      <c r="BI154" s="2" t="s">
        <v>229</v>
      </c>
      <c r="BM154"/>
      <c r="BP154" s="8"/>
      <c r="BQ154" t="s">
        <v>230</v>
      </c>
      <c r="BR154" t="s">
        <v>230</v>
      </c>
      <c r="BU154" t="s">
        <v>231</v>
      </c>
      <c r="BV154" t="s">
        <v>223</v>
      </c>
      <c r="BW154" t="s">
        <v>232</v>
      </c>
      <c r="BX154" t="s">
        <v>284</v>
      </c>
      <c r="BY154" t="s">
        <v>220</v>
      </c>
      <c r="BZ154">
        <v>0.38400000000000001</v>
      </c>
      <c r="CA154" t="s">
        <v>372</v>
      </c>
      <c r="CC154" t="s">
        <v>220</v>
      </c>
      <c r="CD154" t="s">
        <v>257</v>
      </c>
      <c r="CF154" t="s">
        <v>220</v>
      </c>
      <c r="CG154">
        <v>0.46</v>
      </c>
      <c r="CH154" t="s">
        <v>257</v>
      </c>
      <c r="CI154">
        <v>0.90700000000000003</v>
      </c>
      <c r="CK154"/>
      <c r="CL154"/>
      <c r="CM154"/>
      <c r="CS154" s="8"/>
      <c r="CW154" t="s">
        <v>257</v>
      </c>
      <c r="CX154" t="s">
        <v>220</v>
      </c>
      <c r="CY154" t="s">
        <v>231</v>
      </c>
      <c r="CZ154" t="s">
        <v>220</v>
      </c>
      <c r="DA154" t="s">
        <v>227</v>
      </c>
      <c r="DB154" t="s">
        <v>220</v>
      </c>
      <c r="DC154"/>
      <c r="DD154" t="s">
        <v>257</v>
      </c>
      <c r="DE154" t="s">
        <v>257</v>
      </c>
      <c r="DF154"/>
      <c r="DG154"/>
      <c r="DH154" s="323"/>
      <c r="DI154" s="323"/>
      <c r="DJ154" s="323"/>
      <c r="DL154" t="s">
        <v>257</v>
      </c>
      <c r="DM154" t="s">
        <v>257</v>
      </c>
      <c r="DN154" t="s">
        <v>257</v>
      </c>
      <c r="DO154" t="s">
        <v>220</v>
      </c>
      <c r="DP154" t="s">
        <v>220</v>
      </c>
      <c r="DS154" s="309">
        <v>34.875</v>
      </c>
      <c r="DU154" s="309">
        <v>278.07400000000001</v>
      </c>
      <c r="DW154"/>
      <c r="DX154" t="s">
        <v>235</v>
      </c>
      <c r="DY154">
        <v>148</v>
      </c>
      <c r="DZ154" t="s">
        <v>238</v>
      </c>
      <c r="EA154"/>
      <c r="EB154"/>
      <c r="ED154" s="410"/>
      <c r="EE154" s="1"/>
      <c r="EG154" s="410">
        <v>120</v>
      </c>
      <c r="EH154" s="8" t="s">
        <v>259</v>
      </c>
      <c r="EI154" s="410"/>
      <c r="EK154" s="1"/>
      <c r="EM154"/>
      <c r="EQ154" s="344"/>
      <c r="EU154" s="344"/>
      <c r="EW154" s="409"/>
      <c r="EY154" s="1"/>
      <c r="FA154">
        <v>72.680000000000007</v>
      </c>
      <c r="FB154" t="s">
        <v>236</v>
      </c>
      <c r="FC154" s="7">
        <v>88.879171988482085</v>
      </c>
      <c r="FD154" s="357" t="s">
        <v>236</v>
      </c>
      <c r="FE154" s="8">
        <v>67.003887380775623</v>
      </c>
      <c r="FF154" t="s">
        <v>237</v>
      </c>
      <c r="FH154" s="9">
        <v>53.027359262921443</v>
      </c>
      <c r="FI154" s="9" t="s">
        <v>236</v>
      </c>
      <c r="FK154" t="s">
        <v>235</v>
      </c>
      <c r="FL154">
        <v>124</v>
      </c>
      <c r="FM154">
        <v>166.83993039969272</v>
      </c>
      <c r="FN154" s="5" t="s">
        <v>237</v>
      </c>
      <c r="FP154" s="6">
        <v>60</v>
      </c>
      <c r="FQ154" t="s">
        <v>615</v>
      </c>
      <c r="FS154" t="s">
        <v>261</v>
      </c>
      <c r="FU154" s="8">
        <v>2</v>
      </c>
      <c r="FV154" s="8">
        <v>10</v>
      </c>
      <c r="FW154" s="8">
        <v>10</v>
      </c>
      <c r="FX154" s="8">
        <v>1</v>
      </c>
      <c r="FY154" s="8">
        <v>3</v>
      </c>
      <c r="FZ154">
        <f t="shared" si="2"/>
        <v>600</v>
      </c>
      <c r="GA154" s="7" t="s">
        <v>241</v>
      </c>
      <c r="GB154" s="7" t="s">
        <v>241</v>
      </c>
      <c r="GC154" s="6">
        <v>30</v>
      </c>
      <c r="GD154" s="348" t="s">
        <v>242</v>
      </c>
      <c r="GF154" s="6">
        <v>4.133333333333334E-2</v>
      </c>
      <c r="GH154" s="7"/>
      <c r="GI154" s="441">
        <v>1.333</v>
      </c>
      <c r="GJ154" s="441">
        <v>2.5</v>
      </c>
      <c r="GK154" s="441">
        <v>4</v>
      </c>
      <c r="GL154" s="441">
        <v>10</v>
      </c>
      <c r="GM154" s="452" t="s">
        <v>262</v>
      </c>
      <c r="GN154" s="6">
        <v>0.2</v>
      </c>
      <c r="GO154" s="6">
        <v>0.375</v>
      </c>
      <c r="GP154" s="6">
        <v>0.6</v>
      </c>
      <c r="GQ154" s="6">
        <v>1.5</v>
      </c>
      <c r="GR154" s="6" t="s">
        <v>230</v>
      </c>
      <c r="GU154" t="s">
        <v>243</v>
      </c>
      <c r="GV154" t="s">
        <v>236</v>
      </c>
      <c r="GW154" t="s">
        <v>244</v>
      </c>
      <c r="GX154" t="s">
        <v>236</v>
      </c>
      <c r="GY154" t="s">
        <v>245</v>
      </c>
      <c r="GZ154" t="s">
        <v>376</v>
      </c>
      <c r="HB154" t="s">
        <v>376</v>
      </c>
      <c r="HE154" t="s">
        <v>247</v>
      </c>
      <c r="HF154" t="s">
        <v>249</v>
      </c>
      <c r="HG154" t="s">
        <v>231</v>
      </c>
      <c r="HH154" t="s">
        <v>225</v>
      </c>
      <c r="HI154" t="s">
        <v>247</v>
      </c>
      <c r="HJ154" t="s">
        <v>249</v>
      </c>
      <c r="HK154" t="s">
        <v>266</v>
      </c>
      <c r="HL154" t="s">
        <v>231</v>
      </c>
      <c r="HM154" t="s">
        <v>231</v>
      </c>
      <c r="HO154" t="s">
        <v>231</v>
      </c>
      <c r="HP154" t="s">
        <v>249</v>
      </c>
      <c r="HQ154" t="s">
        <v>231</v>
      </c>
      <c r="HR154" t="s">
        <v>249</v>
      </c>
      <c r="HU154" t="s">
        <v>231</v>
      </c>
      <c r="HV154" t="s">
        <v>223</v>
      </c>
      <c r="HW154" t="s">
        <v>246</v>
      </c>
      <c r="HX154" t="s">
        <v>236</v>
      </c>
      <c r="IA154" t="s">
        <v>231</v>
      </c>
      <c r="IB154" t="s">
        <v>250</v>
      </c>
      <c r="IC154">
        <v>1.333</v>
      </c>
      <c r="ID154">
        <v>2.5</v>
      </c>
      <c r="IE154">
        <v>4</v>
      </c>
      <c r="IF154">
        <v>10</v>
      </c>
      <c r="IH154" t="s">
        <v>267</v>
      </c>
    </row>
    <row r="155" spans="1:242" x14ac:dyDescent="0.35">
      <c r="A155" s="310" t="s">
        <v>1103</v>
      </c>
      <c r="B155" s="313" t="s">
        <v>1104</v>
      </c>
      <c r="C155" s="310" t="s">
        <v>1105</v>
      </c>
      <c r="D155" s="316"/>
      <c r="F155" t="s">
        <v>1106</v>
      </c>
      <c r="I155" s="310" t="s">
        <v>1107</v>
      </c>
      <c r="M155" s="313"/>
      <c r="O155"/>
      <c r="P155" s="381"/>
      <c r="Q155"/>
      <c r="T155" s="8"/>
      <c r="U155"/>
      <c r="V155" s="313"/>
      <c r="W155"/>
      <c r="X155"/>
      <c r="Z155"/>
      <c r="AB155"/>
      <c r="AD155" s="8" t="s">
        <v>230</v>
      </c>
      <c r="AF155" s="8" t="s">
        <v>230</v>
      </c>
      <c r="AG155"/>
      <c r="AH155"/>
      <c r="AI155"/>
      <c r="AJ155" t="s">
        <v>221</v>
      </c>
      <c r="AK155">
        <v>0</v>
      </c>
      <c r="AL155">
        <v>0.75</v>
      </c>
      <c r="AM155" t="s">
        <v>221</v>
      </c>
      <c r="AN155" t="s">
        <v>223</v>
      </c>
      <c r="AO155" t="s">
        <v>221</v>
      </c>
      <c r="AP155" t="s">
        <v>223</v>
      </c>
      <c r="AQ155" t="s">
        <v>221</v>
      </c>
      <c r="AR155" t="s">
        <v>225</v>
      </c>
      <c r="AS155" t="s">
        <v>221</v>
      </c>
      <c r="AT155" t="s">
        <v>225</v>
      </c>
      <c r="AU155" t="s">
        <v>220</v>
      </c>
      <c r="AV155"/>
      <c r="AW155" s="313" t="s">
        <v>220</v>
      </c>
      <c r="AX155" t="s">
        <v>226</v>
      </c>
      <c r="AY155" s="313" t="s">
        <v>220</v>
      </c>
      <c r="AZ155" s="313">
        <v>0.19700000000000001</v>
      </c>
      <c r="BB155" s="313" t="s">
        <v>220</v>
      </c>
      <c r="BC155">
        <v>0.13100000000000001</v>
      </c>
      <c r="BD155" t="s">
        <v>220</v>
      </c>
      <c r="BE155">
        <v>0.182</v>
      </c>
      <c r="BF155" s="2" t="s">
        <v>220</v>
      </c>
      <c r="BG155" s="2" t="s">
        <v>273</v>
      </c>
      <c r="BH155" s="2" t="s">
        <v>274</v>
      </c>
      <c r="BI155" s="2" t="s">
        <v>275</v>
      </c>
      <c r="BM155"/>
      <c r="BP155" s="8"/>
      <c r="BQ155" t="s">
        <v>230</v>
      </c>
      <c r="BR155" t="s">
        <v>230</v>
      </c>
      <c r="BU155" t="s">
        <v>231</v>
      </c>
      <c r="BV155" t="s">
        <v>223</v>
      </c>
      <c r="BW155" t="s">
        <v>232</v>
      </c>
      <c r="BX155" t="s">
        <v>233</v>
      </c>
      <c r="BY155" t="s">
        <v>220</v>
      </c>
      <c r="BZ155">
        <v>0.33900000000000002</v>
      </c>
      <c r="CA155" t="s">
        <v>372</v>
      </c>
      <c r="CF155" t="s">
        <v>220</v>
      </c>
      <c r="CG155">
        <v>0.115</v>
      </c>
      <c r="CH155" t="s">
        <v>220</v>
      </c>
      <c r="CI155">
        <v>0.153</v>
      </c>
      <c r="CK155"/>
      <c r="CL155"/>
      <c r="CM155"/>
      <c r="CS155" s="8"/>
      <c r="CW155" t="s">
        <v>220</v>
      </c>
      <c r="CX155" t="s">
        <v>220</v>
      </c>
      <c r="CY155" t="s">
        <v>231</v>
      </c>
      <c r="CZ155" t="s">
        <v>220</v>
      </c>
      <c r="DA155" t="s">
        <v>227</v>
      </c>
      <c r="DB155" t="s">
        <v>220</v>
      </c>
      <c r="DC155"/>
      <c r="DD155"/>
      <c r="DE155"/>
      <c r="DF155"/>
      <c r="DG155"/>
      <c r="DH155" s="323"/>
      <c r="DI155" s="323"/>
      <c r="DJ155" s="323"/>
      <c r="DL155" t="s">
        <v>257</v>
      </c>
      <c r="DM155" t="s">
        <v>220</v>
      </c>
      <c r="DN155" t="s">
        <v>227</v>
      </c>
      <c r="DO155" t="s">
        <v>220</v>
      </c>
      <c r="DP155" t="s">
        <v>257</v>
      </c>
      <c r="DS155" s="309">
        <v>18.338000000000001</v>
      </c>
      <c r="DU155" s="338">
        <v>422.541</v>
      </c>
      <c r="DV155" s="8" t="s">
        <v>394</v>
      </c>
      <c r="DW155"/>
      <c r="DX155" t="s">
        <v>235</v>
      </c>
      <c r="DY155"/>
      <c r="DZ155" t="s">
        <v>235</v>
      </c>
      <c r="EA155"/>
      <c r="EB155"/>
      <c r="ED155" s="410"/>
      <c r="EE155" s="1"/>
      <c r="EG155" s="410"/>
      <c r="EI155" s="410"/>
      <c r="EK155" s="1"/>
      <c r="EM155"/>
      <c r="EQ155" s="344"/>
      <c r="EU155" s="344"/>
      <c r="EW155" s="409"/>
      <c r="EY155" s="1"/>
      <c r="FA155">
        <v>61.49</v>
      </c>
      <c r="FB155" t="s">
        <v>225</v>
      </c>
      <c r="FC155" s="7">
        <v>50.268971536906726</v>
      </c>
      <c r="FD155" s="357" t="s">
        <v>236</v>
      </c>
      <c r="FE155" s="8">
        <v>14.736691770366896</v>
      </c>
      <c r="FF155" t="s">
        <v>237</v>
      </c>
      <c r="FH155" s="9">
        <v>63.738230143834684</v>
      </c>
      <c r="FI155" s="9" t="s">
        <v>225</v>
      </c>
      <c r="FK155" t="s">
        <v>235</v>
      </c>
      <c r="FL155">
        <v>211</v>
      </c>
      <c r="FM155">
        <v>28.926773831200922</v>
      </c>
      <c r="FN155" s="5" t="s">
        <v>237</v>
      </c>
      <c r="FP155" s="6">
        <v>1.446338691560046</v>
      </c>
      <c r="FQ155" t="s">
        <v>277</v>
      </c>
      <c r="FS155" t="s">
        <v>240</v>
      </c>
      <c r="FU155" s="8">
        <v>2</v>
      </c>
      <c r="FV155" s="8">
        <v>10</v>
      </c>
      <c r="FW155" s="8">
        <v>10</v>
      </c>
      <c r="FX155" s="8">
        <v>10</v>
      </c>
      <c r="FY155" s="8">
        <v>3</v>
      </c>
      <c r="FZ155">
        <f t="shared" si="2"/>
        <v>6000</v>
      </c>
      <c r="GA155" s="7" t="s">
        <v>326</v>
      </c>
      <c r="GB155" s="7" t="s">
        <v>326</v>
      </c>
      <c r="GC155" s="6">
        <v>1.5</v>
      </c>
      <c r="GD155" s="348" t="s">
        <v>242</v>
      </c>
      <c r="GF155" s="6">
        <v>2.4561152950611495E-2</v>
      </c>
      <c r="GH155" s="7"/>
      <c r="GI155" s="441">
        <v>3.2000000000000001E-2</v>
      </c>
      <c r="GJ155" s="441">
        <v>0.06</v>
      </c>
      <c r="GK155" s="441">
        <v>9.6000000000000002E-2</v>
      </c>
      <c r="GL155" s="441">
        <v>0.24099999999999999</v>
      </c>
      <c r="GM155" s="452" t="s">
        <v>529</v>
      </c>
      <c r="GN155" s="6">
        <v>0.01</v>
      </c>
      <c r="GO155" s="6">
        <v>1.8749999999999999E-2</v>
      </c>
      <c r="GP155" s="6">
        <v>0.03</v>
      </c>
      <c r="GQ155" s="6">
        <v>7.4999999999999997E-2</v>
      </c>
      <c r="GR155" s="6" t="s">
        <v>230</v>
      </c>
      <c r="GU155" t="s">
        <v>365</v>
      </c>
      <c r="GV155" t="s">
        <v>236</v>
      </c>
      <c r="GW155" t="s">
        <v>244</v>
      </c>
      <c r="GX155" t="s">
        <v>236</v>
      </c>
      <c r="GY155" t="s">
        <v>245</v>
      </c>
      <c r="HE155" t="s">
        <v>384</v>
      </c>
      <c r="HF155" t="s">
        <v>223</v>
      </c>
      <c r="HG155" t="s">
        <v>231</v>
      </c>
      <c r="HH155" t="s">
        <v>225</v>
      </c>
      <c r="HI155" t="s">
        <v>247</v>
      </c>
      <c r="HJ155" t="s">
        <v>223</v>
      </c>
      <c r="HK155" t="s">
        <v>266</v>
      </c>
      <c r="HL155" t="s">
        <v>231</v>
      </c>
      <c r="HM155" t="s">
        <v>231</v>
      </c>
      <c r="HO155" t="s">
        <v>231</v>
      </c>
      <c r="HP155" t="s">
        <v>249</v>
      </c>
      <c r="HQ155" t="s">
        <v>231</v>
      </c>
      <c r="HR155" t="s">
        <v>249</v>
      </c>
      <c r="HU155" t="s">
        <v>231</v>
      </c>
      <c r="HV155" t="s">
        <v>223</v>
      </c>
      <c r="HW155" t="s">
        <v>246</v>
      </c>
      <c r="HX155" t="s">
        <v>236</v>
      </c>
      <c r="IA155" t="s">
        <v>231</v>
      </c>
      <c r="IB155" t="s">
        <v>250</v>
      </c>
      <c r="IC155">
        <v>3.2000000000000001E-2</v>
      </c>
      <c r="ID155">
        <v>0.06</v>
      </c>
      <c r="IE155">
        <v>9.6000000000000002E-2</v>
      </c>
      <c r="IF155">
        <v>0.24099999999999999</v>
      </c>
      <c r="IH155" t="s">
        <v>267</v>
      </c>
    </row>
    <row r="156" spans="1:242" ht="18" hidden="1" x14ac:dyDescent="0.35">
      <c r="A156" s="310" t="s">
        <v>1108</v>
      </c>
      <c r="B156" s="313" t="s">
        <v>1109</v>
      </c>
      <c r="C156" s="310" t="s">
        <v>1110</v>
      </c>
      <c r="D156" s="316"/>
      <c r="F156" t="s">
        <v>1111</v>
      </c>
      <c r="I156" s="310" t="s">
        <v>1112</v>
      </c>
      <c r="M156" s="313" t="s">
        <v>257</v>
      </c>
      <c r="O156"/>
      <c r="P156" s="381"/>
      <c r="Q156"/>
      <c r="S156" t="s">
        <v>221</v>
      </c>
      <c r="T156" s="8"/>
      <c r="U156" t="s">
        <v>221</v>
      </c>
      <c r="V156" s="313"/>
      <c r="W156" t="s">
        <v>220</v>
      </c>
      <c r="X156" t="s">
        <v>220</v>
      </c>
      <c r="Z156" t="s">
        <v>220</v>
      </c>
      <c r="AB156"/>
      <c r="AD156" s="8" t="s">
        <v>222</v>
      </c>
      <c r="AF156" s="8" t="s">
        <v>1113</v>
      </c>
      <c r="AG156"/>
      <c r="AH156"/>
      <c r="AI156"/>
      <c r="AJ156" t="s">
        <v>221</v>
      </c>
      <c r="AK156">
        <v>0</v>
      </c>
      <c r="AL156">
        <v>1</v>
      </c>
      <c r="AM156" t="s">
        <v>221</v>
      </c>
      <c r="AN156" t="s">
        <v>223</v>
      </c>
      <c r="AO156" t="s">
        <v>224</v>
      </c>
      <c r="AP156" t="s">
        <v>223</v>
      </c>
      <c r="AQ156" t="s">
        <v>221</v>
      </c>
      <c r="AR156"/>
      <c r="AS156" t="s">
        <v>221</v>
      </c>
      <c r="AT156"/>
      <c r="AU156" t="s">
        <v>220</v>
      </c>
      <c r="AV156"/>
      <c r="AW156" s="313" t="s">
        <v>220</v>
      </c>
      <c r="AX156" t="s">
        <v>226</v>
      </c>
      <c r="AY156" s="313" t="s">
        <v>220</v>
      </c>
      <c r="AZ156" s="313">
        <v>0.436</v>
      </c>
      <c r="BB156" s="313" t="s">
        <v>220</v>
      </c>
      <c r="BC156">
        <v>0.23300000000000001</v>
      </c>
      <c r="BD156" t="s">
        <v>227</v>
      </c>
      <c r="BE156">
        <v>0.59</v>
      </c>
      <c r="BF156" s="2" t="s">
        <v>257</v>
      </c>
      <c r="BH156" s="2" t="s">
        <v>228</v>
      </c>
      <c r="BI156" s="2" t="s">
        <v>1114</v>
      </c>
      <c r="BM156"/>
      <c r="BO156" t="s">
        <v>220</v>
      </c>
      <c r="BP156" s="8"/>
      <c r="BQ156" t="s">
        <v>765</v>
      </c>
      <c r="BR156" t="s">
        <v>319</v>
      </c>
      <c r="BS156" t="s">
        <v>320</v>
      </c>
      <c r="BU156" t="s">
        <v>293</v>
      </c>
      <c r="BV156" t="s">
        <v>236</v>
      </c>
      <c r="BW156" t="s">
        <v>321</v>
      </c>
      <c r="BX156" t="s">
        <v>1115</v>
      </c>
      <c r="BY156" t="s">
        <v>220</v>
      </c>
      <c r="BZ156">
        <v>0.27400000000000002</v>
      </c>
      <c r="CA156" t="s">
        <v>234</v>
      </c>
      <c r="CD156" t="s">
        <v>257</v>
      </c>
      <c r="CF156" t="s">
        <v>227</v>
      </c>
      <c r="CG156">
        <v>0.57899999999999996</v>
      </c>
      <c r="CH156" t="s">
        <v>257</v>
      </c>
      <c r="CI156">
        <v>0.63600000000000001</v>
      </c>
      <c r="CK156" t="s">
        <v>257</v>
      </c>
      <c r="CL156"/>
      <c r="CM156" t="s">
        <v>317</v>
      </c>
      <c r="CP156" t="s">
        <v>257</v>
      </c>
      <c r="CQ156" t="s">
        <v>257</v>
      </c>
      <c r="CS156" s="8"/>
      <c r="CW156" t="s">
        <v>257</v>
      </c>
      <c r="CX156" t="s">
        <v>227</v>
      </c>
      <c r="CY156" t="s">
        <v>231</v>
      </c>
      <c r="CZ156" t="s">
        <v>257</v>
      </c>
      <c r="DA156" t="s">
        <v>257</v>
      </c>
      <c r="DB156" t="s">
        <v>227</v>
      </c>
      <c r="DC156" t="s">
        <v>257</v>
      </c>
      <c r="DD156" t="s">
        <v>257</v>
      </c>
      <c r="DE156"/>
      <c r="DF156"/>
      <c r="DG156"/>
      <c r="DH156" s="323"/>
      <c r="DI156" s="323"/>
      <c r="DJ156" s="323"/>
      <c r="DL156" t="s">
        <v>257</v>
      </c>
      <c r="DM156" t="s">
        <v>257</v>
      </c>
      <c r="DN156" t="s">
        <v>227</v>
      </c>
      <c r="DO156" t="s">
        <v>227</v>
      </c>
      <c r="DP156" t="s">
        <v>227</v>
      </c>
      <c r="DQ156" s="332" t="s">
        <v>1116</v>
      </c>
      <c r="DR156" s="332" t="s">
        <v>1117</v>
      </c>
      <c r="DS156" s="309">
        <v>137.149</v>
      </c>
      <c r="DU156" s="309">
        <v>207.708</v>
      </c>
      <c r="DW156">
        <v>56.8</v>
      </c>
      <c r="DX156" t="s">
        <v>238</v>
      </c>
      <c r="DY156">
        <v>160</v>
      </c>
      <c r="DZ156" t="s">
        <v>238</v>
      </c>
      <c r="EA156"/>
      <c r="EB156"/>
      <c r="ED156" s="410"/>
      <c r="EE156" s="1"/>
      <c r="EG156" s="410"/>
      <c r="EI156" s="410"/>
      <c r="EK156" s="1"/>
      <c r="EM156"/>
      <c r="EQ156" s="344"/>
      <c r="EU156" s="344"/>
      <c r="EW156" s="409"/>
      <c r="EY156" s="1">
        <v>2</v>
      </c>
      <c r="EZ156" s="9" t="s">
        <v>324</v>
      </c>
      <c r="FA156">
        <v>8.6</v>
      </c>
      <c r="FB156" t="s">
        <v>236</v>
      </c>
      <c r="FC156" s="7">
        <v>89.309981622351827</v>
      </c>
      <c r="FD156" s="357" t="s">
        <v>236</v>
      </c>
      <c r="FE156" s="8">
        <v>24.310841956013043</v>
      </c>
      <c r="FF156" t="s">
        <v>237</v>
      </c>
      <c r="FH156" s="9">
        <v>176.76651509282263</v>
      </c>
      <c r="FI156" s="9" t="s">
        <v>236</v>
      </c>
      <c r="FK156" t="s">
        <v>235</v>
      </c>
      <c r="FL156">
        <v>52.5</v>
      </c>
      <c r="FM156">
        <v>80.53784411990668</v>
      </c>
      <c r="FN156" s="419" t="s">
        <v>237</v>
      </c>
      <c r="FV156" s="8"/>
      <c r="FW156" s="8"/>
      <c r="FX156" s="8"/>
      <c r="GC156" s="7">
        <v>2.5000000000000001E-3</v>
      </c>
      <c r="GH156" s="7"/>
      <c r="GI156" s="441" t="s">
        <v>395</v>
      </c>
      <c r="GJ156" s="441" t="s">
        <v>395</v>
      </c>
      <c r="GK156" s="441" t="s">
        <v>395</v>
      </c>
      <c r="GL156" s="441" t="s">
        <v>395</v>
      </c>
      <c r="GM156" s="452" t="s">
        <v>230</v>
      </c>
      <c r="GN156" s="6" t="s">
        <v>395</v>
      </c>
      <c r="GO156" s="6" t="s">
        <v>395</v>
      </c>
      <c r="GP156" s="6" t="s">
        <v>395</v>
      </c>
      <c r="GQ156" s="6" t="s">
        <v>395</v>
      </c>
      <c r="GR156" s="6" t="s">
        <v>230</v>
      </c>
      <c r="GU156" t="s">
        <v>243</v>
      </c>
      <c r="GV156" t="s">
        <v>236</v>
      </c>
      <c r="GW156" t="s">
        <v>244</v>
      </c>
      <c r="GX156" t="s">
        <v>236</v>
      </c>
      <c r="GY156" t="s">
        <v>245</v>
      </c>
      <c r="HE156" t="s">
        <v>246</v>
      </c>
      <c r="HF156" t="s">
        <v>236</v>
      </c>
      <c r="HG156" t="s">
        <v>231</v>
      </c>
      <c r="HH156" t="s">
        <v>236</v>
      </c>
      <c r="HI156" t="s">
        <v>247</v>
      </c>
      <c r="HJ156" t="s">
        <v>225</v>
      </c>
      <c r="HK156" t="s">
        <v>248</v>
      </c>
      <c r="HL156" t="s">
        <v>231</v>
      </c>
      <c r="HM156" t="s">
        <v>231</v>
      </c>
      <c r="HO156" t="s">
        <v>231</v>
      </c>
      <c r="HP156" t="s">
        <v>249</v>
      </c>
      <c r="HQ156" t="s">
        <v>231</v>
      </c>
      <c r="HR156" t="s">
        <v>249</v>
      </c>
      <c r="HU156" t="s">
        <v>231</v>
      </c>
      <c r="HV156" t="s">
        <v>223</v>
      </c>
      <c r="HW156" t="s">
        <v>246</v>
      </c>
      <c r="HX156" t="s">
        <v>236</v>
      </c>
      <c r="IA156" t="s">
        <v>231</v>
      </c>
      <c r="IB156" t="s">
        <v>250</v>
      </c>
      <c r="IC156" t="s">
        <v>395</v>
      </c>
      <c r="ID156" t="s">
        <v>395</v>
      </c>
      <c r="IE156" t="s">
        <v>395</v>
      </c>
      <c r="IF156" t="s">
        <v>395</v>
      </c>
      <c r="IH156" t="s">
        <v>235</v>
      </c>
    </row>
    <row r="157" spans="1:242" x14ac:dyDescent="0.35">
      <c r="A157" s="310" t="s">
        <v>1118</v>
      </c>
      <c r="B157" s="313" t="s">
        <v>1119</v>
      </c>
      <c r="C157" s="310" t="s">
        <v>1120</v>
      </c>
      <c r="D157" s="316"/>
      <c r="F157" t="s">
        <v>1121</v>
      </c>
      <c r="I157" s="310" t="s">
        <v>1122</v>
      </c>
      <c r="M157" s="313"/>
      <c r="O157"/>
      <c r="P157" s="381"/>
      <c r="Q157"/>
      <c r="T157" s="8"/>
      <c r="U157"/>
      <c r="V157" s="313"/>
      <c r="W157" t="s">
        <v>301</v>
      </c>
      <c r="X157"/>
      <c r="Z157"/>
      <c r="AB157"/>
      <c r="AD157" s="8" t="s">
        <v>222</v>
      </c>
      <c r="AF157" s="8" t="s">
        <v>230</v>
      </c>
      <c r="AG157"/>
      <c r="AH157"/>
      <c r="AI157"/>
      <c r="AJ157" t="s">
        <v>221</v>
      </c>
      <c r="AK157">
        <v>0</v>
      </c>
      <c r="AL157">
        <v>0.9</v>
      </c>
      <c r="AM157" t="s">
        <v>221</v>
      </c>
      <c r="AN157" t="s">
        <v>223</v>
      </c>
      <c r="AO157" t="s">
        <v>224</v>
      </c>
      <c r="AP157" t="s">
        <v>223</v>
      </c>
      <c r="AQ157" t="s">
        <v>221</v>
      </c>
      <c r="AR157" t="s">
        <v>223</v>
      </c>
      <c r="AS157" t="s">
        <v>221</v>
      </c>
      <c r="AT157" t="s">
        <v>223</v>
      </c>
      <c r="AU157" t="s">
        <v>220</v>
      </c>
      <c r="AV157"/>
      <c r="AW157" s="313" t="s">
        <v>220</v>
      </c>
      <c r="AX157" t="s">
        <v>226</v>
      </c>
      <c r="AY157" s="313" t="s">
        <v>220</v>
      </c>
      <c r="AZ157" s="313">
        <v>0.17100000000000001</v>
      </c>
      <c r="BB157" s="313" t="s">
        <v>220</v>
      </c>
      <c r="BC157">
        <v>0.105</v>
      </c>
      <c r="BD157" t="s">
        <v>220</v>
      </c>
      <c r="BE157">
        <v>0.13100000000000001</v>
      </c>
      <c r="BF157" s="2" t="s">
        <v>220</v>
      </c>
      <c r="BH157" s="2" t="s">
        <v>228</v>
      </c>
      <c r="BI157" s="2" t="s">
        <v>302</v>
      </c>
      <c r="BM157"/>
      <c r="BP157" s="8"/>
      <c r="BQ157" t="s">
        <v>230</v>
      </c>
      <c r="BR157" t="s">
        <v>230</v>
      </c>
      <c r="BU157" t="s">
        <v>231</v>
      </c>
      <c r="BV157" t="s">
        <v>223</v>
      </c>
      <c r="BW157" t="s">
        <v>232</v>
      </c>
      <c r="BX157" t="s">
        <v>284</v>
      </c>
      <c r="BY157" t="s">
        <v>220</v>
      </c>
      <c r="BZ157">
        <v>0.36699999999999999</v>
      </c>
      <c r="CA157" t="s">
        <v>234</v>
      </c>
      <c r="CF157" t="s">
        <v>220</v>
      </c>
      <c r="CG157">
        <v>0.28799999999999998</v>
      </c>
      <c r="CH157" t="s">
        <v>220</v>
      </c>
      <c r="CI157">
        <v>0.30599999999999999</v>
      </c>
      <c r="CK157"/>
      <c r="CL157"/>
      <c r="CM157"/>
      <c r="CS157" s="8"/>
      <c r="CW157" t="s">
        <v>220</v>
      </c>
      <c r="CX157" t="s">
        <v>220</v>
      </c>
      <c r="CY157" t="s">
        <v>231</v>
      </c>
      <c r="CZ157" t="s">
        <v>220</v>
      </c>
      <c r="DA157" t="s">
        <v>220</v>
      </c>
      <c r="DB157" t="s">
        <v>220</v>
      </c>
      <c r="DC157"/>
      <c r="DD157"/>
      <c r="DE157"/>
      <c r="DF157"/>
      <c r="DG157"/>
      <c r="DH157" s="323"/>
      <c r="DI157" s="323"/>
      <c r="DJ157" s="323"/>
      <c r="DL157" t="s">
        <v>257</v>
      </c>
      <c r="DM157" t="s">
        <v>220</v>
      </c>
      <c r="DN157" t="s">
        <v>257</v>
      </c>
      <c r="DO157" t="s">
        <v>220</v>
      </c>
      <c r="DP157" t="s">
        <v>220</v>
      </c>
      <c r="DS157" s="309">
        <v>113.515</v>
      </c>
      <c r="DU157" s="309">
        <v>169.30199999999999</v>
      </c>
      <c r="DW157">
        <v>18.600000000000001</v>
      </c>
      <c r="DX157" t="s">
        <v>238</v>
      </c>
      <c r="DY157">
        <v>461</v>
      </c>
      <c r="DZ157" t="s">
        <v>238</v>
      </c>
      <c r="EA157"/>
      <c r="EB157"/>
      <c r="ED157" s="410"/>
      <c r="EE157" s="1"/>
      <c r="EG157" s="410">
        <v>120</v>
      </c>
      <c r="EH157" s="8" t="s">
        <v>259</v>
      </c>
      <c r="EI157" s="410"/>
      <c r="EK157" s="1"/>
      <c r="EM157"/>
      <c r="EQ157" s="344"/>
      <c r="EU157" s="344"/>
      <c r="EW157" s="409"/>
      <c r="EY157" s="1"/>
      <c r="FA157">
        <v>101.02</v>
      </c>
      <c r="FB157" t="s">
        <v>225</v>
      </c>
      <c r="FC157" s="7">
        <v>118.08643185698608</v>
      </c>
      <c r="FD157" s="357" t="s">
        <v>225</v>
      </c>
      <c r="FE157" s="8">
        <v>113.34438229710345</v>
      </c>
      <c r="FF157" t="s">
        <v>237</v>
      </c>
      <c r="FH157" s="9">
        <v>105.65741960029294</v>
      </c>
      <c r="FI157" s="9" t="s">
        <v>225</v>
      </c>
      <c r="FJ157">
        <v>66.099999999999994</v>
      </c>
      <c r="FK157" t="s">
        <v>238</v>
      </c>
      <c r="FL157">
        <v>300</v>
      </c>
      <c r="FM157">
        <v>414.38115826427912</v>
      </c>
      <c r="FN157" s="5" t="s">
        <v>237</v>
      </c>
      <c r="FP157" s="6">
        <v>60</v>
      </c>
      <c r="FQ157" t="s">
        <v>615</v>
      </c>
      <c r="FS157" t="s">
        <v>261</v>
      </c>
      <c r="FU157" s="8">
        <v>2</v>
      </c>
      <c r="FV157" s="8">
        <v>10</v>
      </c>
      <c r="FW157" s="8">
        <v>10</v>
      </c>
      <c r="FX157" s="8">
        <v>1</v>
      </c>
      <c r="FY157" s="8">
        <v>3</v>
      </c>
      <c r="FZ157">
        <f t="shared" si="2"/>
        <v>600</v>
      </c>
      <c r="GA157" s="7" t="s">
        <v>241</v>
      </c>
      <c r="GB157" s="7" t="s">
        <v>241</v>
      </c>
      <c r="GC157" s="6">
        <v>30</v>
      </c>
      <c r="GD157" s="348" t="s">
        <v>242</v>
      </c>
      <c r="GF157" s="6">
        <v>2.2033333333333332E-2</v>
      </c>
      <c r="GH157" s="7"/>
      <c r="GI157" s="441"/>
      <c r="GJ157" s="441"/>
      <c r="GK157" s="441"/>
      <c r="GL157" s="441"/>
      <c r="GM157" s="454"/>
      <c r="GN157" s="441"/>
      <c r="GO157" s="441"/>
      <c r="GP157" s="441"/>
      <c r="GQ157" s="441"/>
      <c r="GR157" s="441"/>
      <c r="GS157" s="441"/>
      <c r="GT157" s="441"/>
      <c r="GU157" s="441"/>
      <c r="GV157" s="441"/>
      <c r="GW157" s="441"/>
      <c r="GX157" s="441"/>
      <c r="GY157" s="441"/>
      <c r="GZ157" s="441"/>
      <c r="HA157" s="441"/>
      <c r="HB157" s="441"/>
      <c r="HC157" s="441"/>
      <c r="HD157" s="441"/>
      <c r="HE157" s="441"/>
      <c r="HF157" s="441"/>
      <c r="HG157" s="441"/>
      <c r="HH157" s="441"/>
      <c r="HI157" s="441"/>
      <c r="HJ157" s="441"/>
      <c r="HK157" s="441"/>
      <c r="HL157" s="441"/>
      <c r="HM157" s="441"/>
      <c r="HN157" s="441"/>
      <c r="HO157" s="441"/>
      <c r="HP157" s="441"/>
      <c r="HQ157" s="441"/>
      <c r="HR157" s="441"/>
      <c r="HS157" s="441"/>
      <c r="HT157" s="441"/>
      <c r="HU157" s="441"/>
      <c r="HV157" s="441"/>
      <c r="HW157" s="441"/>
      <c r="HX157" s="441"/>
      <c r="HY157" s="441"/>
      <c r="HZ157" s="441"/>
      <c r="IA157" s="441"/>
      <c r="IB157" s="441"/>
      <c r="IC157" s="441"/>
      <c r="ID157" s="441"/>
      <c r="IE157" s="441"/>
      <c r="IF157" s="441"/>
      <c r="IH157" t="s">
        <v>235</v>
      </c>
    </row>
    <row r="158" spans="1:242" x14ac:dyDescent="0.35">
      <c r="A158" s="310" t="s">
        <v>1123</v>
      </c>
      <c r="B158" s="313" t="s">
        <v>1124</v>
      </c>
      <c r="C158" s="310" t="s">
        <v>1125</v>
      </c>
      <c r="D158" s="316"/>
      <c r="F158" t="s">
        <v>1125</v>
      </c>
      <c r="I158" s="310" t="s">
        <v>1126</v>
      </c>
      <c r="M158" s="313"/>
      <c r="O158" t="s">
        <v>221</v>
      </c>
      <c r="P158" s="381"/>
      <c r="Q158" t="s">
        <v>221</v>
      </c>
      <c r="T158" s="8"/>
      <c r="U158" t="s">
        <v>221</v>
      </c>
      <c r="V158" s="313"/>
      <c r="W158" t="s">
        <v>220</v>
      </c>
      <c r="X158" t="s">
        <v>220</v>
      </c>
      <c r="Z158" t="s">
        <v>220</v>
      </c>
      <c r="AB158"/>
      <c r="AD158" s="8" t="s">
        <v>230</v>
      </c>
      <c r="AF158" s="8" t="s">
        <v>222</v>
      </c>
      <c r="AG158"/>
      <c r="AH158"/>
      <c r="AI158"/>
      <c r="AJ158" t="s">
        <v>221</v>
      </c>
      <c r="AK158">
        <v>0</v>
      </c>
      <c r="AL158">
        <v>1</v>
      </c>
      <c r="AM158" t="s">
        <v>221</v>
      </c>
      <c r="AN158" t="s">
        <v>249</v>
      </c>
      <c r="AO158" t="s">
        <v>221</v>
      </c>
      <c r="AP158"/>
      <c r="AQ158" t="s">
        <v>221</v>
      </c>
      <c r="AR158" t="s">
        <v>225</v>
      </c>
      <c r="AS158" t="s">
        <v>221</v>
      </c>
      <c r="AT158"/>
      <c r="AU158" t="s">
        <v>220</v>
      </c>
      <c r="AV158"/>
      <c r="AW158" s="313" t="s">
        <v>220</v>
      </c>
      <c r="AX158" t="s">
        <v>226</v>
      </c>
      <c r="AY158" s="313" t="s">
        <v>220</v>
      </c>
      <c r="AZ158" s="313">
        <v>0.34100000000000003</v>
      </c>
      <c r="BB158" s="313" t="s">
        <v>220</v>
      </c>
      <c r="BC158">
        <v>0.221</v>
      </c>
      <c r="BD158" t="s">
        <v>227</v>
      </c>
      <c r="BE158">
        <v>0.23799999999999999</v>
      </c>
      <c r="BF158" s="2" t="s">
        <v>220</v>
      </c>
      <c r="BH158" s="2" t="s">
        <v>228</v>
      </c>
      <c r="BI158" s="2" t="s">
        <v>292</v>
      </c>
      <c r="BM158"/>
      <c r="BP158" s="8"/>
      <c r="BQ158" t="s">
        <v>230</v>
      </c>
      <c r="BR158" t="s">
        <v>230</v>
      </c>
      <c r="BU158" t="s">
        <v>231</v>
      </c>
      <c r="BV158" t="s">
        <v>223</v>
      </c>
      <c r="BW158" t="s">
        <v>232</v>
      </c>
      <c r="BX158" t="s">
        <v>276</v>
      </c>
      <c r="BY158" t="s">
        <v>227</v>
      </c>
      <c r="BZ158">
        <v>0.61899999999999999</v>
      </c>
      <c r="CA158" t="s">
        <v>234</v>
      </c>
      <c r="CF158" t="s">
        <v>227</v>
      </c>
      <c r="CG158">
        <v>0.42799999999999999</v>
      </c>
      <c r="CH158" t="s">
        <v>227</v>
      </c>
      <c r="CI158">
        <v>0.379</v>
      </c>
      <c r="CK158"/>
      <c r="CL158"/>
      <c r="CM158"/>
      <c r="CS158" s="8"/>
      <c r="CW158" t="s">
        <v>227</v>
      </c>
      <c r="CX158" t="s">
        <v>227</v>
      </c>
      <c r="CY158" t="s">
        <v>231</v>
      </c>
      <c r="CZ158" t="s">
        <v>227</v>
      </c>
      <c r="DA158" t="s">
        <v>227</v>
      </c>
      <c r="DB158" t="s">
        <v>227</v>
      </c>
      <c r="DC158"/>
      <c r="DD158"/>
      <c r="DE158"/>
      <c r="DF158"/>
      <c r="DG158"/>
      <c r="DH158" s="323"/>
      <c r="DI158" s="323"/>
      <c r="DJ158" s="323"/>
      <c r="DL158" t="s">
        <v>227</v>
      </c>
      <c r="DM158" t="s">
        <v>227</v>
      </c>
      <c r="DN158" t="s">
        <v>227</v>
      </c>
      <c r="DO158" t="s">
        <v>227</v>
      </c>
      <c r="DP158" t="s">
        <v>227</v>
      </c>
      <c r="DS158" s="309">
        <v>354.10300000000001</v>
      </c>
      <c r="DU158" s="309">
        <v>191.84299999999999</v>
      </c>
      <c r="DW158"/>
      <c r="DX158" t="s">
        <v>235</v>
      </c>
      <c r="DY158">
        <v>894</v>
      </c>
      <c r="DZ158" t="s">
        <v>238</v>
      </c>
      <c r="EA158"/>
      <c r="EB158"/>
      <c r="ED158" s="410"/>
      <c r="EE158" s="1"/>
      <c r="EG158" s="410"/>
      <c r="EI158" s="410"/>
      <c r="EK158" s="1"/>
      <c r="EM158"/>
      <c r="EQ158" s="344"/>
      <c r="EU158" s="344"/>
      <c r="EW158" s="409"/>
      <c r="EY158" s="1"/>
      <c r="FA158">
        <v>32.17</v>
      </c>
      <c r="FB158" t="s">
        <v>225</v>
      </c>
      <c r="FC158" s="7">
        <v>89.412862750295403</v>
      </c>
      <c r="FD158" s="357" t="s">
        <v>236</v>
      </c>
      <c r="FE158" s="8">
        <v>47.141131237256118</v>
      </c>
      <c r="FF158" t="s">
        <v>237</v>
      </c>
      <c r="FH158" s="9">
        <v>43.762285994534984</v>
      </c>
      <c r="FI158" s="9" t="s">
        <v>236</v>
      </c>
      <c r="FJ158">
        <v>332</v>
      </c>
      <c r="FK158" t="s">
        <v>238</v>
      </c>
      <c r="FL158">
        <v>41.2</v>
      </c>
      <c r="FM158">
        <v>196.24563241736919</v>
      </c>
      <c r="FN158" s="5" t="s">
        <v>237</v>
      </c>
      <c r="FP158" s="6">
        <v>4.12</v>
      </c>
      <c r="FQ158" t="s">
        <v>239</v>
      </c>
      <c r="FS158" t="s">
        <v>240</v>
      </c>
      <c r="FU158" s="8">
        <v>1</v>
      </c>
      <c r="FV158" s="8">
        <v>10</v>
      </c>
      <c r="FW158" s="8">
        <v>10</v>
      </c>
      <c r="FX158" s="8">
        <v>10</v>
      </c>
      <c r="FY158" s="8">
        <v>3</v>
      </c>
      <c r="FZ158">
        <f t="shared" si="2"/>
        <v>3000</v>
      </c>
      <c r="GA158" s="7" t="s">
        <v>241</v>
      </c>
      <c r="GB158" s="7" t="s">
        <v>241</v>
      </c>
      <c r="GC158" s="6">
        <v>30</v>
      </c>
      <c r="GD158" s="348" t="s">
        <v>242</v>
      </c>
      <c r="GF158" s="6">
        <v>1.3733333333333334E-2</v>
      </c>
      <c r="GH158" s="7"/>
      <c r="GI158" s="445"/>
      <c r="GJ158" s="445"/>
      <c r="GK158" s="445"/>
      <c r="GL158" s="445"/>
      <c r="GM158" s="453"/>
      <c r="GN158" s="6">
        <v>0.2</v>
      </c>
      <c r="GO158" s="6">
        <v>0.375</v>
      </c>
      <c r="GP158" s="6">
        <v>0.6</v>
      </c>
      <c r="GQ158" s="6">
        <v>1.5</v>
      </c>
      <c r="GR158" s="6" t="s">
        <v>230</v>
      </c>
      <c r="GU158" t="s">
        <v>243</v>
      </c>
      <c r="GV158" t="s">
        <v>236</v>
      </c>
      <c r="GW158" t="s">
        <v>244</v>
      </c>
      <c r="GX158" t="s">
        <v>236</v>
      </c>
      <c r="GY158" t="s">
        <v>245</v>
      </c>
      <c r="HE158" t="s">
        <v>246</v>
      </c>
      <c r="HF158" t="s">
        <v>236</v>
      </c>
      <c r="HG158" t="s">
        <v>231</v>
      </c>
      <c r="HH158" t="s">
        <v>223</v>
      </c>
      <c r="HI158" t="s">
        <v>247</v>
      </c>
      <c r="HJ158" t="s">
        <v>225</v>
      </c>
      <c r="HK158" t="s">
        <v>248</v>
      </c>
      <c r="HL158" t="s">
        <v>231</v>
      </c>
      <c r="HM158" t="s">
        <v>231</v>
      </c>
      <c r="HO158" t="s">
        <v>231</v>
      </c>
      <c r="HP158" t="s">
        <v>249</v>
      </c>
      <c r="HQ158" t="s">
        <v>231</v>
      </c>
      <c r="HR158" t="s">
        <v>249</v>
      </c>
      <c r="HU158" t="s">
        <v>231</v>
      </c>
      <c r="HV158" t="s">
        <v>223</v>
      </c>
      <c r="HW158" t="s">
        <v>246</v>
      </c>
      <c r="HX158" t="s">
        <v>236</v>
      </c>
      <c r="IA158" t="s">
        <v>231</v>
      </c>
      <c r="IB158" t="s">
        <v>250</v>
      </c>
      <c r="IC158" s="447"/>
      <c r="ID158" s="447"/>
      <c r="IE158" s="447"/>
      <c r="IF158" s="447"/>
      <c r="IH158" t="s">
        <v>235</v>
      </c>
    </row>
    <row r="159" spans="1:242" x14ac:dyDescent="0.35">
      <c r="A159" s="310" t="s">
        <v>1127</v>
      </c>
      <c r="B159" s="313" t="s">
        <v>1128</v>
      </c>
      <c r="C159" s="310" t="s">
        <v>1129</v>
      </c>
      <c r="D159" s="316"/>
      <c r="F159" t="s">
        <v>1130</v>
      </c>
      <c r="I159" s="310" t="s">
        <v>1131</v>
      </c>
      <c r="M159" s="313"/>
      <c r="O159" t="s">
        <v>221</v>
      </c>
      <c r="P159" s="381"/>
      <c r="Q159" t="s">
        <v>221</v>
      </c>
      <c r="T159" s="8"/>
      <c r="U159" t="s">
        <v>221</v>
      </c>
      <c r="V159" s="313"/>
      <c r="W159" t="s">
        <v>220</v>
      </c>
      <c r="X159" t="s">
        <v>220</v>
      </c>
      <c r="Z159" t="s">
        <v>220</v>
      </c>
      <c r="AB159"/>
      <c r="AD159" s="8" t="s">
        <v>222</v>
      </c>
      <c r="AF159" s="8" t="s">
        <v>222</v>
      </c>
      <c r="AG159"/>
      <c r="AH159"/>
      <c r="AI159"/>
      <c r="AJ159" t="s">
        <v>221</v>
      </c>
      <c r="AK159">
        <v>0</v>
      </c>
      <c r="AL159">
        <v>1</v>
      </c>
      <c r="AM159" t="s">
        <v>221</v>
      </c>
      <c r="AN159" t="s">
        <v>249</v>
      </c>
      <c r="AO159" t="s">
        <v>221</v>
      </c>
      <c r="AP159"/>
      <c r="AQ159" t="s">
        <v>414</v>
      </c>
      <c r="AR159" t="s">
        <v>236</v>
      </c>
      <c r="AS159" t="s">
        <v>221</v>
      </c>
      <c r="AT159"/>
      <c r="AU159" t="s">
        <v>220</v>
      </c>
      <c r="AV159"/>
      <c r="AW159" s="313" t="s">
        <v>220</v>
      </c>
      <c r="AX159" t="s">
        <v>226</v>
      </c>
      <c r="AY159" s="313" t="s">
        <v>220</v>
      </c>
      <c r="AZ159" s="313">
        <v>0.17299999999999999</v>
      </c>
      <c r="BB159" s="313" t="s">
        <v>220</v>
      </c>
      <c r="BC159">
        <v>9.6699999999999994E-2</v>
      </c>
      <c r="BD159" t="s">
        <v>220</v>
      </c>
      <c r="BE159">
        <v>0.33800000000000002</v>
      </c>
      <c r="BF159" s="2" t="s">
        <v>220</v>
      </c>
      <c r="BH159" s="2" t="s">
        <v>228</v>
      </c>
      <c r="BI159" s="2" t="s">
        <v>229</v>
      </c>
      <c r="BM159"/>
      <c r="BP159" s="8"/>
      <c r="BQ159" t="s">
        <v>230</v>
      </c>
      <c r="BR159" t="s">
        <v>230</v>
      </c>
      <c r="BU159" t="s">
        <v>231</v>
      </c>
      <c r="BV159" t="s">
        <v>223</v>
      </c>
      <c r="BW159" t="s">
        <v>232</v>
      </c>
      <c r="BX159" t="s">
        <v>284</v>
      </c>
      <c r="BY159" t="s">
        <v>220</v>
      </c>
      <c r="BZ159">
        <v>0.372</v>
      </c>
      <c r="CA159" t="s">
        <v>372</v>
      </c>
      <c r="CF159" t="s">
        <v>220</v>
      </c>
      <c r="CG159">
        <v>0.28499999999999998</v>
      </c>
      <c r="CH159" t="s">
        <v>257</v>
      </c>
      <c r="CI159">
        <v>0.80100000000000005</v>
      </c>
      <c r="CK159"/>
      <c r="CL159"/>
      <c r="CM159"/>
      <c r="CS159" s="8"/>
      <c r="CW159" t="s">
        <v>220</v>
      </c>
      <c r="CX159" t="s">
        <v>220</v>
      </c>
      <c r="CY159" t="s">
        <v>231</v>
      </c>
      <c r="CZ159" t="s">
        <v>220</v>
      </c>
      <c r="DA159" t="s">
        <v>227</v>
      </c>
      <c r="DB159" t="s">
        <v>220</v>
      </c>
      <c r="DC159"/>
      <c r="DD159"/>
      <c r="DE159"/>
      <c r="DF159"/>
      <c r="DG159"/>
      <c r="DH159" s="323"/>
      <c r="DI159" s="323"/>
      <c r="DJ159" s="323"/>
      <c r="DL159" t="s">
        <v>257</v>
      </c>
      <c r="DM159" t="s">
        <v>257</v>
      </c>
      <c r="DN159" t="s">
        <v>257</v>
      </c>
      <c r="DO159" t="s">
        <v>220</v>
      </c>
      <c r="DP159" t="s">
        <v>220</v>
      </c>
      <c r="DS159" s="309">
        <v>45.008000000000003</v>
      </c>
      <c r="DU159" s="309">
        <v>309.84100000000001</v>
      </c>
      <c r="DW159">
        <v>5.27</v>
      </c>
      <c r="DX159" t="s">
        <v>238</v>
      </c>
      <c r="DY159">
        <v>328</v>
      </c>
      <c r="DZ159" t="s">
        <v>238</v>
      </c>
      <c r="EA159"/>
      <c r="EB159"/>
      <c r="ED159" s="410"/>
      <c r="EE159" s="1"/>
      <c r="EG159" s="410">
        <v>120</v>
      </c>
      <c r="EH159" s="8" t="s">
        <v>259</v>
      </c>
      <c r="EI159" s="410"/>
      <c r="EK159" s="1"/>
      <c r="EM159"/>
      <c r="EQ159" s="344"/>
      <c r="EU159" s="344"/>
      <c r="EW159" s="409"/>
      <c r="EY159" s="1"/>
      <c r="FA159">
        <v>80.64</v>
      </c>
      <c r="FB159" t="s">
        <v>236</v>
      </c>
      <c r="FC159" s="7">
        <v>118.33139924744627</v>
      </c>
      <c r="FD159" s="357" t="s">
        <v>236</v>
      </c>
      <c r="FE159" s="8">
        <v>59.237947158772521</v>
      </c>
      <c r="FF159" t="s">
        <v>237</v>
      </c>
      <c r="FH159" s="9">
        <v>63.708884361752787</v>
      </c>
      <c r="FI159" s="9" t="s">
        <v>236</v>
      </c>
      <c r="FJ159">
        <v>150</v>
      </c>
      <c r="FK159" t="s">
        <v>238</v>
      </c>
      <c r="FL159">
        <v>158</v>
      </c>
      <c r="FM159">
        <v>164.36146363905533</v>
      </c>
      <c r="FN159" s="5" t="s">
        <v>237</v>
      </c>
      <c r="FP159" s="6">
        <v>60</v>
      </c>
      <c r="FQ159" t="s">
        <v>615</v>
      </c>
      <c r="FS159" t="s">
        <v>261</v>
      </c>
      <c r="FU159" s="8">
        <v>2</v>
      </c>
      <c r="FV159" s="8">
        <v>10</v>
      </c>
      <c r="FW159" s="8">
        <v>10</v>
      </c>
      <c r="FX159" s="8">
        <v>1</v>
      </c>
      <c r="FY159" s="8">
        <v>3</v>
      </c>
      <c r="FZ159">
        <f t="shared" si="2"/>
        <v>600</v>
      </c>
      <c r="GA159" s="7" t="s">
        <v>241</v>
      </c>
      <c r="GB159" s="7" t="s">
        <v>241</v>
      </c>
      <c r="GC159" s="6">
        <v>30</v>
      </c>
      <c r="GD159" s="348" t="s">
        <v>242</v>
      </c>
      <c r="GF159" s="6">
        <v>0.05</v>
      </c>
      <c r="GH159" s="7"/>
      <c r="GI159" s="441">
        <v>1.333</v>
      </c>
      <c r="GJ159" s="441">
        <v>2.5</v>
      </c>
      <c r="GK159" s="441">
        <v>4</v>
      </c>
      <c r="GL159" s="441">
        <v>10</v>
      </c>
      <c r="GM159" s="452" t="s">
        <v>262</v>
      </c>
      <c r="GN159" s="6">
        <v>0.2</v>
      </c>
      <c r="GO159" s="6">
        <v>0.375</v>
      </c>
      <c r="GP159" s="6">
        <v>0.6</v>
      </c>
      <c r="GQ159" s="6">
        <v>1.5</v>
      </c>
      <c r="GR159" s="6" t="s">
        <v>230</v>
      </c>
      <c r="GU159" t="s">
        <v>243</v>
      </c>
      <c r="GV159" t="s">
        <v>236</v>
      </c>
      <c r="GW159" t="s">
        <v>244</v>
      </c>
      <c r="GX159" t="s">
        <v>225</v>
      </c>
      <c r="GY159" t="s">
        <v>245</v>
      </c>
      <c r="HB159" t="s">
        <v>376</v>
      </c>
      <c r="HE159" t="s">
        <v>384</v>
      </c>
      <c r="HF159" t="s">
        <v>223</v>
      </c>
      <c r="HG159" t="s">
        <v>231</v>
      </c>
      <c r="HH159" t="s">
        <v>225</v>
      </c>
      <c r="HI159" t="s">
        <v>247</v>
      </c>
      <c r="HJ159" t="s">
        <v>249</v>
      </c>
      <c r="HK159" t="s">
        <v>266</v>
      </c>
      <c r="HL159" t="s">
        <v>231</v>
      </c>
      <c r="HM159" t="s">
        <v>231</v>
      </c>
      <c r="HO159" t="s">
        <v>231</v>
      </c>
      <c r="HP159" t="s">
        <v>249</v>
      </c>
      <c r="HQ159" t="s">
        <v>231</v>
      </c>
      <c r="HR159" t="s">
        <v>249</v>
      </c>
      <c r="HU159" t="s">
        <v>231</v>
      </c>
      <c r="HV159" t="s">
        <v>223</v>
      </c>
      <c r="HW159" t="s">
        <v>246</v>
      </c>
      <c r="HX159" t="s">
        <v>236</v>
      </c>
      <c r="IA159" t="s">
        <v>231</v>
      </c>
      <c r="IB159" t="s">
        <v>250</v>
      </c>
      <c r="IC159">
        <v>1.333</v>
      </c>
      <c r="ID159">
        <v>2.5</v>
      </c>
      <c r="IE159">
        <v>4</v>
      </c>
      <c r="IF159">
        <v>10</v>
      </c>
      <c r="IH159" t="s">
        <v>267</v>
      </c>
    </row>
    <row r="160" spans="1:242" ht="18" hidden="1" x14ac:dyDescent="0.35">
      <c r="A160" s="310" t="s">
        <v>1132</v>
      </c>
      <c r="B160" s="313" t="s">
        <v>1133</v>
      </c>
      <c r="C160" s="310" t="s">
        <v>1134</v>
      </c>
      <c r="D160" s="316"/>
      <c r="F160" t="s">
        <v>1135</v>
      </c>
      <c r="I160" s="310" t="s">
        <v>1136</v>
      </c>
      <c r="M160" s="313" t="s">
        <v>220</v>
      </c>
      <c r="O160" t="s">
        <v>414</v>
      </c>
      <c r="P160" s="381"/>
      <c r="Q160" t="s">
        <v>414</v>
      </c>
      <c r="T160" s="8"/>
      <c r="U160" t="s">
        <v>414</v>
      </c>
      <c r="V160" s="313"/>
      <c r="W160" t="s">
        <v>220</v>
      </c>
      <c r="X160" t="s">
        <v>220</v>
      </c>
      <c r="Z160" t="s">
        <v>220</v>
      </c>
      <c r="AB160"/>
      <c r="AD160" s="8" t="s">
        <v>291</v>
      </c>
      <c r="AF160" s="8" t="s">
        <v>291</v>
      </c>
      <c r="AG160"/>
      <c r="AH160" t="s">
        <v>1137</v>
      </c>
      <c r="AI160"/>
      <c r="AJ160" t="s">
        <v>414</v>
      </c>
      <c r="AK160">
        <v>1</v>
      </c>
      <c r="AL160">
        <v>0</v>
      </c>
      <c r="AM160" t="s">
        <v>221</v>
      </c>
      <c r="AN160" t="s">
        <v>249</v>
      </c>
      <c r="AO160" t="s">
        <v>224</v>
      </c>
      <c r="AP160"/>
      <c r="AQ160" t="s">
        <v>414</v>
      </c>
      <c r="AR160" t="s">
        <v>236</v>
      </c>
      <c r="AS160" t="s">
        <v>414</v>
      </c>
      <c r="AT160"/>
      <c r="AU160" t="s">
        <v>220</v>
      </c>
      <c r="AV160"/>
      <c r="AW160" s="313" t="s">
        <v>220</v>
      </c>
      <c r="AX160" t="s">
        <v>226</v>
      </c>
      <c r="AY160" s="313" t="s">
        <v>220</v>
      </c>
      <c r="AZ160" s="313">
        <v>0.316</v>
      </c>
      <c r="BB160" s="313" t="s">
        <v>220</v>
      </c>
      <c r="BC160">
        <v>0.10100000000000001</v>
      </c>
      <c r="BD160" t="s">
        <v>220</v>
      </c>
      <c r="BE160">
        <v>0.316</v>
      </c>
      <c r="BF160" s="2" t="s">
        <v>257</v>
      </c>
      <c r="BH160" s="2" t="s">
        <v>228</v>
      </c>
      <c r="BI160" s="2" t="s">
        <v>229</v>
      </c>
      <c r="BM160"/>
      <c r="BP160" s="8"/>
      <c r="BQ160" t="s">
        <v>230</v>
      </c>
      <c r="BR160" t="s">
        <v>230</v>
      </c>
      <c r="BU160" t="s">
        <v>293</v>
      </c>
      <c r="BV160" t="s">
        <v>236</v>
      </c>
      <c r="BW160" t="s">
        <v>232</v>
      </c>
      <c r="BX160" t="s">
        <v>276</v>
      </c>
      <c r="BY160" t="s">
        <v>227</v>
      </c>
      <c r="BZ160">
        <v>0.38900000000000001</v>
      </c>
      <c r="CA160" t="s">
        <v>372</v>
      </c>
      <c r="CD160" t="s">
        <v>257</v>
      </c>
      <c r="CF160" t="s">
        <v>227</v>
      </c>
      <c r="CG160">
        <v>0.56399999999999995</v>
      </c>
      <c r="CH160" t="s">
        <v>257</v>
      </c>
      <c r="CI160">
        <v>0.64</v>
      </c>
      <c r="CK160" t="s">
        <v>257</v>
      </c>
      <c r="CL160"/>
      <c r="CM160" t="s">
        <v>317</v>
      </c>
      <c r="CN160" s="2" t="s">
        <v>766</v>
      </c>
      <c r="CP160" t="s">
        <v>220</v>
      </c>
      <c r="CQ160" t="s">
        <v>220</v>
      </c>
      <c r="CS160" s="8" t="s">
        <v>1137</v>
      </c>
      <c r="CW160" t="s">
        <v>257</v>
      </c>
      <c r="CX160" t="s">
        <v>257</v>
      </c>
      <c r="CY160" t="s">
        <v>317</v>
      </c>
      <c r="CZ160" t="s">
        <v>220</v>
      </c>
      <c r="DA160" t="s">
        <v>220</v>
      </c>
      <c r="DB160" t="s">
        <v>227</v>
      </c>
      <c r="DC160" t="s">
        <v>257</v>
      </c>
      <c r="DD160" t="s">
        <v>257</v>
      </c>
      <c r="DE160" t="s">
        <v>257</v>
      </c>
      <c r="DF160"/>
      <c r="DG160"/>
      <c r="DH160" s="323"/>
      <c r="DI160" s="323" t="s">
        <v>1138</v>
      </c>
      <c r="DJ160" s="323"/>
      <c r="DL160" t="s">
        <v>257</v>
      </c>
      <c r="DM160" t="s">
        <v>257</v>
      </c>
      <c r="DN160" t="s">
        <v>257</v>
      </c>
      <c r="DO160" t="s">
        <v>220</v>
      </c>
      <c r="DP160" t="s">
        <v>220</v>
      </c>
      <c r="DQ160" s="332">
        <v>683</v>
      </c>
      <c r="DR160" s="332" t="s">
        <v>1139</v>
      </c>
      <c r="DS160" s="309">
        <v>53.390999999999998</v>
      </c>
      <c r="DU160" s="309">
        <v>247.15799999999999</v>
      </c>
      <c r="DW160">
        <v>2.13</v>
      </c>
      <c r="DX160" t="s">
        <v>238</v>
      </c>
      <c r="DY160">
        <v>12.1</v>
      </c>
      <c r="DZ160" t="s">
        <v>238</v>
      </c>
      <c r="EA160"/>
      <c r="EB160">
        <v>1.954</v>
      </c>
      <c r="ED160" s="410">
        <v>53</v>
      </c>
      <c r="EE160" s="1">
        <v>54</v>
      </c>
      <c r="EF160" s="8" t="s">
        <v>703</v>
      </c>
      <c r="EG160" s="410">
        <v>54</v>
      </c>
      <c r="EH160" s="8" t="s">
        <v>259</v>
      </c>
      <c r="EI160" s="410"/>
      <c r="EK160" s="1">
        <v>53</v>
      </c>
      <c r="EL160" s="8" t="s">
        <v>259</v>
      </c>
      <c r="EM160">
        <v>1.954</v>
      </c>
      <c r="EN160" s="9">
        <v>59.917184726879995</v>
      </c>
      <c r="EQ160" s="344"/>
      <c r="EU160" s="344"/>
      <c r="EW160" s="381">
        <v>60</v>
      </c>
      <c r="EX160" s="8" t="s">
        <v>324</v>
      </c>
      <c r="EY160" s="1"/>
      <c r="FA160">
        <v>27.24</v>
      </c>
      <c r="FB160" t="s">
        <v>236</v>
      </c>
      <c r="FC160" s="7">
        <v>44.977985489328816</v>
      </c>
      <c r="FD160" s="357"/>
      <c r="FE160" s="8">
        <v>139.95873225726191</v>
      </c>
      <c r="FF160" t="s">
        <v>237</v>
      </c>
      <c r="FH160" s="9">
        <v>89.949758153003529</v>
      </c>
      <c r="FI160" s="9" t="s">
        <v>249</v>
      </c>
      <c r="FK160" t="s">
        <v>235</v>
      </c>
      <c r="FL160">
        <v>81</v>
      </c>
      <c r="FM160">
        <v>355.54944085859307</v>
      </c>
      <c r="FN160" s="419" t="s">
        <v>237</v>
      </c>
      <c r="FV160" s="8"/>
      <c r="FW160" s="8"/>
      <c r="FX160" s="8"/>
      <c r="GC160" s="7">
        <v>2.5000000000000001E-3</v>
      </c>
      <c r="GE160" s="6">
        <v>0.5</v>
      </c>
      <c r="GH160" s="7"/>
      <c r="GI160" s="441" t="s">
        <v>395</v>
      </c>
      <c r="GJ160" s="441" t="s">
        <v>395</v>
      </c>
      <c r="GK160" s="441" t="s">
        <v>395</v>
      </c>
      <c r="GL160" s="441" t="s">
        <v>395</v>
      </c>
      <c r="GM160" s="452" t="s">
        <v>230</v>
      </c>
      <c r="GN160" s="6" t="s">
        <v>395</v>
      </c>
      <c r="GO160" s="6" t="s">
        <v>395</v>
      </c>
      <c r="GP160" s="6" t="s">
        <v>395</v>
      </c>
      <c r="GQ160" s="6" t="s">
        <v>395</v>
      </c>
      <c r="GR160" s="6" t="s">
        <v>230</v>
      </c>
      <c r="GU160" t="s">
        <v>243</v>
      </c>
      <c r="GV160" t="s">
        <v>236</v>
      </c>
      <c r="GW160" t="s">
        <v>244</v>
      </c>
      <c r="GX160" t="s">
        <v>236</v>
      </c>
      <c r="GY160" t="s">
        <v>245</v>
      </c>
      <c r="GZ160" t="s">
        <v>376</v>
      </c>
      <c r="HE160" t="s">
        <v>247</v>
      </c>
      <c r="HF160" t="s">
        <v>249</v>
      </c>
      <c r="HG160" t="s">
        <v>231</v>
      </c>
      <c r="HH160" t="s">
        <v>236</v>
      </c>
      <c r="HI160" t="s">
        <v>247</v>
      </c>
      <c r="HJ160" t="s">
        <v>223</v>
      </c>
      <c r="HK160" t="s">
        <v>248</v>
      </c>
      <c r="HO160" t="s">
        <v>231</v>
      </c>
      <c r="HP160" t="s">
        <v>223</v>
      </c>
      <c r="HQ160" t="s">
        <v>231</v>
      </c>
      <c r="HR160" t="s">
        <v>223</v>
      </c>
      <c r="HU160" t="s">
        <v>231</v>
      </c>
      <c r="HV160" t="s">
        <v>223</v>
      </c>
      <c r="HW160" t="s">
        <v>246</v>
      </c>
      <c r="HX160" t="s">
        <v>236</v>
      </c>
      <c r="IA160" t="s">
        <v>231</v>
      </c>
      <c r="IB160" t="s">
        <v>250</v>
      </c>
      <c r="IC160" t="s">
        <v>395</v>
      </c>
      <c r="ID160" t="s">
        <v>395</v>
      </c>
      <c r="IE160" t="s">
        <v>395</v>
      </c>
      <c r="IF160" t="s">
        <v>395</v>
      </c>
      <c r="IH160" t="s">
        <v>235</v>
      </c>
    </row>
    <row r="161" spans="1:242" x14ac:dyDescent="0.35">
      <c r="A161" s="310" t="s">
        <v>1140</v>
      </c>
      <c r="B161" s="313" t="s">
        <v>1141</v>
      </c>
      <c r="C161" s="310" t="s">
        <v>1142</v>
      </c>
      <c r="D161" s="316"/>
      <c r="F161" t="s">
        <v>1143</v>
      </c>
      <c r="I161" s="310" t="s">
        <v>1144</v>
      </c>
      <c r="M161" s="313"/>
      <c r="O161"/>
      <c r="P161" s="381"/>
      <c r="Q161"/>
      <c r="T161" s="8"/>
      <c r="U161"/>
      <c r="V161" s="313"/>
      <c r="W161"/>
      <c r="X161"/>
      <c r="Z161"/>
      <c r="AB161"/>
      <c r="AD161" s="8" t="s">
        <v>230</v>
      </c>
      <c r="AF161" s="8" t="s">
        <v>230</v>
      </c>
      <c r="AG161"/>
      <c r="AH161"/>
      <c r="AI161"/>
      <c r="AJ161" t="s">
        <v>221</v>
      </c>
      <c r="AK161">
        <v>0.05</v>
      </c>
      <c r="AL161">
        <v>0.67500000000000004</v>
      </c>
      <c r="AM161" t="s">
        <v>221</v>
      </c>
      <c r="AN161" t="s">
        <v>223</v>
      </c>
      <c r="AO161" t="s">
        <v>224</v>
      </c>
      <c r="AP161" t="s">
        <v>223</v>
      </c>
      <c r="AQ161" s="442" t="s">
        <v>414</v>
      </c>
      <c r="AR161" t="s">
        <v>236</v>
      </c>
      <c r="AS161" t="s">
        <v>221</v>
      </c>
      <c r="AT161" t="s">
        <v>223</v>
      </c>
      <c r="AU161" t="s">
        <v>220</v>
      </c>
      <c r="AV161"/>
      <c r="AW161" s="313" t="s">
        <v>220</v>
      </c>
      <c r="AX161" t="s">
        <v>226</v>
      </c>
      <c r="AY161" s="313" t="s">
        <v>220</v>
      </c>
      <c r="AZ161" s="313">
        <v>0.24399999999999999</v>
      </c>
      <c r="BA161" s="3" t="s">
        <v>415</v>
      </c>
      <c r="BB161" s="313" t="s">
        <v>220</v>
      </c>
      <c r="BC161">
        <v>0.151</v>
      </c>
      <c r="BD161" t="s">
        <v>431</v>
      </c>
      <c r="BE161">
        <v>0.48899999999999999</v>
      </c>
      <c r="BF161" s="2" t="s">
        <v>220</v>
      </c>
      <c r="BG161" s="3" t="s">
        <v>416</v>
      </c>
      <c r="BH161" s="2" t="s">
        <v>274</v>
      </c>
      <c r="BI161" s="2" t="s">
        <v>275</v>
      </c>
      <c r="BM161"/>
      <c r="BP161" s="8"/>
      <c r="BQ161" t="s">
        <v>230</v>
      </c>
      <c r="BR161" t="s">
        <v>230</v>
      </c>
      <c r="BU161" t="s">
        <v>231</v>
      </c>
      <c r="BV161" t="s">
        <v>225</v>
      </c>
      <c r="BW161" t="s">
        <v>232</v>
      </c>
      <c r="BX161" t="s">
        <v>284</v>
      </c>
      <c r="BY161" t="s">
        <v>220</v>
      </c>
      <c r="BZ161">
        <v>0.46200000000000002</v>
      </c>
      <c r="CA161" t="s">
        <v>372</v>
      </c>
      <c r="CF161" t="s">
        <v>257</v>
      </c>
      <c r="CG161">
        <v>0.52500000000000002</v>
      </c>
      <c r="CH161" t="s">
        <v>257</v>
      </c>
      <c r="CI161">
        <v>0.90800000000000003</v>
      </c>
      <c r="CK161"/>
      <c r="CL161"/>
      <c r="CM161"/>
      <c r="CS161" s="8"/>
      <c r="CW161" t="s">
        <v>220</v>
      </c>
      <c r="CX161" t="s">
        <v>257</v>
      </c>
      <c r="CY161" t="s">
        <v>231</v>
      </c>
      <c r="CZ161" t="s">
        <v>220</v>
      </c>
      <c r="DA161" t="s">
        <v>227</v>
      </c>
      <c r="DB161" t="s">
        <v>220</v>
      </c>
      <c r="DC161"/>
      <c r="DD161"/>
      <c r="DE161"/>
      <c r="DF161"/>
      <c r="DG161"/>
      <c r="DH161" s="323"/>
      <c r="DI161" s="323"/>
      <c r="DJ161" s="323"/>
      <c r="DL161" t="s">
        <v>257</v>
      </c>
      <c r="DM161" t="s">
        <v>257</v>
      </c>
      <c r="DN161" t="s">
        <v>257</v>
      </c>
      <c r="DO161" t="s">
        <v>220</v>
      </c>
      <c r="DP161" t="s">
        <v>220</v>
      </c>
      <c r="DS161" s="309">
        <v>52.444000000000003</v>
      </c>
      <c r="DU161" s="309">
        <v>286.98099999999999</v>
      </c>
      <c r="DW161"/>
      <c r="DX161" t="s">
        <v>235</v>
      </c>
      <c r="DY161"/>
      <c r="DZ161" t="s">
        <v>235</v>
      </c>
      <c r="EA161"/>
      <c r="EB161"/>
      <c r="ED161" s="410"/>
      <c r="EE161" s="1"/>
      <c r="EG161" s="410"/>
      <c r="EI161" s="410"/>
      <c r="EK161" s="1"/>
      <c r="EM161"/>
      <c r="EQ161" s="344"/>
      <c r="EU161" s="344"/>
      <c r="EW161" s="409"/>
      <c r="EY161" s="1"/>
      <c r="FA161">
        <v>46.7</v>
      </c>
      <c r="FB161" t="s">
        <v>236</v>
      </c>
      <c r="FC161" s="7">
        <v>48.328131006953086</v>
      </c>
      <c r="FD161" s="357" t="s">
        <v>236</v>
      </c>
      <c r="FE161" s="8">
        <v>31.86397847328174</v>
      </c>
      <c r="FF161" t="s">
        <v>237</v>
      </c>
      <c r="FH161" s="9">
        <v>150.07211389716298</v>
      </c>
      <c r="FI161" s="9" t="s">
        <v>236</v>
      </c>
      <c r="FK161" t="s">
        <v>235</v>
      </c>
      <c r="FL161">
        <v>97.7</v>
      </c>
      <c r="FM161">
        <v>65.162839406084302</v>
      </c>
      <c r="FN161" s="5" t="s">
        <v>237</v>
      </c>
      <c r="FP161" s="6">
        <v>3.2581419703042149</v>
      </c>
      <c r="FQ161" t="s">
        <v>277</v>
      </c>
      <c r="FS161" t="s">
        <v>240</v>
      </c>
      <c r="FU161" s="8">
        <v>2</v>
      </c>
      <c r="FV161" s="8">
        <v>10</v>
      </c>
      <c r="FW161" s="8">
        <v>10</v>
      </c>
      <c r="FX161" s="8">
        <v>10</v>
      </c>
      <c r="FY161" s="8">
        <v>3</v>
      </c>
      <c r="FZ161">
        <f t="shared" si="2"/>
        <v>6000</v>
      </c>
      <c r="GA161" s="7" t="s">
        <v>326</v>
      </c>
      <c r="GB161" s="7" t="s">
        <v>326</v>
      </c>
      <c r="GC161" s="6">
        <v>1.5</v>
      </c>
      <c r="GD161" s="348" t="s">
        <v>383</v>
      </c>
      <c r="GF161" s="6">
        <v>3.256666666666666E-2</v>
      </c>
      <c r="GH161" s="7"/>
      <c r="GI161" s="441">
        <v>7.1999999999999995E-2</v>
      </c>
      <c r="GJ161" s="441">
        <v>0.13600000000000001</v>
      </c>
      <c r="GK161" s="441">
        <v>0.217</v>
      </c>
      <c r="GL161" s="441">
        <v>0.54300000000000004</v>
      </c>
      <c r="GM161" s="452" t="s">
        <v>262</v>
      </c>
      <c r="GN161" s="6">
        <v>0.01</v>
      </c>
      <c r="GO161" s="6">
        <v>1.8749999999999999E-2</v>
      </c>
      <c r="GP161" s="6">
        <v>0.03</v>
      </c>
      <c r="GQ161" s="6">
        <v>7.4999999999999997E-2</v>
      </c>
      <c r="GR161" s="6" t="s">
        <v>230</v>
      </c>
      <c r="GU161" t="s">
        <v>365</v>
      </c>
      <c r="GV161" t="s">
        <v>236</v>
      </c>
      <c r="GW161" t="s">
        <v>244</v>
      </c>
      <c r="GX161" t="s">
        <v>236</v>
      </c>
      <c r="GY161" t="s">
        <v>245</v>
      </c>
      <c r="HE161" t="s">
        <v>384</v>
      </c>
      <c r="HF161" t="s">
        <v>225</v>
      </c>
      <c r="HG161" t="s">
        <v>231</v>
      </c>
      <c r="HH161" t="s">
        <v>225</v>
      </c>
      <c r="HI161" t="s">
        <v>247</v>
      </c>
      <c r="HJ161" t="s">
        <v>223</v>
      </c>
      <c r="HK161" t="s">
        <v>266</v>
      </c>
      <c r="HO161" t="s">
        <v>231</v>
      </c>
      <c r="HP161" t="s">
        <v>223</v>
      </c>
      <c r="HQ161" t="s">
        <v>231</v>
      </c>
      <c r="HR161" t="s">
        <v>223</v>
      </c>
      <c r="HU161" t="s">
        <v>231</v>
      </c>
      <c r="HV161" t="s">
        <v>223</v>
      </c>
      <c r="HW161" t="s">
        <v>246</v>
      </c>
      <c r="HX161" t="s">
        <v>236</v>
      </c>
      <c r="IA161" t="s">
        <v>231</v>
      </c>
      <c r="IB161" t="s">
        <v>250</v>
      </c>
      <c r="IC161">
        <v>7.1999999999999995E-2</v>
      </c>
      <c r="ID161">
        <v>0.13600000000000001</v>
      </c>
      <c r="IE161">
        <v>0.217</v>
      </c>
      <c r="IF161">
        <v>0.54300000000000004</v>
      </c>
      <c r="IH161" t="s">
        <v>267</v>
      </c>
    </row>
    <row r="162" spans="1:242" x14ac:dyDescent="0.35">
      <c r="A162" s="310" t="s">
        <v>1145</v>
      </c>
      <c r="B162" s="313" t="s">
        <v>1146</v>
      </c>
      <c r="C162" s="310" t="s">
        <v>1147</v>
      </c>
      <c r="D162" s="316"/>
      <c r="F162" t="s">
        <v>1147</v>
      </c>
      <c r="I162" s="310" t="s">
        <v>1148</v>
      </c>
      <c r="M162" s="313"/>
      <c r="O162" t="s">
        <v>221</v>
      </c>
      <c r="P162" s="381"/>
      <c r="Q162" t="s">
        <v>221</v>
      </c>
      <c r="S162" t="s">
        <v>221</v>
      </c>
      <c r="T162" s="8"/>
      <c r="U162" t="s">
        <v>221</v>
      </c>
      <c r="V162" s="313"/>
      <c r="W162" t="s">
        <v>220</v>
      </c>
      <c r="X162" t="s">
        <v>220</v>
      </c>
      <c r="Z162" t="s">
        <v>220</v>
      </c>
      <c r="AB162"/>
      <c r="AD162" s="8" t="s">
        <v>222</v>
      </c>
      <c r="AF162" s="8" t="s">
        <v>222</v>
      </c>
      <c r="AG162"/>
      <c r="AH162" t="s">
        <v>312</v>
      </c>
      <c r="AI162"/>
      <c r="AJ162" t="s">
        <v>221</v>
      </c>
      <c r="AK162">
        <v>0</v>
      </c>
      <c r="AL162">
        <v>1</v>
      </c>
      <c r="AM162" t="s">
        <v>221</v>
      </c>
      <c r="AN162" t="s">
        <v>249</v>
      </c>
      <c r="AO162" t="s">
        <v>221</v>
      </c>
      <c r="AP162"/>
      <c r="AQ162" t="s">
        <v>221</v>
      </c>
      <c r="AR162"/>
      <c r="AS162" t="s">
        <v>221</v>
      </c>
      <c r="AT162"/>
      <c r="AU162" t="s">
        <v>220</v>
      </c>
      <c r="AV162"/>
      <c r="AW162" s="313" t="s">
        <v>220</v>
      </c>
      <c r="AX162" t="s">
        <v>226</v>
      </c>
      <c r="AY162" s="313" t="s">
        <v>220</v>
      </c>
      <c r="AZ162" s="313">
        <v>0.22700000000000001</v>
      </c>
      <c r="BB162" s="313" t="s">
        <v>220</v>
      </c>
      <c r="BC162">
        <v>0.20300000000000001</v>
      </c>
      <c r="BD162" t="s">
        <v>220</v>
      </c>
      <c r="BE162">
        <v>0.32300000000000001</v>
      </c>
      <c r="BF162" s="2" t="s">
        <v>220</v>
      </c>
      <c r="BH162" s="2" t="s">
        <v>228</v>
      </c>
      <c r="BI162" s="2" t="s">
        <v>229</v>
      </c>
      <c r="BM162"/>
      <c r="BP162" s="8" t="s">
        <v>312</v>
      </c>
      <c r="BQ162" t="s">
        <v>230</v>
      </c>
      <c r="BR162" t="s">
        <v>222</v>
      </c>
      <c r="BU162" t="s">
        <v>293</v>
      </c>
      <c r="BV162" t="s">
        <v>236</v>
      </c>
      <c r="BW162" t="s">
        <v>232</v>
      </c>
      <c r="BX162" t="s">
        <v>284</v>
      </c>
      <c r="BY162" t="s">
        <v>257</v>
      </c>
      <c r="BZ162">
        <v>0.71899999999999997</v>
      </c>
      <c r="CA162" t="s">
        <v>372</v>
      </c>
      <c r="CF162" t="s">
        <v>227</v>
      </c>
      <c r="CG162">
        <v>0.59099999999999997</v>
      </c>
      <c r="CH162" t="s">
        <v>257</v>
      </c>
      <c r="CI162">
        <v>0.74099999999999999</v>
      </c>
      <c r="CK162"/>
      <c r="CL162" t="s">
        <v>220</v>
      </c>
      <c r="CM162"/>
      <c r="CN162" s="2" t="s">
        <v>312</v>
      </c>
      <c r="CS162" s="8" t="s">
        <v>316</v>
      </c>
      <c r="CW162" t="s">
        <v>227</v>
      </c>
      <c r="CX162" t="s">
        <v>220</v>
      </c>
      <c r="CY162" t="s">
        <v>231</v>
      </c>
      <c r="CZ162" t="s">
        <v>220</v>
      </c>
      <c r="DA162" t="s">
        <v>257</v>
      </c>
      <c r="DB162" t="s">
        <v>227</v>
      </c>
      <c r="DC162"/>
      <c r="DD162"/>
      <c r="DE162"/>
      <c r="DF162"/>
      <c r="DG162"/>
      <c r="DH162" s="323"/>
      <c r="DI162" s="323"/>
      <c r="DJ162" s="323"/>
      <c r="DL162" t="s">
        <v>227</v>
      </c>
      <c r="DM162" t="s">
        <v>257</v>
      </c>
      <c r="DN162" t="s">
        <v>227</v>
      </c>
      <c r="DO162" t="s">
        <v>227</v>
      </c>
      <c r="DP162" t="s">
        <v>257</v>
      </c>
      <c r="DQ162" s="330">
        <v>1660</v>
      </c>
      <c r="DR162" s="330" t="s">
        <v>702</v>
      </c>
      <c r="DS162" s="309">
        <v>80.724999999999994</v>
      </c>
      <c r="DU162" s="309">
        <v>164.24</v>
      </c>
      <c r="DW162">
        <v>75.900000000000006</v>
      </c>
      <c r="DX162" t="s">
        <v>238</v>
      </c>
      <c r="DY162">
        <v>354</v>
      </c>
      <c r="DZ162" t="s">
        <v>267</v>
      </c>
      <c r="EA162"/>
      <c r="EB162"/>
      <c r="ED162" s="410"/>
      <c r="EE162" s="1"/>
      <c r="EG162" s="410"/>
      <c r="EI162" s="410"/>
      <c r="EK162" s="1"/>
      <c r="EM162"/>
      <c r="EQ162" s="344"/>
      <c r="EU162" s="344"/>
      <c r="EW162" s="381">
        <v>5000</v>
      </c>
      <c r="EX162" s="8" t="s">
        <v>323</v>
      </c>
      <c r="EY162" s="1"/>
      <c r="FA162">
        <v>157.78</v>
      </c>
      <c r="FB162" t="s">
        <v>225</v>
      </c>
      <c r="FC162" s="7">
        <v>115.77105741152714</v>
      </c>
      <c r="FD162" s="357" t="s">
        <v>225</v>
      </c>
      <c r="FE162" s="8">
        <v>506.17419401121316</v>
      </c>
      <c r="FF162" t="s">
        <v>237</v>
      </c>
      <c r="FH162" s="9">
        <v>205.58905959841428</v>
      </c>
      <c r="FI162" s="9" t="s">
        <v>225</v>
      </c>
      <c r="FJ162">
        <v>770</v>
      </c>
      <c r="FK162" t="s">
        <v>238</v>
      </c>
      <c r="FL162">
        <v>992</v>
      </c>
      <c r="FM162">
        <v>1001.1519555381699</v>
      </c>
      <c r="FN162" s="5" t="s">
        <v>237</v>
      </c>
      <c r="FP162" s="6">
        <v>500</v>
      </c>
      <c r="FQ162" t="s">
        <v>353</v>
      </c>
      <c r="FS162" t="s">
        <v>261</v>
      </c>
      <c r="FU162" s="8">
        <v>1</v>
      </c>
      <c r="FV162" s="8">
        <v>10</v>
      </c>
      <c r="FW162" s="8">
        <v>10</v>
      </c>
      <c r="FX162" s="8">
        <v>10</v>
      </c>
      <c r="FY162" s="8">
        <v>1</v>
      </c>
      <c r="FZ162">
        <f t="shared" si="2"/>
        <v>1000</v>
      </c>
      <c r="GA162" s="7" t="s">
        <v>241</v>
      </c>
      <c r="GB162" s="7" t="s">
        <v>241</v>
      </c>
      <c r="GC162" s="6">
        <v>30</v>
      </c>
      <c r="GD162" s="348" t="s">
        <v>242</v>
      </c>
      <c r="GE162" s="6">
        <v>0.5</v>
      </c>
      <c r="GF162" s="6">
        <v>0.77</v>
      </c>
      <c r="GH162" s="7"/>
      <c r="GI162" s="441"/>
      <c r="GJ162" s="441"/>
      <c r="GK162" s="441"/>
      <c r="GL162" s="441"/>
      <c r="GM162" s="454"/>
      <c r="GN162" s="441"/>
      <c r="GO162" s="441"/>
      <c r="GP162" s="441"/>
      <c r="GQ162" s="441"/>
      <c r="GR162" s="441"/>
      <c r="GS162" s="441"/>
      <c r="GT162" s="441"/>
      <c r="GU162" s="441"/>
      <c r="GV162" s="441"/>
      <c r="GW162" s="441"/>
      <c r="GX162" s="441"/>
      <c r="GY162" s="441"/>
      <c r="GZ162" s="441"/>
      <c r="HA162" s="441"/>
      <c r="HB162" s="441"/>
      <c r="HC162" s="441"/>
      <c r="HD162" s="441"/>
      <c r="HE162" s="441"/>
      <c r="HF162" s="441"/>
      <c r="HG162" s="441"/>
      <c r="HH162" s="441"/>
      <c r="HI162" s="441"/>
      <c r="HJ162" s="441"/>
      <c r="HK162" s="441"/>
      <c r="HL162" s="441"/>
      <c r="HM162" s="441"/>
      <c r="HN162" s="441"/>
      <c r="HO162" s="441"/>
      <c r="HP162" s="441"/>
      <c r="HQ162" s="441"/>
      <c r="HR162" s="441"/>
      <c r="HS162" s="441"/>
      <c r="HT162" s="441"/>
      <c r="HU162" s="441"/>
      <c r="HV162" s="441"/>
      <c r="HW162" s="441"/>
      <c r="HX162" s="441"/>
      <c r="HY162" s="441"/>
      <c r="HZ162" s="441"/>
      <c r="IA162" s="441"/>
      <c r="IB162" s="441"/>
      <c r="IC162" s="441"/>
      <c r="ID162" s="441"/>
      <c r="IE162" s="441"/>
      <c r="IF162" s="441"/>
      <c r="IH162" t="s">
        <v>235</v>
      </c>
    </row>
    <row r="163" spans="1:242" x14ac:dyDescent="0.35">
      <c r="A163" s="310" t="s">
        <v>1149</v>
      </c>
      <c r="B163" s="313" t="s">
        <v>1150</v>
      </c>
      <c r="C163" s="310" t="s">
        <v>1151</v>
      </c>
      <c r="D163" s="316"/>
      <c r="F163" t="s">
        <v>1152</v>
      </c>
      <c r="I163" s="310" t="s">
        <v>1153</v>
      </c>
      <c r="M163" s="313"/>
      <c r="O163"/>
      <c r="P163" s="381"/>
      <c r="Q163"/>
      <c r="T163" s="8"/>
      <c r="U163"/>
      <c r="V163" s="313"/>
      <c r="W163" t="s">
        <v>301</v>
      </c>
      <c r="X163"/>
      <c r="Z163"/>
      <c r="AB163"/>
      <c r="AD163" s="8" t="s">
        <v>230</v>
      </c>
      <c r="AF163" s="8" t="s">
        <v>230</v>
      </c>
      <c r="AG163"/>
      <c r="AH163"/>
      <c r="AI163"/>
      <c r="AJ163" t="s">
        <v>221</v>
      </c>
      <c r="AK163">
        <v>0</v>
      </c>
      <c r="AL163">
        <v>0.82499999999999996</v>
      </c>
      <c r="AM163" t="s">
        <v>221</v>
      </c>
      <c r="AN163" t="s">
        <v>223</v>
      </c>
      <c r="AO163" t="s">
        <v>224</v>
      </c>
      <c r="AP163" t="s">
        <v>223</v>
      </c>
      <c r="AQ163" t="s">
        <v>221</v>
      </c>
      <c r="AR163" t="s">
        <v>225</v>
      </c>
      <c r="AS163" t="s">
        <v>221</v>
      </c>
      <c r="AT163" t="s">
        <v>223</v>
      </c>
      <c r="AU163" t="s">
        <v>220</v>
      </c>
      <c r="AV163"/>
      <c r="AW163" s="313" t="s">
        <v>220</v>
      </c>
      <c r="AX163" t="s">
        <v>226</v>
      </c>
      <c r="AY163" s="313" t="s">
        <v>220</v>
      </c>
      <c r="AZ163" s="313">
        <v>0.24299999999999999</v>
      </c>
      <c r="BB163" s="313" t="s">
        <v>220</v>
      </c>
      <c r="BC163">
        <v>0.15</v>
      </c>
      <c r="BD163" t="s">
        <v>220</v>
      </c>
      <c r="BE163">
        <v>0.193</v>
      </c>
      <c r="BF163" s="2" t="s">
        <v>220</v>
      </c>
      <c r="BG163" s="2" t="s">
        <v>273</v>
      </c>
      <c r="BH163" s="2" t="s">
        <v>274</v>
      </c>
      <c r="BI163" s="2" t="s">
        <v>275</v>
      </c>
      <c r="BM163"/>
      <c r="BP163" s="8"/>
      <c r="BQ163" t="s">
        <v>230</v>
      </c>
      <c r="BR163" t="s">
        <v>230</v>
      </c>
      <c r="BU163" t="s">
        <v>231</v>
      </c>
      <c r="BV163" t="s">
        <v>223</v>
      </c>
      <c r="BW163" t="s">
        <v>232</v>
      </c>
      <c r="BX163" t="s">
        <v>284</v>
      </c>
      <c r="BY163" t="s">
        <v>220</v>
      </c>
      <c r="BZ163">
        <v>0.35699999999999998</v>
      </c>
      <c r="CA163" t="s">
        <v>234</v>
      </c>
      <c r="CF163" t="s">
        <v>220</v>
      </c>
      <c r="CG163">
        <v>0.40200000000000002</v>
      </c>
      <c r="CH163" t="s">
        <v>257</v>
      </c>
      <c r="CI163">
        <v>0.53500000000000003</v>
      </c>
      <c r="CK163"/>
      <c r="CL163"/>
      <c r="CM163"/>
      <c r="CS163" s="8"/>
      <c r="CW163" t="s">
        <v>220</v>
      </c>
      <c r="CX163" t="s">
        <v>220</v>
      </c>
      <c r="CY163" t="s">
        <v>231</v>
      </c>
      <c r="CZ163" t="s">
        <v>257</v>
      </c>
      <c r="DA163" t="s">
        <v>227</v>
      </c>
      <c r="DB163" t="s">
        <v>220</v>
      </c>
      <c r="DC163"/>
      <c r="DD163"/>
      <c r="DE163"/>
      <c r="DF163"/>
      <c r="DG163"/>
      <c r="DH163" s="323"/>
      <c r="DI163" s="323"/>
      <c r="DJ163" s="323"/>
      <c r="DL163" t="s">
        <v>257</v>
      </c>
      <c r="DM163" t="s">
        <v>220</v>
      </c>
      <c r="DN163" t="s">
        <v>227</v>
      </c>
      <c r="DO163" t="s">
        <v>220</v>
      </c>
      <c r="DP163" t="s">
        <v>257</v>
      </c>
      <c r="DS163" s="309">
        <v>36.554000000000002</v>
      </c>
      <c r="DU163" s="309">
        <v>259.834</v>
      </c>
      <c r="DW163"/>
      <c r="DX163" t="s">
        <v>235</v>
      </c>
      <c r="DY163"/>
      <c r="DZ163" t="s">
        <v>235</v>
      </c>
      <c r="EA163"/>
      <c r="EB163"/>
      <c r="ED163" s="410"/>
      <c r="EE163" s="1"/>
      <c r="EG163" s="410"/>
      <c r="EI163" s="410"/>
      <c r="EK163" s="1"/>
      <c r="EM163"/>
      <c r="EQ163" s="344"/>
      <c r="EU163" s="344"/>
      <c r="EW163" s="409"/>
      <c r="EY163" s="1"/>
      <c r="FA163">
        <v>44.78</v>
      </c>
      <c r="FB163" t="s">
        <v>225</v>
      </c>
      <c r="FC163" s="7">
        <v>57.464548659767352</v>
      </c>
      <c r="FD163" s="357" t="s">
        <v>236</v>
      </c>
      <c r="FE163" s="8">
        <v>21.483250873159978</v>
      </c>
      <c r="FF163" t="s">
        <v>237</v>
      </c>
      <c r="FH163" s="9">
        <v>50.780853966488927</v>
      </c>
      <c r="FI163" s="9" t="s">
        <v>225</v>
      </c>
      <c r="FK163" t="s">
        <v>235</v>
      </c>
      <c r="FL163">
        <v>98.6</v>
      </c>
      <c r="FM163">
        <v>38.967271730789982</v>
      </c>
      <c r="FN163" s="5" t="s">
        <v>237</v>
      </c>
      <c r="FP163" s="6">
        <v>1.948363586539499</v>
      </c>
      <c r="FQ163" t="s">
        <v>277</v>
      </c>
      <c r="FS163" t="s">
        <v>240</v>
      </c>
      <c r="FU163" s="8">
        <v>2</v>
      </c>
      <c r="FV163" s="8">
        <v>10</v>
      </c>
      <c r="FW163" s="8">
        <v>10</v>
      </c>
      <c r="FX163" s="8">
        <v>10</v>
      </c>
      <c r="FY163" s="8">
        <v>3</v>
      </c>
      <c r="FZ163">
        <f t="shared" si="2"/>
        <v>6000</v>
      </c>
      <c r="GA163" s="7" t="s">
        <v>326</v>
      </c>
      <c r="GB163" s="7" t="s">
        <v>326</v>
      </c>
      <c r="GC163" s="6">
        <v>1.5</v>
      </c>
      <c r="GD163" s="348" t="s">
        <v>383</v>
      </c>
      <c r="GF163" s="6">
        <v>3.2866666666666669E-2</v>
      </c>
      <c r="GH163" s="7"/>
      <c r="GI163" s="441">
        <v>4.2999999999999997E-2</v>
      </c>
      <c r="GJ163" s="441">
        <v>8.1000000000000003E-2</v>
      </c>
      <c r="GK163" s="441">
        <v>0.13</v>
      </c>
      <c r="GL163" s="441">
        <v>0.32500000000000001</v>
      </c>
      <c r="GM163" s="452" t="s">
        <v>529</v>
      </c>
      <c r="GN163" s="6">
        <v>0.01</v>
      </c>
      <c r="GO163" s="6">
        <v>1.8749999999999999E-2</v>
      </c>
      <c r="GP163" s="6">
        <v>0.03</v>
      </c>
      <c r="GQ163" s="6">
        <v>7.4999999999999997E-2</v>
      </c>
      <c r="GR163" s="6" t="s">
        <v>230</v>
      </c>
      <c r="GU163" t="s">
        <v>243</v>
      </c>
      <c r="GV163" t="s">
        <v>236</v>
      </c>
      <c r="GW163" t="s">
        <v>244</v>
      </c>
      <c r="GX163" t="s">
        <v>236</v>
      </c>
      <c r="GY163" t="s">
        <v>245</v>
      </c>
      <c r="HE163" t="s">
        <v>384</v>
      </c>
      <c r="HF163" t="s">
        <v>225</v>
      </c>
      <c r="HG163" t="s">
        <v>231</v>
      </c>
      <c r="HH163" t="s">
        <v>225</v>
      </c>
      <c r="HI163" t="s">
        <v>247</v>
      </c>
      <c r="HJ163" t="s">
        <v>223</v>
      </c>
      <c r="HK163" t="s">
        <v>266</v>
      </c>
      <c r="HL163" t="s">
        <v>231</v>
      </c>
      <c r="HM163" t="s">
        <v>231</v>
      </c>
      <c r="HO163" t="s">
        <v>231</v>
      </c>
      <c r="HP163" t="s">
        <v>249</v>
      </c>
      <c r="HQ163" t="s">
        <v>231</v>
      </c>
      <c r="HR163" t="s">
        <v>249</v>
      </c>
      <c r="HU163" t="s">
        <v>231</v>
      </c>
      <c r="HV163" t="s">
        <v>223</v>
      </c>
      <c r="HW163" t="s">
        <v>246</v>
      </c>
      <c r="HX163" t="s">
        <v>236</v>
      </c>
      <c r="IA163" t="s">
        <v>231</v>
      </c>
      <c r="IB163" t="s">
        <v>250</v>
      </c>
      <c r="IC163">
        <v>4.2999999999999997E-2</v>
      </c>
      <c r="ID163">
        <v>8.1000000000000003E-2</v>
      </c>
      <c r="IE163">
        <v>0.13</v>
      </c>
      <c r="IF163">
        <v>0.32500000000000001</v>
      </c>
      <c r="IH163" t="s">
        <v>267</v>
      </c>
    </row>
    <row r="164" spans="1:242" x14ac:dyDescent="0.35">
      <c r="A164" s="310" t="s">
        <v>1154</v>
      </c>
      <c r="B164" s="313" t="s">
        <v>1155</v>
      </c>
      <c r="C164" s="310" t="s">
        <v>1156</v>
      </c>
      <c r="D164" s="316"/>
      <c r="F164" t="s">
        <v>1157</v>
      </c>
      <c r="I164" s="310" t="s">
        <v>1158</v>
      </c>
      <c r="M164" s="313" t="s">
        <v>220</v>
      </c>
      <c r="O164"/>
      <c r="P164" s="381"/>
      <c r="Q164"/>
      <c r="T164" s="8"/>
      <c r="U164"/>
      <c r="V164" s="313"/>
      <c r="W164" t="s">
        <v>301</v>
      </c>
      <c r="X164"/>
      <c r="Z164"/>
      <c r="AB164"/>
      <c r="AD164" s="8" t="s">
        <v>222</v>
      </c>
      <c r="AF164" s="8" t="s">
        <v>230</v>
      </c>
      <c r="AG164"/>
      <c r="AH164"/>
      <c r="AI164"/>
      <c r="AJ164" t="s">
        <v>221</v>
      </c>
      <c r="AK164">
        <v>0</v>
      </c>
      <c r="AL164">
        <v>0.65</v>
      </c>
      <c r="AM164" t="s">
        <v>221</v>
      </c>
      <c r="AN164" t="s">
        <v>223</v>
      </c>
      <c r="AO164" t="s">
        <v>224</v>
      </c>
      <c r="AP164" t="s">
        <v>223</v>
      </c>
      <c r="AQ164" t="s">
        <v>221</v>
      </c>
      <c r="AR164" t="s">
        <v>236</v>
      </c>
      <c r="AS164" t="s">
        <v>221</v>
      </c>
      <c r="AT164" t="s">
        <v>225</v>
      </c>
      <c r="AU164" t="s">
        <v>220</v>
      </c>
      <c r="AV164"/>
      <c r="AW164" s="313" t="s">
        <v>220</v>
      </c>
      <c r="AX164" t="s">
        <v>226</v>
      </c>
      <c r="AY164" s="313" t="s">
        <v>220</v>
      </c>
      <c r="AZ164" s="313">
        <v>0.188</v>
      </c>
      <c r="BB164" s="313" t="s">
        <v>220</v>
      </c>
      <c r="BC164">
        <v>6.7599999999999993E-2</v>
      </c>
      <c r="BD164" t="s">
        <v>220</v>
      </c>
      <c r="BE164">
        <v>9.7500000000000003E-2</v>
      </c>
      <c r="BF164" s="2" t="s">
        <v>220</v>
      </c>
      <c r="BH164" s="2" t="s">
        <v>228</v>
      </c>
      <c r="BI164" s="2" t="s">
        <v>302</v>
      </c>
      <c r="BM164"/>
      <c r="BP164" s="8"/>
      <c r="BQ164" t="s">
        <v>230</v>
      </c>
      <c r="BR164" t="s">
        <v>222</v>
      </c>
      <c r="BU164" t="s">
        <v>317</v>
      </c>
      <c r="BV164" t="s">
        <v>236</v>
      </c>
      <c r="BW164" t="s">
        <v>232</v>
      </c>
      <c r="BX164" t="s">
        <v>284</v>
      </c>
      <c r="BY164" t="s">
        <v>220</v>
      </c>
      <c r="BZ164">
        <v>0.32200000000000001</v>
      </c>
      <c r="CA164" t="s">
        <v>234</v>
      </c>
      <c r="CF164" t="s">
        <v>220</v>
      </c>
      <c r="CG164">
        <v>0.28199999999999997</v>
      </c>
      <c r="CH164" t="s">
        <v>220</v>
      </c>
      <c r="CI164">
        <v>0.313</v>
      </c>
      <c r="CK164"/>
      <c r="CL164"/>
      <c r="CM164"/>
      <c r="CS164" s="8"/>
      <c r="CW164" t="s">
        <v>227</v>
      </c>
      <c r="CX164" t="s">
        <v>220</v>
      </c>
      <c r="CY164" t="s">
        <v>231</v>
      </c>
      <c r="CZ164" t="s">
        <v>257</v>
      </c>
      <c r="DA164" t="s">
        <v>257</v>
      </c>
      <c r="DB164" t="s">
        <v>220</v>
      </c>
      <c r="DC164"/>
      <c r="DD164"/>
      <c r="DE164"/>
      <c r="DF164"/>
      <c r="DG164"/>
      <c r="DH164" s="323"/>
      <c r="DI164" s="323"/>
      <c r="DJ164" s="323"/>
      <c r="DL164" t="s">
        <v>257</v>
      </c>
      <c r="DM164" t="s">
        <v>220</v>
      </c>
      <c r="DN164" t="s">
        <v>227</v>
      </c>
      <c r="DO164" t="s">
        <v>220</v>
      </c>
      <c r="DP164" t="s">
        <v>257</v>
      </c>
      <c r="DS164" s="309">
        <v>41.232999999999997</v>
      </c>
      <c r="DU164" s="309">
        <v>446.21899999999999</v>
      </c>
      <c r="DW164"/>
      <c r="DX164" t="s">
        <v>235</v>
      </c>
      <c r="DY164"/>
      <c r="DZ164" t="s">
        <v>235</v>
      </c>
      <c r="EA164"/>
      <c r="EB164"/>
      <c r="ED164" s="410"/>
      <c r="EE164" s="1"/>
      <c r="EG164" s="410"/>
      <c r="EI164" s="410"/>
      <c r="EK164" s="1">
        <v>200</v>
      </c>
      <c r="EL164" s="8" t="s">
        <v>259</v>
      </c>
      <c r="EM164"/>
      <c r="EQ164" s="344"/>
      <c r="EU164" s="344"/>
      <c r="EW164" s="409"/>
      <c r="EY164" s="1"/>
      <c r="FA164">
        <v>70.38</v>
      </c>
      <c r="FB164" t="s">
        <v>225</v>
      </c>
      <c r="FC164" s="7">
        <v>207.10949036603361</v>
      </c>
      <c r="FD164" s="357" t="s">
        <v>236</v>
      </c>
      <c r="FE164" s="8">
        <v>19.651694314969138</v>
      </c>
      <c r="FF164" t="s">
        <v>237</v>
      </c>
      <c r="FH164" s="9">
        <v>121.28301928946932</v>
      </c>
      <c r="FI164" s="9" t="s">
        <v>225</v>
      </c>
      <c r="FK164" t="s">
        <v>235</v>
      </c>
      <c r="FL164">
        <v>123</v>
      </c>
      <c r="FM164">
        <v>28.800498174428569</v>
      </c>
      <c r="FN164" s="5" t="s">
        <v>237</v>
      </c>
      <c r="FP164" s="6">
        <v>100</v>
      </c>
      <c r="FQ164" t="s">
        <v>260</v>
      </c>
      <c r="FS164" t="s">
        <v>261</v>
      </c>
      <c r="FU164" s="8">
        <v>2</v>
      </c>
      <c r="FV164" s="8">
        <v>10</v>
      </c>
      <c r="FW164" s="8">
        <v>10</v>
      </c>
      <c r="FX164" s="8">
        <v>1</v>
      </c>
      <c r="FY164" s="8">
        <v>3</v>
      </c>
      <c r="FZ164">
        <f t="shared" si="2"/>
        <v>600</v>
      </c>
      <c r="GA164" s="7" t="s">
        <v>241</v>
      </c>
      <c r="GB164" s="7" t="s">
        <v>241</v>
      </c>
      <c r="GC164" s="6">
        <v>30</v>
      </c>
      <c r="GD164" s="348" t="s">
        <v>242</v>
      </c>
      <c r="GF164" s="6">
        <v>3.2752823858281897E-2</v>
      </c>
      <c r="GH164" s="7"/>
      <c r="GI164" s="441">
        <v>2.222</v>
      </c>
      <c r="GJ164" s="441">
        <v>4.1669999999999998</v>
      </c>
      <c r="GK164" s="441">
        <v>6.6669999999999998</v>
      </c>
      <c r="GL164" s="441">
        <v>16.667000000000002</v>
      </c>
      <c r="GM164" s="452" t="s">
        <v>529</v>
      </c>
      <c r="GN164" s="6">
        <v>0.2</v>
      </c>
      <c r="GO164" s="6">
        <v>0.375</v>
      </c>
      <c r="GP164" s="6">
        <v>0.6</v>
      </c>
      <c r="GQ164" s="6">
        <v>1.5</v>
      </c>
      <c r="GR164" s="6" t="s">
        <v>230</v>
      </c>
      <c r="GU164" t="s">
        <v>243</v>
      </c>
      <c r="GV164" t="s">
        <v>236</v>
      </c>
      <c r="GW164" t="s">
        <v>244</v>
      </c>
      <c r="GX164" t="s">
        <v>236</v>
      </c>
      <c r="GY164" t="s">
        <v>245</v>
      </c>
      <c r="HE164" t="s">
        <v>384</v>
      </c>
      <c r="HF164" t="s">
        <v>223</v>
      </c>
      <c r="HG164" t="s">
        <v>231</v>
      </c>
      <c r="HH164" t="s">
        <v>223</v>
      </c>
      <c r="HI164" t="s">
        <v>247</v>
      </c>
      <c r="HJ164" t="s">
        <v>223</v>
      </c>
      <c r="HK164" t="s">
        <v>266</v>
      </c>
      <c r="HL164" t="s">
        <v>231</v>
      </c>
      <c r="HM164" t="s">
        <v>231</v>
      </c>
      <c r="HO164" t="s">
        <v>231</v>
      </c>
      <c r="HP164" t="s">
        <v>249</v>
      </c>
      <c r="HQ164" t="s">
        <v>231</v>
      </c>
      <c r="HR164" t="s">
        <v>249</v>
      </c>
      <c r="HS164" t="s">
        <v>231</v>
      </c>
      <c r="HU164" t="s">
        <v>231</v>
      </c>
      <c r="HV164" t="s">
        <v>249</v>
      </c>
      <c r="HW164" t="s">
        <v>246</v>
      </c>
      <c r="HX164" t="s">
        <v>236</v>
      </c>
      <c r="IA164" t="s">
        <v>231</v>
      </c>
      <c r="IB164" t="s">
        <v>250</v>
      </c>
      <c r="IC164">
        <v>2.222</v>
      </c>
      <c r="ID164">
        <v>4.1669999999999998</v>
      </c>
      <c r="IE164">
        <v>6.6669999999999998</v>
      </c>
      <c r="IF164">
        <v>16.667000000000002</v>
      </c>
      <c r="IH164" t="s">
        <v>267</v>
      </c>
    </row>
    <row r="165" spans="1:242" hidden="1" x14ac:dyDescent="0.35">
      <c r="A165" s="310" t="s">
        <v>1159</v>
      </c>
      <c r="B165" s="313" t="s">
        <v>1160</v>
      </c>
      <c r="C165" s="310" t="s">
        <v>1161</v>
      </c>
      <c r="D165" s="316"/>
      <c r="F165" t="s">
        <v>1162</v>
      </c>
      <c r="I165" s="310" t="s">
        <v>1163</v>
      </c>
      <c r="M165" s="313" t="s">
        <v>220</v>
      </c>
      <c r="O165"/>
      <c r="P165" s="381"/>
      <c r="Q165"/>
      <c r="S165" t="s">
        <v>221</v>
      </c>
      <c r="T165" s="8"/>
      <c r="U165" t="s">
        <v>221</v>
      </c>
      <c r="V165" s="313"/>
      <c r="W165" t="s">
        <v>220</v>
      </c>
      <c r="X165" t="s">
        <v>220</v>
      </c>
      <c r="Z165" t="s">
        <v>220</v>
      </c>
      <c r="AB165"/>
      <c r="AD165" s="8" t="s">
        <v>222</v>
      </c>
      <c r="AF165" s="8" t="s">
        <v>1113</v>
      </c>
      <c r="AG165"/>
      <c r="AH165" t="s">
        <v>1137</v>
      </c>
      <c r="AI165"/>
      <c r="AJ165" t="s">
        <v>221</v>
      </c>
      <c r="AK165">
        <v>0</v>
      </c>
      <c r="AL165">
        <v>1</v>
      </c>
      <c r="AM165" t="s">
        <v>221</v>
      </c>
      <c r="AN165" t="s">
        <v>223</v>
      </c>
      <c r="AO165" t="s">
        <v>221</v>
      </c>
      <c r="AP165" t="s">
        <v>223</v>
      </c>
      <c r="AQ165" t="s">
        <v>221</v>
      </c>
      <c r="AR165"/>
      <c r="AS165" t="s">
        <v>221</v>
      </c>
      <c r="AT165"/>
      <c r="AU165" t="s">
        <v>220</v>
      </c>
      <c r="AV165"/>
      <c r="AW165" s="313" t="s">
        <v>220</v>
      </c>
      <c r="AX165" t="s">
        <v>226</v>
      </c>
      <c r="AY165" s="313" t="s">
        <v>220</v>
      </c>
      <c r="AZ165" s="313">
        <v>0.22900000000000001</v>
      </c>
      <c r="BB165" s="313" t="s">
        <v>220</v>
      </c>
      <c r="BC165">
        <v>9.9699999999999997E-2</v>
      </c>
      <c r="BD165" t="s">
        <v>220</v>
      </c>
      <c r="BE165">
        <v>0.25900000000000001</v>
      </c>
      <c r="BF165" s="2" t="s">
        <v>257</v>
      </c>
      <c r="BH165" s="2" t="s">
        <v>228</v>
      </c>
      <c r="BI165" s="2" t="s">
        <v>1114</v>
      </c>
      <c r="BK165" s="2" t="s">
        <v>352</v>
      </c>
      <c r="BM165" t="s">
        <v>317</v>
      </c>
      <c r="BP165" s="8" t="s">
        <v>344</v>
      </c>
      <c r="BQ165" t="s">
        <v>230</v>
      </c>
      <c r="BR165" t="s">
        <v>222</v>
      </c>
      <c r="BS165" t="s">
        <v>255</v>
      </c>
      <c r="BU165" t="s">
        <v>293</v>
      </c>
      <c r="BV165" t="s">
        <v>249</v>
      </c>
      <c r="BW165" t="s">
        <v>232</v>
      </c>
      <c r="BX165" t="s">
        <v>256</v>
      </c>
      <c r="BY165" t="s">
        <v>220</v>
      </c>
      <c r="BZ165">
        <v>0.46899999999999997</v>
      </c>
      <c r="CA165" t="s">
        <v>234</v>
      </c>
      <c r="CC165" t="s">
        <v>257</v>
      </c>
      <c r="CD165" t="s">
        <v>257</v>
      </c>
      <c r="CF165" t="s">
        <v>257</v>
      </c>
      <c r="CG165">
        <v>0.65600000000000003</v>
      </c>
      <c r="CH165" t="s">
        <v>257</v>
      </c>
      <c r="CI165">
        <v>0.93400000000000005</v>
      </c>
      <c r="CK165" t="s">
        <v>257</v>
      </c>
      <c r="CL165"/>
      <c r="CM165" t="s">
        <v>317</v>
      </c>
      <c r="CN165" s="2" t="s">
        <v>766</v>
      </c>
      <c r="CP165" t="s">
        <v>257</v>
      </c>
      <c r="CQ165" t="s">
        <v>257</v>
      </c>
      <c r="CR165" t="s">
        <v>257</v>
      </c>
      <c r="CS165" s="8"/>
      <c r="CW165" t="s">
        <v>257</v>
      </c>
      <c r="CX165" t="s">
        <v>257</v>
      </c>
      <c r="CY165" t="s">
        <v>231</v>
      </c>
      <c r="CZ165" t="s">
        <v>257</v>
      </c>
      <c r="DA165" t="s">
        <v>257</v>
      </c>
      <c r="DB165" t="s">
        <v>257</v>
      </c>
      <c r="DC165" t="s">
        <v>257</v>
      </c>
      <c r="DD165" t="s">
        <v>257</v>
      </c>
      <c r="DE165"/>
      <c r="DF165" t="s">
        <v>220</v>
      </c>
      <c r="DG165" t="s">
        <v>220</v>
      </c>
      <c r="DH165" s="323"/>
      <c r="DI165" s="323"/>
      <c r="DJ165" s="323"/>
      <c r="DL165" t="s">
        <v>257</v>
      </c>
      <c r="DM165" t="s">
        <v>257</v>
      </c>
      <c r="DN165" t="s">
        <v>227</v>
      </c>
      <c r="DO165" t="s">
        <v>220</v>
      </c>
      <c r="DP165" t="s">
        <v>220</v>
      </c>
      <c r="DQ165" s="332" t="s">
        <v>835</v>
      </c>
      <c r="DR165" s="332" t="s">
        <v>835</v>
      </c>
      <c r="DS165" s="309">
        <v>55.043999999999997</v>
      </c>
      <c r="DU165" s="309">
        <v>354.09500000000003</v>
      </c>
      <c r="DW165"/>
      <c r="DX165" t="s">
        <v>235</v>
      </c>
      <c r="DY165">
        <v>73.7</v>
      </c>
      <c r="DZ165" t="s">
        <v>238</v>
      </c>
      <c r="EA165"/>
      <c r="EB165"/>
      <c r="ED165" s="410"/>
      <c r="EE165" s="1"/>
      <c r="EG165" s="410"/>
      <c r="EI165" s="410"/>
      <c r="EK165" s="1">
        <v>124</v>
      </c>
      <c r="EL165" s="8" t="s">
        <v>324</v>
      </c>
      <c r="EM165"/>
      <c r="EQ165" s="344"/>
      <c r="EU165" s="344"/>
      <c r="EW165" s="409"/>
      <c r="EY165" s="1"/>
      <c r="FA165">
        <v>57.63</v>
      </c>
      <c r="FB165" t="s">
        <v>225</v>
      </c>
      <c r="FC165" s="7">
        <v>81.789960791750573</v>
      </c>
      <c r="FD165" s="357" t="s">
        <v>225</v>
      </c>
      <c r="FE165" s="8">
        <v>55.74424015437458</v>
      </c>
      <c r="FF165" t="s">
        <v>237</v>
      </c>
      <c r="FH165" s="9">
        <v>479.40217494151068</v>
      </c>
      <c r="FI165" s="9" t="s">
        <v>225</v>
      </c>
      <c r="FJ165">
        <v>169</v>
      </c>
      <c r="FK165" t="s">
        <v>238</v>
      </c>
      <c r="FL165">
        <v>112</v>
      </c>
      <c r="FM165">
        <v>90.406571551965797</v>
      </c>
      <c r="FN165" s="419" t="s">
        <v>237</v>
      </c>
      <c r="FV165" s="8"/>
      <c r="FW165" s="8"/>
      <c r="FX165" s="8"/>
      <c r="GC165" s="7">
        <v>2.5000000000000001E-3</v>
      </c>
      <c r="GE165" s="6">
        <v>0.1</v>
      </c>
      <c r="GH165" s="7"/>
      <c r="GI165" s="441" t="s">
        <v>395</v>
      </c>
      <c r="GJ165" s="441" t="s">
        <v>395</v>
      </c>
      <c r="GK165" s="441" t="s">
        <v>395</v>
      </c>
      <c r="GL165" s="441" t="s">
        <v>395</v>
      </c>
      <c r="GM165" s="452" t="s">
        <v>230</v>
      </c>
      <c r="GN165" s="6" t="s">
        <v>395</v>
      </c>
      <c r="GO165" s="6" t="s">
        <v>395</v>
      </c>
      <c r="GP165" s="6" t="s">
        <v>395</v>
      </c>
      <c r="GQ165" s="6" t="s">
        <v>395</v>
      </c>
      <c r="GR165" s="6" t="s">
        <v>230</v>
      </c>
      <c r="GT165" t="s">
        <v>443</v>
      </c>
      <c r="GU165" t="s">
        <v>365</v>
      </c>
      <c r="GV165" t="s">
        <v>236</v>
      </c>
      <c r="GW165" t="s">
        <v>444</v>
      </c>
      <c r="GY165" t="s">
        <v>1164</v>
      </c>
      <c r="HE165" t="s">
        <v>384</v>
      </c>
      <c r="HF165" t="s">
        <v>223</v>
      </c>
      <c r="HG165" t="s">
        <v>231</v>
      </c>
      <c r="HH165" t="s">
        <v>225</v>
      </c>
      <c r="HI165" t="s">
        <v>247</v>
      </c>
      <c r="HJ165" t="s">
        <v>223</v>
      </c>
      <c r="HK165" t="s">
        <v>266</v>
      </c>
      <c r="HL165" t="s">
        <v>231</v>
      </c>
      <c r="HM165" t="s">
        <v>231</v>
      </c>
      <c r="HO165" t="s">
        <v>231</v>
      </c>
      <c r="HP165" t="s">
        <v>249</v>
      </c>
      <c r="HQ165" t="s">
        <v>231</v>
      </c>
      <c r="HR165" t="s">
        <v>249</v>
      </c>
      <c r="HU165" t="s">
        <v>231</v>
      </c>
      <c r="HV165" t="s">
        <v>223</v>
      </c>
      <c r="HW165" t="s">
        <v>506</v>
      </c>
      <c r="HX165" t="s">
        <v>225</v>
      </c>
      <c r="IA165" t="s">
        <v>231</v>
      </c>
      <c r="IB165" t="s">
        <v>250</v>
      </c>
      <c r="IC165" t="s">
        <v>395</v>
      </c>
      <c r="ID165" t="s">
        <v>395</v>
      </c>
      <c r="IE165" t="s">
        <v>395</v>
      </c>
      <c r="IF165" t="s">
        <v>395</v>
      </c>
      <c r="IH165" t="s">
        <v>235</v>
      </c>
    </row>
    <row r="166" spans="1:242" x14ac:dyDescent="0.35">
      <c r="A166" s="310" t="s">
        <v>1165</v>
      </c>
      <c r="B166" s="313" t="s">
        <v>1166</v>
      </c>
      <c r="C166" s="310" t="s">
        <v>1167</v>
      </c>
      <c r="D166" s="316"/>
      <c r="F166" t="s">
        <v>1168</v>
      </c>
      <c r="I166" s="310" t="s">
        <v>1169</v>
      </c>
      <c r="M166" s="313" t="s">
        <v>220</v>
      </c>
      <c r="O166" t="s">
        <v>221</v>
      </c>
      <c r="P166" s="381"/>
      <c r="Q166" t="s">
        <v>221</v>
      </c>
      <c r="T166" s="8"/>
      <c r="U166" t="s">
        <v>221</v>
      </c>
      <c r="V166" s="313"/>
      <c r="W166" t="s">
        <v>220</v>
      </c>
      <c r="X166" t="s">
        <v>220</v>
      </c>
      <c r="Z166" t="s">
        <v>220</v>
      </c>
      <c r="AB166"/>
      <c r="AD166" s="8" t="s">
        <v>222</v>
      </c>
      <c r="AF166" s="8" t="s">
        <v>230</v>
      </c>
      <c r="AG166"/>
      <c r="AH166"/>
      <c r="AI166"/>
      <c r="AJ166" t="s">
        <v>221</v>
      </c>
      <c r="AK166">
        <v>0</v>
      </c>
      <c r="AL166">
        <v>1</v>
      </c>
      <c r="AM166" t="s">
        <v>221</v>
      </c>
      <c r="AN166" t="s">
        <v>249</v>
      </c>
      <c r="AO166" t="s">
        <v>221</v>
      </c>
      <c r="AP166"/>
      <c r="AQ166" t="s">
        <v>221</v>
      </c>
      <c r="AR166" t="s">
        <v>223</v>
      </c>
      <c r="AS166" t="s">
        <v>221</v>
      </c>
      <c r="AT166"/>
      <c r="AU166" t="s">
        <v>220</v>
      </c>
      <c r="AV166"/>
      <c r="AW166" s="313" t="s">
        <v>220</v>
      </c>
      <c r="AX166" t="s">
        <v>226</v>
      </c>
      <c r="AY166" s="313" t="s">
        <v>220</v>
      </c>
      <c r="AZ166" s="313">
        <v>0.19700000000000001</v>
      </c>
      <c r="BB166" s="313" t="s">
        <v>220</v>
      </c>
      <c r="BC166">
        <v>0.121</v>
      </c>
      <c r="BD166" t="s">
        <v>220</v>
      </c>
      <c r="BE166">
        <v>0.20899999999999999</v>
      </c>
      <c r="BF166" s="2" t="s">
        <v>220</v>
      </c>
      <c r="BH166" s="2" t="s">
        <v>228</v>
      </c>
      <c r="BI166" s="2" t="s">
        <v>457</v>
      </c>
      <c r="BM166"/>
      <c r="BP166" s="8"/>
      <c r="BQ166" t="s">
        <v>230</v>
      </c>
      <c r="BR166" t="s">
        <v>230</v>
      </c>
      <c r="BU166" t="s">
        <v>231</v>
      </c>
      <c r="BV166" t="s">
        <v>223</v>
      </c>
      <c r="BW166" t="s">
        <v>232</v>
      </c>
      <c r="BX166" t="s">
        <v>284</v>
      </c>
      <c r="BY166" t="s">
        <v>220</v>
      </c>
      <c r="BZ166">
        <v>0.371</v>
      </c>
      <c r="CA166" t="s">
        <v>234</v>
      </c>
      <c r="CF166" t="s">
        <v>220</v>
      </c>
      <c r="CG166">
        <v>0.17100000000000001</v>
      </c>
      <c r="CH166" t="s">
        <v>220</v>
      </c>
      <c r="CI166">
        <v>0.307</v>
      </c>
      <c r="CK166"/>
      <c r="CL166"/>
      <c r="CM166"/>
      <c r="CS166" s="8"/>
      <c r="CW166" t="s">
        <v>257</v>
      </c>
      <c r="CX166" t="s">
        <v>220</v>
      </c>
      <c r="CY166" t="s">
        <v>231</v>
      </c>
      <c r="CZ166" t="s">
        <v>220</v>
      </c>
      <c r="DA166" t="s">
        <v>220</v>
      </c>
      <c r="DB166" t="s">
        <v>220</v>
      </c>
      <c r="DC166"/>
      <c r="DD166"/>
      <c r="DE166"/>
      <c r="DF166"/>
      <c r="DG166"/>
      <c r="DH166" s="323"/>
      <c r="DI166" s="323"/>
      <c r="DJ166" s="323"/>
      <c r="DL166" t="s">
        <v>257</v>
      </c>
      <c r="DM166" t="s">
        <v>220</v>
      </c>
      <c r="DN166" t="s">
        <v>257</v>
      </c>
      <c r="DO166" t="s">
        <v>220</v>
      </c>
      <c r="DP166" t="s">
        <v>220</v>
      </c>
      <c r="DS166" s="309">
        <v>196.85</v>
      </c>
      <c r="DU166" s="309">
        <v>253.208</v>
      </c>
      <c r="DW166"/>
      <c r="DX166" t="s">
        <v>235</v>
      </c>
      <c r="DY166"/>
      <c r="DZ166" t="s">
        <v>235</v>
      </c>
      <c r="EA166"/>
      <c r="EB166"/>
      <c r="ED166" s="410"/>
      <c r="EE166" s="1"/>
      <c r="EG166" s="410"/>
      <c r="EI166" s="410"/>
      <c r="EK166" s="1"/>
      <c r="EM166"/>
      <c r="EQ166" s="344"/>
      <c r="EU166" s="344"/>
      <c r="EW166" s="409"/>
      <c r="EY166" s="1"/>
      <c r="FA166">
        <v>83.71</v>
      </c>
      <c r="FB166" t="s">
        <v>236</v>
      </c>
      <c r="FC166" s="7">
        <v>133.22937789769406</v>
      </c>
      <c r="FD166" s="357" t="s">
        <v>225</v>
      </c>
      <c r="FE166" s="8">
        <v>58.277377479636868</v>
      </c>
      <c r="FF166" t="s">
        <v>237</v>
      </c>
      <c r="FH166" s="9">
        <v>184.03481968461213</v>
      </c>
      <c r="FI166" s="9" t="s">
        <v>225</v>
      </c>
      <c r="FK166" t="s">
        <v>235</v>
      </c>
      <c r="FL166">
        <v>54.6</v>
      </c>
      <c r="FM166">
        <v>150.41806584854956</v>
      </c>
      <c r="FN166" s="5" t="s">
        <v>237</v>
      </c>
      <c r="FP166" s="6">
        <v>5.46</v>
      </c>
      <c r="FQ166" t="s">
        <v>239</v>
      </c>
      <c r="FS166" t="s">
        <v>240</v>
      </c>
      <c r="FU166" s="8">
        <v>1</v>
      </c>
      <c r="FV166" s="8">
        <v>10</v>
      </c>
      <c r="FW166" s="8">
        <v>10</v>
      </c>
      <c r="FX166" s="8">
        <v>10</v>
      </c>
      <c r="FY166" s="8">
        <v>3</v>
      </c>
      <c r="FZ166">
        <f t="shared" si="2"/>
        <v>3000</v>
      </c>
      <c r="GA166" s="7" t="s">
        <v>241</v>
      </c>
      <c r="GB166" s="7" t="s">
        <v>241</v>
      </c>
      <c r="GC166" s="6">
        <v>30</v>
      </c>
      <c r="GD166" s="348" t="s">
        <v>242</v>
      </c>
      <c r="GF166" s="6">
        <v>1.8200000000000001E-2</v>
      </c>
      <c r="GH166" s="7"/>
      <c r="GI166" s="441"/>
      <c r="GJ166" s="441"/>
      <c r="GK166" s="441"/>
      <c r="GL166" s="441"/>
      <c r="GM166" s="454"/>
      <c r="GN166" s="441"/>
      <c r="GO166" s="441"/>
      <c r="GP166" s="441"/>
      <c r="GQ166" s="441"/>
      <c r="GR166" s="441"/>
      <c r="GS166" s="441"/>
      <c r="GT166" s="441"/>
      <c r="GU166" s="441"/>
      <c r="GV166" s="441"/>
      <c r="GW166" s="441"/>
      <c r="GX166" s="441"/>
      <c r="GY166" s="441"/>
      <c r="GZ166" s="441"/>
      <c r="HA166" s="441"/>
      <c r="HB166" s="441"/>
      <c r="HC166" s="441"/>
      <c r="HD166" s="441"/>
      <c r="HE166" s="441"/>
      <c r="HF166" s="441"/>
      <c r="HG166" s="441"/>
      <c r="HH166" s="441"/>
      <c r="HI166" s="441"/>
      <c r="HJ166" s="441"/>
      <c r="HK166" s="441"/>
      <c r="HL166" s="441"/>
      <c r="HM166" s="441"/>
      <c r="HN166" s="441"/>
      <c r="HO166" s="441"/>
      <c r="HP166" s="441"/>
      <c r="HQ166" s="441"/>
      <c r="HR166" s="441"/>
      <c r="HS166" s="441"/>
      <c r="HT166" s="441"/>
      <c r="HU166" s="441"/>
      <c r="HV166" s="441"/>
      <c r="HW166" s="441"/>
      <c r="HX166" s="441"/>
      <c r="HY166" s="441"/>
      <c r="HZ166" s="441"/>
      <c r="IA166" s="441"/>
      <c r="IB166" s="441"/>
      <c r="IC166" s="441"/>
      <c r="ID166" s="441"/>
      <c r="IE166" s="441"/>
      <c r="IF166" s="441"/>
      <c r="IH166" t="s">
        <v>235</v>
      </c>
    </row>
    <row r="167" spans="1:242" ht="58" x14ac:dyDescent="0.35">
      <c r="A167" s="310" t="s">
        <v>1170</v>
      </c>
      <c r="B167" s="313" t="s">
        <v>1171</v>
      </c>
      <c r="C167" s="310" t="s">
        <v>1172</v>
      </c>
      <c r="D167" s="316"/>
      <c r="F167" t="s">
        <v>1172</v>
      </c>
      <c r="I167" s="310" t="s">
        <v>1173</v>
      </c>
      <c r="M167" s="313"/>
      <c r="O167"/>
      <c r="P167" s="381"/>
      <c r="Q167"/>
      <c r="T167" s="8"/>
      <c r="U167"/>
      <c r="V167" s="313"/>
      <c r="W167" t="s">
        <v>301</v>
      </c>
      <c r="X167"/>
      <c r="Z167"/>
      <c r="AB167"/>
      <c r="AD167" s="8" t="s">
        <v>230</v>
      </c>
      <c r="AF167" s="8" t="s">
        <v>230</v>
      </c>
      <c r="AG167"/>
      <c r="AH167"/>
      <c r="AI167"/>
      <c r="AJ167" t="s">
        <v>221</v>
      </c>
      <c r="AK167">
        <v>0</v>
      </c>
      <c r="AL167">
        <v>0.82499999999999996</v>
      </c>
      <c r="AM167" t="s">
        <v>221</v>
      </c>
      <c r="AN167" t="s">
        <v>223</v>
      </c>
      <c r="AO167" t="s">
        <v>221</v>
      </c>
      <c r="AP167" t="s">
        <v>223</v>
      </c>
      <c r="AQ167" t="s">
        <v>221</v>
      </c>
      <c r="AR167" t="s">
        <v>225</v>
      </c>
      <c r="AS167" t="s">
        <v>221</v>
      </c>
      <c r="AT167" t="s">
        <v>223</v>
      </c>
      <c r="AU167" t="s">
        <v>272</v>
      </c>
      <c r="AV167"/>
      <c r="AW167" s="313" t="s">
        <v>227</v>
      </c>
      <c r="AX167" t="s">
        <v>226</v>
      </c>
      <c r="AY167" s="313" t="s">
        <v>227</v>
      </c>
      <c r="AZ167" s="313">
        <v>4.9299999999999997E-2</v>
      </c>
      <c r="BB167" s="313" t="s">
        <v>227</v>
      </c>
      <c r="BC167">
        <v>2.41E-2</v>
      </c>
      <c r="BD167" t="s">
        <v>227</v>
      </c>
      <c r="BE167">
        <v>8.8599999999999998E-2</v>
      </c>
      <c r="BF167" s="2" t="s">
        <v>220</v>
      </c>
      <c r="BG167" s="2" t="s">
        <v>273</v>
      </c>
      <c r="BH167" s="2" t="s">
        <v>274</v>
      </c>
      <c r="BI167" s="2" t="s">
        <v>275</v>
      </c>
      <c r="BM167"/>
      <c r="BP167" s="8"/>
      <c r="BQ167" t="s">
        <v>230</v>
      </c>
      <c r="BR167" t="s">
        <v>222</v>
      </c>
      <c r="BU167" t="s">
        <v>231</v>
      </c>
      <c r="BV167" t="s">
        <v>223</v>
      </c>
      <c r="BW167" t="s">
        <v>232</v>
      </c>
      <c r="BX167" t="s">
        <v>233</v>
      </c>
      <c r="BY167" t="s">
        <v>227</v>
      </c>
      <c r="BZ167">
        <v>0.26800000000000002</v>
      </c>
      <c r="CA167" t="s">
        <v>234</v>
      </c>
      <c r="CF167" t="s">
        <v>227</v>
      </c>
      <c r="CG167">
        <v>0.17399999999999999</v>
      </c>
      <c r="CH167" t="s">
        <v>227</v>
      </c>
      <c r="CI167">
        <v>0.186</v>
      </c>
      <c r="CK167"/>
      <c r="CL167"/>
      <c r="CM167"/>
      <c r="CS167" s="8"/>
      <c r="CW167" t="s">
        <v>227</v>
      </c>
      <c r="CX167" t="s">
        <v>227</v>
      </c>
      <c r="CY167" t="s">
        <v>231</v>
      </c>
      <c r="CZ167" t="s">
        <v>227</v>
      </c>
      <c r="DA167" t="s">
        <v>227</v>
      </c>
      <c r="DB167" t="s">
        <v>227</v>
      </c>
      <c r="DC167"/>
      <c r="DD167"/>
      <c r="DE167"/>
      <c r="DF167"/>
      <c r="DG167"/>
      <c r="DH167" s="323"/>
      <c r="DI167" s="323"/>
      <c r="DJ167" s="323"/>
      <c r="DL167" t="s">
        <v>227</v>
      </c>
      <c r="DM167" t="s">
        <v>227</v>
      </c>
      <c r="DN167" t="s">
        <v>227</v>
      </c>
      <c r="DO167" t="s">
        <v>227</v>
      </c>
      <c r="DP167" t="s">
        <v>227</v>
      </c>
      <c r="DS167" s="309">
        <v>287.64400000000001</v>
      </c>
      <c r="DU167" s="309">
        <v>213.81899999999999</v>
      </c>
      <c r="DW167">
        <v>14.5</v>
      </c>
      <c r="DX167" t="s">
        <v>238</v>
      </c>
      <c r="DY167">
        <v>341</v>
      </c>
      <c r="DZ167" t="s">
        <v>238</v>
      </c>
      <c r="EA167"/>
      <c r="EB167"/>
      <c r="ED167" s="410"/>
      <c r="EE167" s="1"/>
      <c r="EG167" s="410"/>
      <c r="EI167" s="410"/>
      <c r="EK167" s="1"/>
      <c r="EM167"/>
      <c r="EQ167" s="344"/>
      <c r="EU167" s="344"/>
      <c r="EW167" s="409"/>
      <c r="EY167" s="1"/>
      <c r="FA167">
        <v>43.43</v>
      </c>
      <c r="FB167" t="s">
        <v>225</v>
      </c>
      <c r="FC167" s="7">
        <v>203.61042011319719</v>
      </c>
      <c r="FD167" s="357" t="s">
        <v>236</v>
      </c>
      <c r="FE167" s="8">
        <v>16.34556737197564</v>
      </c>
      <c r="FF167" t="s">
        <v>237</v>
      </c>
      <c r="FH167" s="9">
        <v>109.82469352400237</v>
      </c>
      <c r="FI167" s="9" t="s">
        <v>236</v>
      </c>
      <c r="FJ167">
        <v>35.299999999999997</v>
      </c>
      <c r="FK167" t="s">
        <v>238</v>
      </c>
      <c r="FL167">
        <v>82.4</v>
      </c>
      <c r="FM167">
        <v>87.377577511802016</v>
      </c>
      <c r="FN167" s="5" t="s">
        <v>237</v>
      </c>
      <c r="FP167" s="6">
        <v>3.53</v>
      </c>
      <c r="FQ167" t="s">
        <v>450</v>
      </c>
      <c r="FS167" t="s">
        <v>240</v>
      </c>
      <c r="FU167" s="8">
        <v>1</v>
      </c>
      <c r="FV167" s="8">
        <v>10</v>
      </c>
      <c r="FW167" s="8">
        <v>10</v>
      </c>
      <c r="FX167" s="8">
        <v>10</v>
      </c>
      <c r="FY167" s="8">
        <v>3</v>
      </c>
      <c r="FZ167">
        <f t="shared" si="2"/>
        <v>3000</v>
      </c>
      <c r="GA167" s="7" t="s">
        <v>241</v>
      </c>
      <c r="GB167" s="7" t="s">
        <v>241</v>
      </c>
      <c r="GC167" s="6">
        <v>30</v>
      </c>
      <c r="GD167" s="348" t="s">
        <v>242</v>
      </c>
      <c r="GF167" s="6">
        <v>1.1766666666666665E-2</v>
      </c>
      <c r="GH167" s="7"/>
      <c r="GI167" s="445"/>
      <c r="GJ167" s="445"/>
      <c r="GK167" s="445"/>
      <c r="GL167" s="445"/>
      <c r="GM167" s="460" t="s">
        <v>329</v>
      </c>
      <c r="GN167" s="448"/>
      <c r="GO167" s="448"/>
      <c r="GP167" s="448"/>
      <c r="GQ167" s="448"/>
      <c r="GR167" s="460" t="s">
        <v>329</v>
      </c>
      <c r="GU167" t="s">
        <v>243</v>
      </c>
      <c r="GV167" t="s">
        <v>236</v>
      </c>
      <c r="GW167" t="s">
        <v>244</v>
      </c>
      <c r="GX167" t="s">
        <v>236</v>
      </c>
      <c r="GY167" t="s">
        <v>245</v>
      </c>
      <c r="HE167" t="s">
        <v>246</v>
      </c>
      <c r="HF167" t="s">
        <v>236</v>
      </c>
      <c r="HG167" t="s">
        <v>231</v>
      </c>
      <c r="HH167" t="s">
        <v>236</v>
      </c>
      <c r="HI167" t="s">
        <v>247</v>
      </c>
      <c r="HJ167" t="s">
        <v>223</v>
      </c>
      <c r="HK167" t="s">
        <v>266</v>
      </c>
      <c r="HL167" t="s">
        <v>231</v>
      </c>
      <c r="HM167" t="s">
        <v>231</v>
      </c>
      <c r="HO167" t="s">
        <v>231</v>
      </c>
      <c r="HP167" t="s">
        <v>249</v>
      </c>
      <c r="HQ167" t="s">
        <v>231</v>
      </c>
      <c r="HR167" t="s">
        <v>249</v>
      </c>
      <c r="HU167" t="s">
        <v>231</v>
      </c>
      <c r="HV167" t="s">
        <v>223</v>
      </c>
      <c r="HW167" t="s">
        <v>246</v>
      </c>
      <c r="HX167" t="s">
        <v>236</v>
      </c>
      <c r="IA167" t="s">
        <v>231</v>
      </c>
      <c r="IB167" t="s">
        <v>250</v>
      </c>
      <c r="IC167" s="447"/>
      <c r="ID167" s="447"/>
      <c r="IE167" s="447"/>
      <c r="IF167" s="447"/>
      <c r="IG167" s="459" t="s">
        <v>451</v>
      </c>
      <c r="IH167" t="s">
        <v>235</v>
      </c>
    </row>
    <row r="168" spans="1:242" x14ac:dyDescent="0.35">
      <c r="A168" s="310" t="s">
        <v>1174</v>
      </c>
      <c r="B168" s="313" t="s">
        <v>1175</v>
      </c>
      <c r="C168" s="310" t="s">
        <v>1176</v>
      </c>
      <c r="D168" s="316"/>
      <c r="F168" t="s">
        <v>1177</v>
      </c>
      <c r="I168" s="310" t="s">
        <v>1178</v>
      </c>
      <c r="M168" s="313"/>
      <c r="O168"/>
      <c r="P168" s="381"/>
      <c r="Q168"/>
      <c r="T168" s="8"/>
      <c r="U168"/>
      <c r="V168" s="313"/>
      <c r="W168"/>
      <c r="X168"/>
      <c r="Z168"/>
      <c r="AB168"/>
      <c r="AD168" s="8" t="s">
        <v>230</v>
      </c>
      <c r="AF168" s="8" t="s">
        <v>230</v>
      </c>
      <c r="AG168"/>
      <c r="AH168"/>
      <c r="AI168"/>
      <c r="AJ168" t="s">
        <v>221</v>
      </c>
      <c r="AK168">
        <v>0</v>
      </c>
      <c r="AL168">
        <v>0.82499999999999996</v>
      </c>
      <c r="AM168" t="s">
        <v>221</v>
      </c>
      <c r="AN168" t="s">
        <v>223</v>
      </c>
      <c r="AO168" t="s">
        <v>221</v>
      </c>
      <c r="AP168" t="s">
        <v>223</v>
      </c>
      <c r="AQ168" t="s">
        <v>221</v>
      </c>
      <c r="AR168" t="s">
        <v>223</v>
      </c>
      <c r="AS168" t="s">
        <v>221</v>
      </c>
      <c r="AT168" t="s">
        <v>225</v>
      </c>
      <c r="AU168" t="s">
        <v>220</v>
      </c>
      <c r="AV168"/>
      <c r="AW168" s="313" t="s">
        <v>220</v>
      </c>
      <c r="AX168" t="s">
        <v>226</v>
      </c>
      <c r="AY168" s="313" t="s">
        <v>220</v>
      </c>
      <c r="AZ168" s="313">
        <v>0.30299999999999999</v>
      </c>
      <c r="BB168" s="313" t="s">
        <v>220</v>
      </c>
      <c r="BC168">
        <v>0.27600000000000002</v>
      </c>
      <c r="BD168" t="s">
        <v>220</v>
      </c>
      <c r="BE168">
        <v>0.22</v>
      </c>
      <c r="BF168" s="2" t="s">
        <v>220</v>
      </c>
      <c r="BG168" s="2" t="s">
        <v>273</v>
      </c>
      <c r="BH168" s="2" t="s">
        <v>274</v>
      </c>
      <c r="BI168" s="2" t="s">
        <v>275</v>
      </c>
      <c r="BM168"/>
      <c r="BP168" s="8"/>
      <c r="BQ168" t="s">
        <v>230</v>
      </c>
      <c r="BR168" t="s">
        <v>230</v>
      </c>
      <c r="BU168" t="s">
        <v>293</v>
      </c>
      <c r="BV168" t="s">
        <v>236</v>
      </c>
      <c r="BW168" t="s">
        <v>232</v>
      </c>
      <c r="BX168" t="s">
        <v>276</v>
      </c>
      <c r="BY168" t="s">
        <v>220</v>
      </c>
      <c r="BZ168">
        <v>0.47</v>
      </c>
      <c r="CA168" t="s">
        <v>372</v>
      </c>
      <c r="CF168" t="s">
        <v>227</v>
      </c>
      <c r="CG168">
        <v>0.54</v>
      </c>
      <c r="CH168" t="s">
        <v>257</v>
      </c>
      <c r="CI168">
        <v>0.624</v>
      </c>
      <c r="CK168"/>
      <c r="CL168"/>
      <c r="CM168"/>
      <c r="CS168" s="8"/>
      <c r="CW168" t="s">
        <v>220</v>
      </c>
      <c r="CX168" t="s">
        <v>220</v>
      </c>
      <c r="CY168" t="s">
        <v>231</v>
      </c>
      <c r="CZ168" t="s">
        <v>220</v>
      </c>
      <c r="DA168" t="s">
        <v>257</v>
      </c>
      <c r="DB168" t="s">
        <v>220</v>
      </c>
      <c r="DC168"/>
      <c r="DD168"/>
      <c r="DE168"/>
      <c r="DF168"/>
      <c r="DG168"/>
      <c r="DH168" s="323"/>
      <c r="DI168" s="323"/>
      <c r="DJ168" s="323"/>
      <c r="DL168" t="s">
        <v>257</v>
      </c>
      <c r="DM168" t="s">
        <v>257</v>
      </c>
      <c r="DN168" t="s">
        <v>257</v>
      </c>
      <c r="DO168" t="s">
        <v>220</v>
      </c>
      <c r="DP168" t="s">
        <v>257</v>
      </c>
      <c r="DS168" s="309">
        <v>103.404</v>
      </c>
      <c r="DU168" s="309">
        <v>202.38800000000001</v>
      </c>
      <c r="DW168"/>
      <c r="DX168" t="s">
        <v>235</v>
      </c>
      <c r="DY168">
        <v>2200</v>
      </c>
      <c r="DZ168" t="s">
        <v>238</v>
      </c>
      <c r="EA168"/>
      <c r="EB168"/>
      <c r="ED168" s="410"/>
      <c r="EE168" s="1"/>
      <c r="EG168" s="410"/>
      <c r="EI168" s="410"/>
      <c r="EK168" s="1"/>
      <c r="EM168"/>
      <c r="EQ168" s="344"/>
      <c r="EU168" s="344"/>
      <c r="EW168" s="409"/>
      <c r="EY168" s="1"/>
      <c r="FA168">
        <v>80.73</v>
      </c>
      <c r="FB168" t="s">
        <v>225</v>
      </c>
      <c r="FC168" s="7">
        <v>154.66783270971567</v>
      </c>
      <c r="FD168" s="357" t="s">
        <v>236</v>
      </c>
      <c r="FE168" s="8">
        <v>189.84536566615043</v>
      </c>
      <c r="FF168" t="s">
        <v>237</v>
      </c>
      <c r="FH168" s="9">
        <v>248.48489854530058</v>
      </c>
      <c r="FI168" s="9" t="s">
        <v>225</v>
      </c>
      <c r="FK168" t="s">
        <v>235</v>
      </c>
      <c r="FL168">
        <v>82.1</v>
      </c>
      <c r="FM168">
        <v>443.20025337084985</v>
      </c>
      <c r="FN168" s="5" t="s">
        <v>237</v>
      </c>
      <c r="FP168" s="6">
        <v>8.2099999999999991</v>
      </c>
      <c r="FQ168" t="s">
        <v>239</v>
      </c>
      <c r="FS168" t="s">
        <v>240</v>
      </c>
      <c r="FU168" s="8">
        <v>1</v>
      </c>
      <c r="FV168" s="8">
        <v>10</v>
      </c>
      <c r="FW168" s="8">
        <v>10</v>
      </c>
      <c r="FX168" s="8">
        <v>10</v>
      </c>
      <c r="FY168" s="8">
        <v>3</v>
      </c>
      <c r="FZ168">
        <f t="shared" si="2"/>
        <v>3000</v>
      </c>
      <c r="GA168" s="7" t="s">
        <v>326</v>
      </c>
      <c r="GB168" s="7" t="s">
        <v>326</v>
      </c>
      <c r="GC168" s="6">
        <v>1.5</v>
      </c>
      <c r="GD168" s="348" t="s">
        <v>242</v>
      </c>
      <c r="GF168" s="6">
        <v>2.7366666666666664E-2</v>
      </c>
      <c r="GH168" s="7"/>
      <c r="GI168" s="445"/>
      <c r="GJ168" s="445"/>
      <c r="GK168" s="445"/>
      <c r="GL168" s="445"/>
      <c r="GM168" s="453"/>
      <c r="GN168" s="448"/>
      <c r="GO168" s="448"/>
      <c r="GP168" s="448"/>
      <c r="GQ168" s="448"/>
      <c r="GR168" s="6" t="s">
        <v>230</v>
      </c>
      <c r="GU168" t="s">
        <v>365</v>
      </c>
      <c r="GV168" t="s">
        <v>223</v>
      </c>
      <c r="GW168" t="s">
        <v>359</v>
      </c>
      <c r="GX168" t="s">
        <v>223</v>
      </c>
      <c r="GY168" t="s">
        <v>245</v>
      </c>
      <c r="HE168" t="s">
        <v>384</v>
      </c>
      <c r="HF168" t="s">
        <v>223</v>
      </c>
      <c r="HG168" t="s">
        <v>231</v>
      </c>
      <c r="HH168" t="s">
        <v>223</v>
      </c>
      <c r="HI168" t="s">
        <v>247</v>
      </c>
      <c r="HJ168" t="s">
        <v>223</v>
      </c>
      <c r="HK168" t="s">
        <v>266</v>
      </c>
      <c r="HO168" t="s">
        <v>231</v>
      </c>
      <c r="HP168" t="s">
        <v>223</v>
      </c>
      <c r="HQ168" t="s">
        <v>231</v>
      </c>
      <c r="HR168" t="s">
        <v>223</v>
      </c>
      <c r="HU168" t="s">
        <v>231</v>
      </c>
      <c r="HV168" t="s">
        <v>223</v>
      </c>
      <c r="HW168" t="s">
        <v>482</v>
      </c>
      <c r="HX168" t="s">
        <v>236</v>
      </c>
      <c r="IA168" t="s">
        <v>231</v>
      </c>
      <c r="IB168" t="s">
        <v>250</v>
      </c>
      <c r="IC168" s="447"/>
      <c r="ID168" s="447"/>
      <c r="IE168" s="447"/>
      <c r="IF168" s="447"/>
      <c r="IH168" t="s">
        <v>235</v>
      </c>
    </row>
    <row r="169" spans="1:242" x14ac:dyDescent="0.35">
      <c r="A169" s="310" t="s">
        <v>1179</v>
      </c>
      <c r="B169" s="313" t="s">
        <v>1180</v>
      </c>
      <c r="C169" s="310" t="s">
        <v>1181</v>
      </c>
      <c r="D169" s="316"/>
      <c r="F169" t="s">
        <v>1182</v>
      </c>
      <c r="I169" s="310" t="s">
        <v>1183</v>
      </c>
      <c r="M169" s="313" t="s">
        <v>220</v>
      </c>
      <c r="O169" t="s">
        <v>221</v>
      </c>
      <c r="P169" s="381"/>
      <c r="Q169" t="s">
        <v>221</v>
      </c>
      <c r="T169" s="8"/>
      <c r="U169" t="s">
        <v>221</v>
      </c>
      <c r="V169" s="313"/>
      <c r="W169" t="s">
        <v>301</v>
      </c>
      <c r="X169" t="s">
        <v>220</v>
      </c>
      <c r="Z169" t="s">
        <v>220</v>
      </c>
      <c r="AB169" t="s">
        <v>220</v>
      </c>
      <c r="AD169" s="8" t="s">
        <v>222</v>
      </c>
      <c r="AF169" s="8" t="s">
        <v>291</v>
      </c>
      <c r="AG169"/>
      <c r="AH169"/>
      <c r="AI169"/>
      <c r="AJ169" t="s">
        <v>221</v>
      </c>
      <c r="AK169">
        <v>0</v>
      </c>
      <c r="AL169">
        <v>1</v>
      </c>
      <c r="AM169" t="s">
        <v>221</v>
      </c>
      <c r="AN169" t="s">
        <v>249</v>
      </c>
      <c r="AO169" t="s">
        <v>224</v>
      </c>
      <c r="AP169"/>
      <c r="AQ169" t="s">
        <v>221</v>
      </c>
      <c r="AR169" t="s">
        <v>223</v>
      </c>
      <c r="AS169" t="s">
        <v>221</v>
      </c>
      <c r="AT169"/>
      <c r="AU169" t="s">
        <v>220</v>
      </c>
      <c r="AV169"/>
      <c r="AW169" s="313" t="s">
        <v>1184</v>
      </c>
      <c r="AX169" t="s">
        <v>226</v>
      </c>
      <c r="AY169" s="313" t="s">
        <v>220</v>
      </c>
      <c r="AZ169" s="313">
        <v>0.15</v>
      </c>
      <c r="BB169" s="313" t="s">
        <v>220</v>
      </c>
      <c r="BC169">
        <v>9.4100000000000003E-2</v>
      </c>
      <c r="BD169" t="s">
        <v>220</v>
      </c>
      <c r="BE169">
        <v>0.29299999999999998</v>
      </c>
      <c r="BF169" s="2" t="s">
        <v>220</v>
      </c>
      <c r="BH169" s="2" t="s">
        <v>228</v>
      </c>
      <c r="BI169" s="2" t="s">
        <v>1185</v>
      </c>
      <c r="BM169"/>
      <c r="BP169" s="8"/>
      <c r="BQ169" t="s">
        <v>230</v>
      </c>
      <c r="BR169" t="s">
        <v>230</v>
      </c>
      <c r="BU169" t="s">
        <v>317</v>
      </c>
      <c r="BV169" t="s">
        <v>236</v>
      </c>
      <c r="BW169" t="s">
        <v>232</v>
      </c>
      <c r="BX169" t="s">
        <v>276</v>
      </c>
      <c r="BY169" t="s">
        <v>220</v>
      </c>
      <c r="BZ169">
        <v>0.45200000000000001</v>
      </c>
      <c r="CA169" t="s">
        <v>372</v>
      </c>
      <c r="CF169" t="s">
        <v>257</v>
      </c>
      <c r="CG169">
        <v>0.751</v>
      </c>
      <c r="CH169" t="s">
        <v>257</v>
      </c>
      <c r="CI169">
        <v>0.74099999999999999</v>
      </c>
      <c r="CK169" t="s">
        <v>220</v>
      </c>
      <c r="CL169" t="s">
        <v>220</v>
      </c>
      <c r="CM169" t="s">
        <v>231</v>
      </c>
      <c r="CS169" s="8"/>
      <c r="CW169" t="s">
        <v>220</v>
      </c>
      <c r="CX169" t="s">
        <v>220</v>
      </c>
      <c r="CY169" t="s">
        <v>231</v>
      </c>
      <c r="CZ169" t="s">
        <v>220</v>
      </c>
      <c r="DA169" t="s">
        <v>227</v>
      </c>
      <c r="DB169" t="s">
        <v>220</v>
      </c>
      <c r="DC169"/>
      <c r="DD169"/>
      <c r="DE169"/>
      <c r="DF169"/>
      <c r="DG169"/>
      <c r="DH169" s="323"/>
      <c r="DI169" s="323"/>
      <c r="DJ169" s="323"/>
      <c r="DL169" t="s">
        <v>257</v>
      </c>
      <c r="DM169" t="s">
        <v>257</v>
      </c>
      <c r="DN169" t="s">
        <v>257</v>
      </c>
      <c r="DO169" t="s">
        <v>220</v>
      </c>
      <c r="DP169" t="s">
        <v>220</v>
      </c>
      <c r="DQ169" s="332" t="s">
        <v>835</v>
      </c>
      <c r="DR169" s="332" t="s">
        <v>702</v>
      </c>
      <c r="DS169" s="309">
        <v>91.769000000000005</v>
      </c>
      <c r="DU169" s="309">
        <v>145.44499999999999</v>
      </c>
      <c r="DW169">
        <v>8.56</v>
      </c>
      <c r="DX169" t="s">
        <v>238</v>
      </c>
      <c r="DY169">
        <v>122</v>
      </c>
      <c r="DZ169" t="s">
        <v>238</v>
      </c>
      <c r="EA169"/>
      <c r="EB169"/>
      <c r="ED169" s="410"/>
      <c r="EE169" s="1"/>
      <c r="EG169" s="410"/>
      <c r="EI169" s="410"/>
      <c r="EK169" s="1">
        <v>4580</v>
      </c>
      <c r="EL169" s="8" t="s">
        <v>259</v>
      </c>
      <c r="EM169"/>
      <c r="EN169" s="9">
        <v>6875.9366057640009</v>
      </c>
      <c r="EQ169" s="344"/>
      <c r="EU169" s="344"/>
      <c r="EW169" s="381">
        <v>6883</v>
      </c>
      <c r="EX169" s="8" t="s">
        <v>324</v>
      </c>
      <c r="EY169" s="1"/>
      <c r="FA169">
        <v>258.06</v>
      </c>
      <c r="FB169" t="s">
        <v>225</v>
      </c>
      <c r="FC169" s="7">
        <v>95.016712475556545</v>
      </c>
      <c r="FD169" s="357" t="s">
        <v>225</v>
      </c>
      <c r="FE169" s="8">
        <v>228.66516029195211</v>
      </c>
      <c r="FF169" t="s">
        <v>237</v>
      </c>
      <c r="FH169" s="9">
        <v>145.17772950231267</v>
      </c>
      <c r="FI169" s="9" t="s">
        <v>225</v>
      </c>
      <c r="FJ169">
        <v>202</v>
      </c>
      <c r="FK169" t="s">
        <v>238</v>
      </c>
      <c r="FL169">
        <v>1050</v>
      </c>
      <c r="FM169">
        <v>638.85161938980241</v>
      </c>
      <c r="FN169" s="5" t="s">
        <v>237</v>
      </c>
      <c r="FP169" s="6">
        <v>687.59366057640011</v>
      </c>
      <c r="FQ169" t="s">
        <v>325</v>
      </c>
      <c r="FS169" t="s">
        <v>261</v>
      </c>
      <c r="FU169" s="8">
        <v>1</v>
      </c>
      <c r="FV169" s="8">
        <v>10</v>
      </c>
      <c r="FW169" s="8">
        <v>10</v>
      </c>
      <c r="FX169" s="8">
        <v>10</v>
      </c>
      <c r="FY169" s="8">
        <v>3</v>
      </c>
      <c r="FZ169">
        <f t="shared" si="2"/>
        <v>3000</v>
      </c>
      <c r="GA169" s="7" t="s">
        <v>241</v>
      </c>
      <c r="GB169" s="7" t="s">
        <v>241</v>
      </c>
      <c r="GC169" s="6">
        <v>30</v>
      </c>
      <c r="GD169" s="348" t="s">
        <v>242</v>
      </c>
      <c r="GF169" s="6">
        <v>2.4196288250385445E-2</v>
      </c>
      <c r="GH169" s="7"/>
      <c r="GI169" s="441"/>
      <c r="GJ169" s="441"/>
      <c r="GK169" s="441"/>
      <c r="GL169" s="441"/>
      <c r="GM169" s="454"/>
      <c r="GN169" s="441"/>
      <c r="GO169" s="441"/>
      <c r="GP169" s="441"/>
      <c r="GQ169" s="441"/>
      <c r="GR169" s="441"/>
      <c r="GS169" s="441"/>
      <c r="GT169" s="441"/>
      <c r="GU169" s="441"/>
      <c r="GV169" s="441"/>
      <c r="GW169" s="441"/>
      <c r="GX169" s="441"/>
      <c r="GY169" s="441"/>
      <c r="GZ169" s="441"/>
      <c r="HA169" s="441"/>
      <c r="HB169" s="441"/>
      <c r="HC169" s="441"/>
      <c r="HD169" s="441"/>
      <c r="HE169" s="441"/>
      <c r="HF169" s="441"/>
      <c r="HG169" s="441"/>
      <c r="HH169" s="441"/>
      <c r="HI169" s="441"/>
      <c r="HJ169" s="441"/>
      <c r="HK169" s="441"/>
      <c r="HL169" s="441"/>
      <c r="HM169" s="441"/>
      <c r="HN169" s="441"/>
      <c r="HO169" s="441"/>
      <c r="HP169" s="441"/>
      <c r="HQ169" s="441"/>
      <c r="HR169" s="441"/>
      <c r="HS169" s="441"/>
      <c r="HT169" s="441"/>
      <c r="HU169" s="441"/>
      <c r="HV169" s="441"/>
      <c r="HW169" s="441"/>
      <c r="HX169" s="441"/>
      <c r="HY169" s="441"/>
      <c r="HZ169" s="441"/>
      <c r="IA169" s="441"/>
      <c r="IB169" s="441"/>
      <c r="IC169" s="441"/>
      <c r="ID169" s="441"/>
      <c r="IE169" s="441"/>
      <c r="IF169" s="441"/>
      <c r="IH169" t="s">
        <v>235</v>
      </c>
    </row>
    <row r="170" spans="1:242" x14ac:dyDescent="0.35">
      <c r="A170" s="310" t="s">
        <v>1186</v>
      </c>
      <c r="B170" s="313" t="s">
        <v>1187</v>
      </c>
      <c r="C170" s="310" t="s">
        <v>1188</v>
      </c>
      <c r="D170" s="316"/>
      <c r="F170" t="s">
        <v>1189</v>
      </c>
      <c r="I170" s="310" t="s">
        <v>1190</v>
      </c>
      <c r="M170" s="313"/>
      <c r="O170"/>
      <c r="P170" s="381"/>
      <c r="Q170"/>
      <c r="T170" s="8"/>
      <c r="U170"/>
      <c r="V170" s="313"/>
      <c r="W170" t="s">
        <v>220</v>
      </c>
      <c r="X170" t="s">
        <v>220</v>
      </c>
      <c r="Z170"/>
      <c r="AB170"/>
      <c r="AD170" s="8" t="s">
        <v>222</v>
      </c>
      <c r="AF170" s="8" t="s">
        <v>230</v>
      </c>
      <c r="AG170"/>
      <c r="AH170"/>
      <c r="AI170"/>
      <c r="AJ170" t="s">
        <v>414</v>
      </c>
      <c r="AK170">
        <v>0.375</v>
      </c>
      <c r="AL170">
        <v>0.2</v>
      </c>
      <c r="AM170" t="s">
        <v>414</v>
      </c>
      <c r="AN170" t="s">
        <v>223</v>
      </c>
      <c r="AO170" t="s">
        <v>224</v>
      </c>
      <c r="AP170" t="s">
        <v>236</v>
      </c>
      <c r="AQ170" t="s">
        <v>221</v>
      </c>
      <c r="AR170" t="s">
        <v>225</v>
      </c>
      <c r="AS170" t="s">
        <v>414</v>
      </c>
      <c r="AT170" t="s">
        <v>225</v>
      </c>
      <c r="AU170" t="s">
        <v>220</v>
      </c>
      <c r="AV170"/>
      <c r="AW170" s="313" t="s">
        <v>220</v>
      </c>
      <c r="AX170" t="s">
        <v>226</v>
      </c>
      <c r="AY170" s="313" t="s">
        <v>220</v>
      </c>
      <c r="AZ170" s="313">
        <v>0.27700000000000002</v>
      </c>
      <c r="BB170" s="313" t="s">
        <v>220</v>
      </c>
      <c r="BC170">
        <v>0.115</v>
      </c>
      <c r="BD170" t="s">
        <v>220</v>
      </c>
      <c r="BE170">
        <v>0.23899999999999999</v>
      </c>
      <c r="BF170" s="2" t="s">
        <v>220</v>
      </c>
      <c r="BG170" s="2" t="s">
        <v>230</v>
      </c>
      <c r="BH170" s="2" t="s">
        <v>228</v>
      </c>
      <c r="BI170" s="2" t="s">
        <v>392</v>
      </c>
      <c r="BM170"/>
      <c r="BP170" s="8"/>
      <c r="BQ170" t="s">
        <v>230</v>
      </c>
      <c r="BR170" t="s">
        <v>222</v>
      </c>
      <c r="BU170" t="s">
        <v>231</v>
      </c>
      <c r="BV170" t="s">
        <v>236</v>
      </c>
      <c r="BW170" t="s">
        <v>232</v>
      </c>
      <c r="BX170" t="s">
        <v>284</v>
      </c>
      <c r="BY170" t="s">
        <v>220</v>
      </c>
      <c r="BZ170">
        <v>0.36599999999999999</v>
      </c>
      <c r="CA170" t="s">
        <v>372</v>
      </c>
      <c r="CF170" t="s">
        <v>220</v>
      </c>
      <c r="CG170">
        <v>0.435</v>
      </c>
      <c r="CH170" t="s">
        <v>257</v>
      </c>
      <c r="CI170">
        <v>0.63400000000000001</v>
      </c>
      <c r="CK170"/>
      <c r="CL170"/>
      <c r="CM170"/>
      <c r="CS170" s="8"/>
      <c r="CW170" t="s">
        <v>220</v>
      </c>
      <c r="CX170" t="s">
        <v>220</v>
      </c>
      <c r="CY170" t="s">
        <v>231</v>
      </c>
      <c r="CZ170" t="s">
        <v>220</v>
      </c>
      <c r="DA170" t="s">
        <v>257</v>
      </c>
      <c r="DB170" t="s">
        <v>220</v>
      </c>
      <c r="DC170"/>
      <c r="DD170"/>
      <c r="DE170"/>
      <c r="DF170"/>
      <c r="DG170"/>
      <c r="DH170" s="323"/>
      <c r="DI170" s="323"/>
      <c r="DJ170" s="323"/>
      <c r="DL170" t="s">
        <v>257</v>
      </c>
      <c r="DM170" t="s">
        <v>257</v>
      </c>
      <c r="DN170" t="s">
        <v>257</v>
      </c>
      <c r="DO170" t="s">
        <v>220</v>
      </c>
      <c r="DP170" t="s">
        <v>257</v>
      </c>
      <c r="DS170" s="309">
        <v>114.014</v>
      </c>
      <c r="DU170" s="309">
        <v>160.959</v>
      </c>
      <c r="DW170">
        <v>41.4</v>
      </c>
      <c r="DX170" t="s">
        <v>238</v>
      </c>
      <c r="DY170">
        <v>65.8</v>
      </c>
      <c r="DZ170" t="s">
        <v>238</v>
      </c>
      <c r="EA170"/>
      <c r="EB170"/>
      <c r="ED170" s="410"/>
      <c r="EE170" s="1"/>
      <c r="EG170" s="410"/>
      <c r="EI170" s="410"/>
      <c r="EK170" s="1">
        <v>1000</v>
      </c>
      <c r="EL170" s="8" t="s">
        <v>323</v>
      </c>
      <c r="EM170"/>
      <c r="EQ170" s="344"/>
      <c r="EU170" s="344"/>
      <c r="EW170" s="409"/>
      <c r="EY170" s="1"/>
      <c r="FA170">
        <v>60.11</v>
      </c>
      <c r="FB170" t="s">
        <v>225</v>
      </c>
      <c r="FC170" s="7">
        <v>157.6158904963838</v>
      </c>
      <c r="FD170" s="357" t="s">
        <v>236</v>
      </c>
      <c r="FE170" s="8">
        <v>327.18998362317933</v>
      </c>
      <c r="FF170" t="s">
        <v>237</v>
      </c>
      <c r="FH170" s="9">
        <v>70.45308260711937</v>
      </c>
      <c r="FI170" s="9" t="s">
        <v>236</v>
      </c>
      <c r="FJ170">
        <v>1180</v>
      </c>
      <c r="FK170" t="s">
        <v>238</v>
      </c>
      <c r="FL170">
        <v>204</v>
      </c>
      <c r="FM170">
        <v>788.86011761855468</v>
      </c>
      <c r="FN170" s="5" t="s">
        <v>237</v>
      </c>
      <c r="FP170" s="6">
        <v>1000</v>
      </c>
      <c r="FQ170" t="s">
        <v>260</v>
      </c>
      <c r="FS170" t="s">
        <v>261</v>
      </c>
      <c r="FU170" s="8">
        <v>1</v>
      </c>
      <c r="FV170" s="8">
        <v>10</v>
      </c>
      <c r="FW170" s="8">
        <v>10</v>
      </c>
      <c r="FX170" s="8">
        <v>1</v>
      </c>
      <c r="FY170" s="8">
        <v>1</v>
      </c>
      <c r="FZ170">
        <f t="shared" si="2"/>
        <v>100</v>
      </c>
      <c r="GA170" s="7" t="s">
        <v>326</v>
      </c>
      <c r="GB170" s="7" t="s">
        <v>326</v>
      </c>
      <c r="GC170" s="6">
        <v>1.5</v>
      </c>
      <c r="GD170" s="348" t="s">
        <v>242</v>
      </c>
      <c r="GF170" s="6">
        <v>0.20399999999999999</v>
      </c>
      <c r="GH170" s="7"/>
      <c r="GI170" s="441">
        <v>66.667000000000002</v>
      </c>
      <c r="GJ170" s="441">
        <v>125</v>
      </c>
      <c r="GK170" s="441">
        <v>200</v>
      </c>
      <c r="GL170" s="441">
        <v>500</v>
      </c>
      <c r="GM170" s="452" t="s">
        <v>262</v>
      </c>
      <c r="GN170" s="6">
        <v>0.01</v>
      </c>
      <c r="GO170" s="6">
        <v>1.8749999999999999E-2</v>
      </c>
      <c r="GP170" s="6">
        <v>0.03</v>
      </c>
      <c r="GQ170" s="6">
        <v>7.4999999999999997E-2</v>
      </c>
      <c r="GR170" s="6" t="s">
        <v>230</v>
      </c>
      <c r="GU170" t="s">
        <v>243</v>
      </c>
      <c r="GV170" t="s">
        <v>236</v>
      </c>
      <c r="GW170" t="s">
        <v>359</v>
      </c>
      <c r="GX170" t="s">
        <v>225</v>
      </c>
      <c r="GY170" t="s">
        <v>245</v>
      </c>
      <c r="HE170" t="s">
        <v>247</v>
      </c>
      <c r="HF170" t="s">
        <v>223</v>
      </c>
      <c r="HG170" t="s">
        <v>231</v>
      </c>
      <c r="HH170" t="s">
        <v>225</v>
      </c>
      <c r="HI170" t="s">
        <v>247</v>
      </c>
      <c r="HJ170" t="s">
        <v>223</v>
      </c>
      <c r="HK170" t="s">
        <v>248</v>
      </c>
      <c r="HO170" t="s">
        <v>231</v>
      </c>
      <c r="HP170" t="s">
        <v>223</v>
      </c>
      <c r="HQ170" t="s">
        <v>231</v>
      </c>
      <c r="HR170" t="s">
        <v>223</v>
      </c>
      <c r="HU170" t="s">
        <v>231</v>
      </c>
      <c r="HV170" t="s">
        <v>223</v>
      </c>
      <c r="HW170" t="s">
        <v>482</v>
      </c>
      <c r="HX170" t="s">
        <v>236</v>
      </c>
      <c r="IA170" t="s">
        <v>231</v>
      </c>
      <c r="IB170" t="s">
        <v>250</v>
      </c>
      <c r="IC170">
        <v>66.667000000000002</v>
      </c>
      <c r="ID170">
        <v>125</v>
      </c>
      <c r="IE170">
        <v>200</v>
      </c>
      <c r="IF170">
        <v>500</v>
      </c>
      <c r="IH170" t="s">
        <v>267</v>
      </c>
    </row>
    <row r="171" spans="1:242" hidden="1" x14ac:dyDescent="0.35">
      <c r="A171" s="310" t="s">
        <v>1191</v>
      </c>
      <c r="B171" s="313" t="s">
        <v>1192</v>
      </c>
      <c r="C171" s="310" t="s">
        <v>1193</v>
      </c>
      <c r="D171" s="316"/>
      <c r="F171" t="s">
        <v>1194</v>
      </c>
      <c r="I171" s="310" t="s">
        <v>1195</v>
      </c>
      <c r="M171" s="313"/>
      <c r="O171" t="s">
        <v>414</v>
      </c>
      <c r="P171" s="381"/>
      <c r="Q171" t="s">
        <v>414</v>
      </c>
      <c r="T171" s="8"/>
      <c r="U171" t="s">
        <v>414</v>
      </c>
      <c r="V171" s="313"/>
      <c r="W171" t="s">
        <v>257</v>
      </c>
      <c r="X171" t="s">
        <v>257</v>
      </c>
      <c r="Z171" t="s">
        <v>257</v>
      </c>
      <c r="AB171"/>
      <c r="AD171" s="8" t="s">
        <v>230</v>
      </c>
      <c r="AF171" s="8" t="s">
        <v>230</v>
      </c>
      <c r="AG171"/>
      <c r="AH171"/>
      <c r="AI171"/>
      <c r="AJ171" t="s">
        <v>414</v>
      </c>
      <c r="AK171">
        <v>1</v>
      </c>
      <c r="AL171">
        <v>0</v>
      </c>
      <c r="AM171" t="s">
        <v>414</v>
      </c>
      <c r="AN171" t="s">
        <v>249</v>
      </c>
      <c r="AO171" t="s">
        <v>224</v>
      </c>
      <c r="AP171"/>
      <c r="AQ171" t="s">
        <v>221</v>
      </c>
      <c r="AR171" t="s">
        <v>223</v>
      </c>
      <c r="AS171" t="s">
        <v>414</v>
      </c>
      <c r="AT171"/>
      <c r="AU171" t="s">
        <v>257</v>
      </c>
      <c r="AV171"/>
      <c r="AW171" s="313" t="s">
        <v>257</v>
      </c>
      <c r="AX171" t="s">
        <v>226</v>
      </c>
      <c r="AY171" s="313" t="s">
        <v>257</v>
      </c>
      <c r="AZ171" s="313">
        <v>0.28699999999999998</v>
      </c>
      <c r="BB171" s="313" t="s">
        <v>257</v>
      </c>
      <c r="BC171">
        <v>0.16700000000000001</v>
      </c>
      <c r="BD171" t="s">
        <v>220</v>
      </c>
      <c r="BE171">
        <v>0.157</v>
      </c>
      <c r="BF171" s="2" t="s">
        <v>257</v>
      </c>
      <c r="BH171" s="2" t="s">
        <v>228</v>
      </c>
      <c r="BI171" s="2" t="s">
        <v>424</v>
      </c>
      <c r="BM171"/>
      <c r="BP171" s="8"/>
      <c r="BQ171" t="s">
        <v>230</v>
      </c>
      <c r="BR171" t="s">
        <v>230</v>
      </c>
      <c r="BU171" t="s">
        <v>317</v>
      </c>
      <c r="BV171" t="s">
        <v>223</v>
      </c>
      <c r="BW171" t="s">
        <v>232</v>
      </c>
      <c r="BX171" t="s">
        <v>284</v>
      </c>
      <c r="BY171" t="s">
        <v>220</v>
      </c>
      <c r="BZ171">
        <v>0.45700000000000002</v>
      </c>
      <c r="CA171" t="s">
        <v>372</v>
      </c>
      <c r="CF171" t="s">
        <v>257</v>
      </c>
      <c r="CG171">
        <v>0.78700000000000003</v>
      </c>
      <c r="CH171" t="s">
        <v>257</v>
      </c>
      <c r="CI171">
        <v>0.88700000000000001</v>
      </c>
      <c r="CK171" t="s">
        <v>220</v>
      </c>
      <c r="CL171"/>
      <c r="CM171"/>
      <c r="CS171" s="8"/>
      <c r="CW171" t="s">
        <v>220</v>
      </c>
      <c r="CX171" t="s">
        <v>220</v>
      </c>
      <c r="CY171" t="s">
        <v>231</v>
      </c>
      <c r="CZ171" t="s">
        <v>220</v>
      </c>
      <c r="DA171" t="s">
        <v>220</v>
      </c>
      <c r="DB171" t="s">
        <v>220</v>
      </c>
      <c r="DC171" t="s">
        <v>257</v>
      </c>
      <c r="DD171" t="s">
        <v>257</v>
      </c>
      <c r="DE171"/>
      <c r="DF171"/>
      <c r="DG171"/>
      <c r="DH171" s="323"/>
      <c r="DI171" s="323"/>
      <c r="DJ171" s="323"/>
      <c r="DL171" t="s">
        <v>257</v>
      </c>
      <c r="DM171" t="s">
        <v>257</v>
      </c>
      <c r="DN171" t="s">
        <v>257</v>
      </c>
      <c r="DO171" t="s">
        <v>220</v>
      </c>
      <c r="DP171" t="s">
        <v>220</v>
      </c>
      <c r="DS171" s="309">
        <v>24.713000000000001</v>
      </c>
      <c r="DU171" s="309">
        <v>224.119</v>
      </c>
      <c r="DW171"/>
      <c r="DX171" t="s">
        <v>235</v>
      </c>
      <c r="DY171"/>
      <c r="DZ171" t="s">
        <v>235</v>
      </c>
      <c r="EA171"/>
      <c r="EB171"/>
      <c r="ED171" s="410"/>
      <c r="EE171" s="1"/>
      <c r="EG171" s="410"/>
      <c r="EI171" s="410"/>
      <c r="EK171" s="1"/>
      <c r="EM171"/>
      <c r="EQ171" s="344"/>
      <c r="EU171" s="344"/>
      <c r="EW171" s="409"/>
      <c r="EY171" s="1"/>
      <c r="FA171">
        <v>188.98</v>
      </c>
      <c r="FB171" t="s">
        <v>225</v>
      </c>
      <c r="FC171" s="7">
        <v>142.42951649732916</v>
      </c>
      <c r="FD171" s="357" t="s">
        <v>236</v>
      </c>
      <c r="FE171" s="8">
        <v>115.47819846894591</v>
      </c>
      <c r="FF171" t="s">
        <v>237</v>
      </c>
      <c r="FH171" s="9">
        <v>159.29421351276278</v>
      </c>
      <c r="FI171" s="9" t="s">
        <v>236</v>
      </c>
      <c r="FJ171">
        <v>224</v>
      </c>
      <c r="FK171" t="s">
        <v>238</v>
      </c>
      <c r="FL171">
        <v>525</v>
      </c>
      <c r="FM171">
        <v>329.6856163568907</v>
      </c>
      <c r="FN171" s="419" t="s">
        <v>237</v>
      </c>
      <c r="FV171" s="8"/>
      <c r="FW171" s="8"/>
      <c r="FX171" s="8"/>
      <c r="GC171" s="7">
        <v>2.5000000000000001E-3</v>
      </c>
      <c r="GH171" s="7"/>
      <c r="GI171" s="441" t="s">
        <v>395</v>
      </c>
      <c r="GJ171" s="441" t="s">
        <v>395</v>
      </c>
      <c r="GK171" s="441" t="s">
        <v>395</v>
      </c>
      <c r="GL171" s="441" t="s">
        <v>395</v>
      </c>
      <c r="GM171" s="452" t="s">
        <v>230</v>
      </c>
      <c r="GN171" s="6" t="s">
        <v>395</v>
      </c>
      <c r="GO171" s="6" t="s">
        <v>395</v>
      </c>
      <c r="GP171" s="6" t="s">
        <v>395</v>
      </c>
      <c r="GQ171" s="6" t="s">
        <v>395</v>
      </c>
      <c r="GR171" s="6" t="s">
        <v>230</v>
      </c>
      <c r="GU171" t="s">
        <v>365</v>
      </c>
      <c r="GV171" t="s">
        <v>225</v>
      </c>
      <c r="GW171" t="s">
        <v>359</v>
      </c>
      <c r="GX171" t="s">
        <v>223</v>
      </c>
      <c r="GY171" t="s">
        <v>245</v>
      </c>
      <c r="HE171" t="s">
        <v>247</v>
      </c>
      <c r="HF171" t="s">
        <v>223</v>
      </c>
      <c r="HG171" t="s">
        <v>231</v>
      </c>
      <c r="HH171" t="s">
        <v>223</v>
      </c>
      <c r="HI171" t="s">
        <v>247</v>
      </c>
      <c r="HJ171" t="s">
        <v>223</v>
      </c>
      <c r="HK171" t="s">
        <v>266</v>
      </c>
      <c r="HO171" t="s">
        <v>231</v>
      </c>
      <c r="HP171" t="s">
        <v>223</v>
      </c>
      <c r="HQ171" t="s">
        <v>231</v>
      </c>
      <c r="HR171" t="s">
        <v>223</v>
      </c>
      <c r="HU171" t="s">
        <v>231</v>
      </c>
      <c r="HV171" t="s">
        <v>223</v>
      </c>
      <c r="HW171" t="s">
        <v>563</v>
      </c>
      <c r="HX171" t="s">
        <v>236</v>
      </c>
      <c r="IA171" t="s">
        <v>231</v>
      </c>
      <c r="IB171" t="s">
        <v>250</v>
      </c>
      <c r="IC171" t="s">
        <v>395</v>
      </c>
      <c r="ID171" t="s">
        <v>395</v>
      </c>
      <c r="IE171" t="s">
        <v>395</v>
      </c>
      <c r="IF171" t="s">
        <v>395</v>
      </c>
      <c r="IH171" t="s">
        <v>235</v>
      </c>
    </row>
    <row r="172" spans="1:242" x14ac:dyDescent="0.35">
      <c r="A172" s="310" t="s">
        <v>1196</v>
      </c>
      <c r="B172" s="313" t="s">
        <v>1197</v>
      </c>
      <c r="C172" s="310" t="s">
        <v>1198</v>
      </c>
      <c r="D172" s="316"/>
      <c r="F172" t="s">
        <v>1199</v>
      </c>
      <c r="I172" s="310" t="s">
        <v>1200</v>
      </c>
      <c r="M172" s="313"/>
      <c r="O172"/>
      <c r="P172" s="381"/>
      <c r="Q172"/>
      <c r="T172" s="8"/>
      <c r="U172"/>
      <c r="V172" s="313"/>
      <c r="W172" t="s">
        <v>301</v>
      </c>
      <c r="X172"/>
      <c r="Z172"/>
      <c r="AB172"/>
      <c r="AD172" s="8" t="s">
        <v>230</v>
      </c>
      <c r="AF172" s="8" t="s">
        <v>230</v>
      </c>
      <c r="AG172"/>
      <c r="AH172"/>
      <c r="AI172"/>
      <c r="AJ172" t="s">
        <v>221</v>
      </c>
      <c r="AK172">
        <v>0</v>
      </c>
      <c r="AL172">
        <v>0.75</v>
      </c>
      <c r="AM172" t="s">
        <v>221</v>
      </c>
      <c r="AN172" t="s">
        <v>225</v>
      </c>
      <c r="AO172" t="s">
        <v>221</v>
      </c>
      <c r="AP172" t="s">
        <v>225</v>
      </c>
      <c r="AQ172" t="s">
        <v>221</v>
      </c>
      <c r="AR172" t="s">
        <v>223</v>
      </c>
      <c r="AS172" t="s">
        <v>221</v>
      </c>
      <c r="AT172" t="s">
        <v>223</v>
      </c>
      <c r="AU172" t="s">
        <v>220</v>
      </c>
      <c r="AV172"/>
      <c r="AW172" s="313" t="s">
        <v>220</v>
      </c>
      <c r="AX172" t="s">
        <v>226</v>
      </c>
      <c r="AY172" s="313" t="s">
        <v>220</v>
      </c>
      <c r="AZ172" s="313">
        <v>0.108</v>
      </c>
      <c r="BB172" s="313" t="s">
        <v>220</v>
      </c>
      <c r="BC172">
        <v>5.1799999999999999E-2</v>
      </c>
      <c r="BD172" t="s">
        <v>220</v>
      </c>
      <c r="BE172">
        <v>1.2500000000000001E-2</v>
      </c>
      <c r="BF172" s="2" t="s">
        <v>220</v>
      </c>
      <c r="BG172" s="2" t="s">
        <v>273</v>
      </c>
      <c r="BH172" s="2" t="s">
        <v>274</v>
      </c>
      <c r="BI172" s="2" t="s">
        <v>275</v>
      </c>
      <c r="BM172"/>
      <c r="BP172" s="8"/>
      <c r="BQ172" t="s">
        <v>230</v>
      </c>
      <c r="BR172" t="s">
        <v>230</v>
      </c>
      <c r="BU172" t="s">
        <v>231</v>
      </c>
      <c r="BV172" t="s">
        <v>223</v>
      </c>
      <c r="BW172" t="s">
        <v>232</v>
      </c>
      <c r="BX172" t="s">
        <v>284</v>
      </c>
      <c r="BY172" t="s">
        <v>220</v>
      </c>
      <c r="BZ172">
        <v>0.28599999999999998</v>
      </c>
      <c r="CA172" t="s">
        <v>372</v>
      </c>
      <c r="CF172" t="s">
        <v>220</v>
      </c>
      <c r="CG172">
        <v>8.6800000000000002E-2</v>
      </c>
      <c r="CH172" t="s">
        <v>220</v>
      </c>
      <c r="CI172">
        <v>0.121</v>
      </c>
      <c r="CK172"/>
      <c r="CL172"/>
      <c r="CM172"/>
      <c r="CS172" s="8"/>
      <c r="CW172" t="s">
        <v>220</v>
      </c>
      <c r="CX172" t="s">
        <v>220</v>
      </c>
      <c r="CY172" t="s">
        <v>231</v>
      </c>
      <c r="CZ172" t="s">
        <v>220</v>
      </c>
      <c r="DA172" t="s">
        <v>220</v>
      </c>
      <c r="DB172" t="s">
        <v>220</v>
      </c>
      <c r="DC172"/>
      <c r="DD172"/>
      <c r="DE172"/>
      <c r="DF172"/>
      <c r="DG172"/>
      <c r="DH172" s="323"/>
      <c r="DI172" s="323"/>
      <c r="DJ172" s="323"/>
      <c r="DL172" t="s">
        <v>257</v>
      </c>
      <c r="DM172" t="s">
        <v>220</v>
      </c>
      <c r="DN172" t="s">
        <v>257</v>
      </c>
      <c r="DO172" t="s">
        <v>220</v>
      </c>
      <c r="DP172" t="s">
        <v>220</v>
      </c>
      <c r="DS172" s="309">
        <v>36.220999999999997</v>
      </c>
      <c r="DU172" s="309">
        <v>275.96800000000002</v>
      </c>
      <c r="DW172">
        <v>521</v>
      </c>
      <c r="DX172" t="s">
        <v>238</v>
      </c>
      <c r="DY172">
        <v>774</v>
      </c>
      <c r="DZ172" t="s">
        <v>238</v>
      </c>
      <c r="EA172"/>
      <c r="EB172"/>
      <c r="ED172" s="410"/>
      <c r="EE172" s="1"/>
      <c r="EG172" s="410"/>
      <c r="EI172" s="410"/>
      <c r="EK172" s="1"/>
      <c r="EM172"/>
      <c r="EQ172" s="344"/>
      <c r="EU172" s="344"/>
      <c r="EW172" s="409"/>
      <c r="EY172" s="1"/>
      <c r="FA172">
        <v>258.06</v>
      </c>
      <c r="FB172" t="s">
        <v>225</v>
      </c>
      <c r="FC172" s="7">
        <v>161.91981538744537</v>
      </c>
      <c r="FD172" s="357" t="s">
        <v>225</v>
      </c>
      <c r="FE172" s="8">
        <v>79.817845349115231</v>
      </c>
      <c r="FF172" t="s">
        <v>237</v>
      </c>
      <c r="FH172" s="9">
        <v>240.9905428686597</v>
      </c>
      <c r="FI172" s="9" t="s">
        <v>225</v>
      </c>
      <c r="FJ172">
        <v>2390</v>
      </c>
      <c r="FK172" t="s">
        <v>267</v>
      </c>
      <c r="FL172">
        <v>1250</v>
      </c>
      <c r="FM172">
        <v>315.28259759551867</v>
      </c>
      <c r="FN172" s="5" t="s">
        <v>237</v>
      </c>
      <c r="FP172" s="6">
        <v>15.764129879775933</v>
      </c>
      <c r="FQ172" t="s">
        <v>277</v>
      </c>
      <c r="FS172" t="s">
        <v>240</v>
      </c>
      <c r="FU172" s="8">
        <v>2</v>
      </c>
      <c r="FV172" s="8">
        <v>10</v>
      </c>
      <c r="FW172" s="8">
        <v>10</v>
      </c>
      <c r="FX172" s="8">
        <v>10</v>
      </c>
      <c r="FY172" s="8">
        <v>3</v>
      </c>
      <c r="FZ172">
        <f t="shared" si="2"/>
        <v>6000</v>
      </c>
      <c r="GA172" s="7" t="s">
        <v>241</v>
      </c>
      <c r="GB172" s="7" t="s">
        <v>241</v>
      </c>
      <c r="GC172" s="6">
        <v>30</v>
      </c>
      <c r="GD172" s="348" t="s">
        <v>242</v>
      </c>
      <c r="GF172" s="6">
        <v>0.1330297422485254</v>
      </c>
      <c r="GH172" s="7"/>
      <c r="GI172" s="441">
        <v>0.35</v>
      </c>
      <c r="GJ172" s="441">
        <v>0.65700000000000003</v>
      </c>
      <c r="GK172" s="441">
        <v>1.0509999999999999</v>
      </c>
      <c r="GL172" s="441">
        <v>2.6269999999999998</v>
      </c>
      <c r="GM172" s="452" t="s">
        <v>529</v>
      </c>
      <c r="GN172" s="6">
        <v>0.2</v>
      </c>
      <c r="GO172" s="6">
        <v>0.375</v>
      </c>
      <c r="GP172" s="6">
        <v>0.6</v>
      </c>
      <c r="GQ172" s="6">
        <v>1.5</v>
      </c>
      <c r="GR172" s="6" t="s">
        <v>230</v>
      </c>
      <c r="GU172" t="s">
        <v>243</v>
      </c>
      <c r="GV172" t="s">
        <v>225</v>
      </c>
      <c r="GW172" t="s">
        <v>244</v>
      </c>
      <c r="GX172" t="s">
        <v>236</v>
      </c>
      <c r="GY172" t="s">
        <v>245</v>
      </c>
      <c r="GZ172" t="s">
        <v>376</v>
      </c>
      <c r="HE172" t="s">
        <v>247</v>
      </c>
      <c r="HF172" t="s">
        <v>249</v>
      </c>
      <c r="HG172" t="s">
        <v>231</v>
      </c>
      <c r="HH172" t="s">
        <v>223</v>
      </c>
      <c r="HI172" t="s">
        <v>247</v>
      </c>
      <c r="HJ172" t="s">
        <v>223</v>
      </c>
      <c r="HK172" t="s">
        <v>266</v>
      </c>
      <c r="HL172" t="s">
        <v>231</v>
      </c>
      <c r="HM172" t="s">
        <v>231</v>
      </c>
      <c r="HO172" t="s">
        <v>231</v>
      </c>
      <c r="HP172" t="s">
        <v>249</v>
      </c>
      <c r="HQ172" t="s">
        <v>231</v>
      </c>
      <c r="HR172" t="s">
        <v>249</v>
      </c>
      <c r="HS172" t="s">
        <v>231</v>
      </c>
      <c r="HU172" t="s">
        <v>231</v>
      </c>
      <c r="HV172" t="s">
        <v>249</v>
      </c>
      <c r="HW172" t="s">
        <v>563</v>
      </c>
      <c r="HX172" t="s">
        <v>236</v>
      </c>
      <c r="IA172" t="s">
        <v>231</v>
      </c>
      <c r="IB172" t="s">
        <v>250</v>
      </c>
      <c r="IC172">
        <v>0.35</v>
      </c>
      <c r="ID172">
        <v>0.65700000000000003</v>
      </c>
      <c r="IE172">
        <v>1.0509999999999999</v>
      </c>
      <c r="IF172">
        <v>2.6269999999999998</v>
      </c>
      <c r="IH172" t="s">
        <v>267</v>
      </c>
    </row>
    <row r="173" spans="1:242" x14ac:dyDescent="0.35">
      <c r="A173" s="310" t="s">
        <v>1201</v>
      </c>
      <c r="B173" s="313" t="s">
        <v>1202</v>
      </c>
      <c r="C173" s="310" t="s">
        <v>1203</v>
      </c>
      <c r="D173" s="316"/>
      <c r="F173" t="s">
        <v>1204</v>
      </c>
      <c r="I173" s="310" t="s">
        <v>1205</v>
      </c>
      <c r="M173" s="313"/>
      <c r="O173" t="s">
        <v>221</v>
      </c>
      <c r="P173" s="381"/>
      <c r="Q173" t="s">
        <v>221</v>
      </c>
      <c r="T173" s="8"/>
      <c r="U173"/>
      <c r="V173" s="313"/>
      <c r="W173" t="s">
        <v>220</v>
      </c>
      <c r="X173" t="s">
        <v>220</v>
      </c>
      <c r="Z173" t="s">
        <v>220</v>
      </c>
      <c r="AB173"/>
      <c r="AD173" s="8" t="s">
        <v>230</v>
      </c>
      <c r="AF173" s="8" t="s">
        <v>230</v>
      </c>
      <c r="AG173"/>
      <c r="AH173"/>
      <c r="AI173"/>
      <c r="AJ173" t="s">
        <v>221</v>
      </c>
      <c r="AK173">
        <v>0</v>
      </c>
      <c r="AL173">
        <v>1</v>
      </c>
      <c r="AM173" t="s">
        <v>221</v>
      </c>
      <c r="AN173" t="s">
        <v>249</v>
      </c>
      <c r="AO173" t="s">
        <v>221</v>
      </c>
      <c r="AP173"/>
      <c r="AQ173" t="s">
        <v>221</v>
      </c>
      <c r="AR173" t="s">
        <v>223</v>
      </c>
      <c r="AS173" t="s">
        <v>221</v>
      </c>
      <c r="AT173" t="s">
        <v>225</v>
      </c>
      <c r="AU173" t="s">
        <v>220</v>
      </c>
      <c r="AV173"/>
      <c r="AW173" s="313" t="s">
        <v>220</v>
      </c>
      <c r="AX173" t="s">
        <v>226</v>
      </c>
      <c r="AY173" s="313" t="s">
        <v>220</v>
      </c>
      <c r="AZ173" s="313">
        <v>0.23799999999999999</v>
      </c>
      <c r="BB173" s="313" t="s">
        <v>220</v>
      </c>
      <c r="BC173">
        <v>0.14299999999999999</v>
      </c>
      <c r="BD173" t="s">
        <v>220</v>
      </c>
      <c r="BE173">
        <v>0.23499999999999999</v>
      </c>
      <c r="BF173" s="2" t="s">
        <v>220</v>
      </c>
      <c r="BH173" s="2" t="s">
        <v>228</v>
      </c>
      <c r="BI173" s="2" t="s">
        <v>424</v>
      </c>
      <c r="BM173"/>
      <c r="BP173" s="8"/>
      <c r="BQ173" t="s">
        <v>230</v>
      </c>
      <c r="BR173" t="s">
        <v>230</v>
      </c>
      <c r="BU173" t="s">
        <v>293</v>
      </c>
      <c r="BV173" t="s">
        <v>236</v>
      </c>
      <c r="BW173" t="s">
        <v>232</v>
      </c>
      <c r="BX173" t="s">
        <v>276</v>
      </c>
      <c r="BY173" t="s">
        <v>220</v>
      </c>
      <c r="BZ173">
        <v>0.46600000000000003</v>
      </c>
      <c r="CA173" t="s">
        <v>372</v>
      </c>
      <c r="CC173" t="s">
        <v>220</v>
      </c>
      <c r="CD173" t="s">
        <v>220</v>
      </c>
      <c r="CF173" t="s">
        <v>220</v>
      </c>
      <c r="CG173">
        <v>0.56499999999999995</v>
      </c>
      <c r="CH173" t="s">
        <v>220</v>
      </c>
      <c r="CI173">
        <v>0.67</v>
      </c>
      <c r="CK173"/>
      <c r="CL173"/>
      <c r="CM173"/>
      <c r="CS173" s="8"/>
      <c r="CW173" t="s">
        <v>220</v>
      </c>
      <c r="CX173" t="s">
        <v>220</v>
      </c>
      <c r="CY173" t="s">
        <v>231</v>
      </c>
      <c r="CZ173" t="s">
        <v>220</v>
      </c>
      <c r="DA173" t="s">
        <v>257</v>
      </c>
      <c r="DB173" t="s">
        <v>220</v>
      </c>
      <c r="DC173"/>
      <c r="DD173"/>
      <c r="DE173"/>
      <c r="DF173"/>
      <c r="DG173"/>
      <c r="DH173" s="323"/>
      <c r="DI173" s="323"/>
      <c r="DJ173" s="323"/>
      <c r="DL173" t="s">
        <v>257</v>
      </c>
      <c r="DM173" t="s">
        <v>257</v>
      </c>
      <c r="DN173" t="s">
        <v>257</v>
      </c>
      <c r="DO173" t="s">
        <v>220</v>
      </c>
      <c r="DP173" t="s">
        <v>257</v>
      </c>
      <c r="DS173" s="309">
        <v>69.572999999999993</v>
      </c>
      <c r="DU173" s="309">
        <v>190.01400000000001</v>
      </c>
      <c r="DW173">
        <v>17.8</v>
      </c>
      <c r="DX173" t="s">
        <v>238</v>
      </c>
      <c r="DY173">
        <v>1970</v>
      </c>
      <c r="DZ173" t="s">
        <v>238</v>
      </c>
      <c r="EA173"/>
      <c r="EB173"/>
      <c r="ED173" s="410"/>
      <c r="EE173" s="1"/>
      <c r="EG173" s="410"/>
      <c r="EI173" s="410"/>
      <c r="EK173" s="1"/>
      <c r="EM173"/>
      <c r="EQ173" s="344"/>
      <c r="EU173" s="344"/>
      <c r="EW173" s="409"/>
      <c r="EY173" s="1"/>
      <c r="FA173">
        <v>145.05000000000001</v>
      </c>
      <c r="FB173" t="s">
        <v>225</v>
      </c>
      <c r="FC173" s="7">
        <v>188.10485289187045</v>
      </c>
      <c r="FD173" s="357" t="s">
        <v>236</v>
      </c>
      <c r="FE173" s="8">
        <v>155.41752907715858</v>
      </c>
      <c r="FF173" t="s">
        <v>237</v>
      </c>
      <c r="FH173" s="9">
        <v>249.97697021785092</v>
      </c>
      <c r="FI173" s="9" t="s">
        <v>225</v>
      </c>
      <c r="FK173" t="s">
        <v>235</v>
      </c>
      <c r="FL173">
        <v>90.8</v>
      </c>
      <c r="FM173">
        <v>457.8255227916938</v>
      </c>
      <c r="FN173" s="5" t="s">
        <v>237</v>
      </c>
      <c r="FP173" s="6">
        <v>9.08</v>
      </c>
      <c r="FQ173" t="s">
        <v>239</v>
      </c>
      <c r="FS173" t="s">
        <v>240</v>
      </c>
      <c r="FU173" s="8">
        <v>1</v>
      </c>
      <c r="FV173" s="8">
        <v>10</v>
      </c>
      <c r="FW173" s="8">
        <v>10</v>
      </c>
      <c r="FX173" s="8">
        <v>10</v>
      </c>
      <c r="FY173" s="8">
        <v>3</v>
      </c>
      <c r="FZ173">
        <f t="shared" si="2"/>
        <v>3000</v>
      </c>
      <c r="GA173" s="7" t="s">
        <v>326</v>
      </c>
      <c r="GB173" s="7" t="s">
        <v>326</v>
      </c>
      <c r="GC173" s="6">
        <v>1.5</v>
      </c>
      <c r="GD173" s="348" t="s">
        <v>242</v>
      </c>
      <c r="GF173" s="6">
        <v>3.0266666666666667E-2</v>
      </c>
      <c r="GH173" s="7"/>
      <c r="GI173" s="441"/>
      <c r="GJ173" s="441"/>
      <c r="GK173" s="441"/>
      <c r="GL173" s="441"/>
      <c r="GM173" s="452"/>
      <c r="GU173" t="s">
        <v>365</v>
      </c>
      <c r="GV173" t="s">
        <v>223</v>
      </c>
      <c r="GW173" t="s">
        <v>359</v>
      </c>
      <c r="GX173" t="s">
        <v>225</v>
      </c>
      <c r="GY173" t="s">
        <v>245</v>
      </c>
      <c r="HE173" t="s">
        <v>384</v>
      </c>
      <c r="HF173" t="s">
        <v>223</v>
      </c>
      <c r="HG173" t="s">
        <v>231</v>
      </c>
      <c r="HH173" t="s">
        <v>223</v>
      </c>
      <c r="HI173" t="s">
        <v>247</v>
      </c>
      <c r="HJ173" t="s">
        <v>223</v>
      </c>
      <c r="HK173" t="s">
        <v>266</v>
      </c>
      <c r="HL173" t="s">
        <v>231</v>
      </c>
      <c r="HM173" t="s">
        <v>231</v>
      </c>
      <c r="HO173" t="s">
        <v>231</v>
      </c>
      <c r="HP173" t="s">
        <v>249</v>
      </c>
      <c r="HQ173" t="s">
        <v>231</v>
      </c>
      <c r="HR173" t="s">
        <v>249</v>
      </c>
      <c r="HU173" t="s">
        <v>231</v>
      </c>
      <c r="HV173" t="s">
        <v>223</v>
      </c>
      <c r="HW173" t="s">
        <v>482</v>
      </c>
      <c r="HX173" t="s">
        <v>236</v>
      </c>
      <c r="IA173" t="s">
        <v>231</v>
      </c>
      <c r="IB173" t="s">
        <v>250</v>
      </c>
      <c r="IH173" t="s">
        <v>235</v>
      </c>
    </row>
    <row r="174" spans="1:242" hidden="1" x14ac:dyDescent="0.35">
      <c r="A174" s="310" t="s">
        <v>1206</v>
      </c>
      <c r="B174" s="313" t="s">
        <v>1207</v>
      </c>
      <c r="C174" s="310" t="s">
        <v>1208</v>
      </c>
      <c r="D174" s="316"/>
      <c r="F174" t="s">
        <v>1209</v>
      </c>
      <c r="I174" s="310" t="s">
        <v>1210</v>
      </c>
      <c r="M174" s="313"/>
      <c r="O174"/>
      <c r="P174" s="381"/>
      <c r="Q174"/>
      <c r="T174" s="8"/>
      <c r="U174"/>
      <c r="V174" s="313"/>
      <c r="W174"/>
      <c r="X174"/>
      <c r="Z174"/>
      <c r="AB174"/>
      <c r="AD174" s="8" t="s">
        <v>230</v>
      </c>
      <c r="AF174" s="8" t="s">
        <v>230</v>
      </c>
      <c r="AG174"/>
      <c r="AH174"/>
      <c r="AI174"/>
      <c r="AJ174" t="s">
        <v>414</v>
      </c>
      <c r="AK174">
        <v>0.1</v>
      </c>
      <c r="AL174">
        <v>0.1</v>
      </c>
      <c r="AM174" t="s">
        <v>414</v>
      </c>
      <c r="AN174" t="s">
        <v>236</v>
      </c>
      <c r="AO174" t="s">
        <v>224</v>
      </c>
      <c r="AP174" t="s">
        <v>236</v>
      </c>
      <c r="AQ174" t="s">
        <v>221</v>
      </c>
      <c r="AR174" t="s">
        <v>236</v>
      </c>
      <c r="AS174" t="s">
        <v>414</v>
      </c>
      <c r="AT174" t="s">
        <v>236</v>
      </c>
      <c r="AU174" t="s">
        <v>257</v>
      </c>
      <c r="AV174"/>
      <c r="AW174" s="313" t="s">
        <v>257</v>
      </c>
      <c r="AX174" t="s">
        <v>1072</v>
      </c>
      <c r="AY174" s="313" t="s">
        <v>431</v>
      </c>
      <c r="AZ174" s="313">
        <v>0.55100000000000005</v>
      </c>
      <c r="BB174" s="313" t="s">
        <v>220</v>
      </c>
      <c r="BC174">
        <v>0.36899999999999999</v>
      </c>
      <c r="BD174" t="s">
        <v>227</v>
      </c>
      <c r="BE174">
        <v>0.35499999999999998</v>
      </c>
      <c r="BF174" s="2" t="s">
        <v>257</v>
      </c>
      <c r="BG174" s="2" t="s">
        <v>230</v>
      </c>
      <c r="BH174" s="2" t="s">
        <v>274</v>
      </c>
      <c r="BI174" s="2" t="s">
        <v>432</v>
      </c>
      <c r="BM174"/>
      <c r="BP174" s="8"/>
      <c r="BQ174" t="s">
        <v>230</v>
      </c>
      <c r="BR174" t="s">
        <v>230</v>
      </c>
      <c r="BU174" t="s">
        <v>317</v>
      </c>
      <c r="BV174" t="s">
        <v>236</v>
      </c>
      <c r="BW174" t="s">
        <v>293</v>
      </c>
      <c r="BX174" t="s">
        <v>458</v>
      </c>
      <c r="BY174" t="s">
        <v>227</v>
      </c>
      <c r="BZ174">
        <v>0.64300000000000002</v>
      </c>
      <c r="CA174" t="s">
        <v>372</v>
      </c>
      <c r="CF174" t="s">
        <v>227</v>
      </c>
      <c r="CG174">
        <v>0.59599999999999997</v>
      </c>
      <c r="CH174" t="s">
        <v>227</v>
      </c>
      <c r="CI174">
        <v>0.71799999999999997</v>
      </c>
      <c r="CK174"/>
      <c r="CL174"/>
      <c r="CM174"/>
      <c r="CS174" s="8"/>
      <c r="CW174" t="s">
        <v>227</v>
      </c>
      <c r="CX174" t="s">
        <v>227</v>
      </c>
      <c r="CY174" t="s">
        <v>231</v>
      </c>
      <c r="CZ174" t="s">
        <v>227</v>
      </c>
      <c r="DA174" t="s">
        <v>227</v>
      </c>
      <c r="DB174" t="s">
        <v>227</v>
      </c>
      <c r="DC174"/>
      <c r="DD174"/>
      <c r="DE174"/>
      <c r="DF174"/>
      <c r="DG174"/>
      <c r="DH174" s="323"/>
      <c r="DI174" s="323"/>
      <c r="DJ174" s="323"/>
      <c r="DL174" t="s">
        <v>227</v>
      </c>
      <c r="DM174" t="s">
        <v>227</v>
      </c>
      <c r="DN174" t="s">
        <v>227</v>
      </c>
      <c r="DO174" t="s">
        <v>227</v>
      </c>
      <c r="DP174" t="s">
        <v>227</v>
      </c>
      <c r="DS174" s="309">
        <v>52.948999999999998</v>
      </c>
      <c r="DU174" s="309">
        <v>138.67699999999999</v>
      </c>
      <c r="DW174"/>
      <c r="DX174" t="s">
        <v>235</v>
      </c>
      <c r="DY174"/>
      <c r="DZ174" t="s">
        <v>235</v>
      </c>
      <c r="EA174"/>
      <c r="EB174"/>
      <c r="ED174" s="410"/>
      <c r="EE174" s="1"/>
      <c r="EG174" s="410"/>
      <c r="EI174" s="410"/>
      <c r="EK174" s="1"/>
      <c r="EM174"/>
      <c r="EQ174" s="344"/>
      <c r="EU174" s="344"/>
      <c r="EW174" s="409"/>
      <c r="EY174" s="1"/>
      <c r="FA174">
        <v>298.93</v>
      </c>
      <c r="FB174" t="s">
        <v>236</v>
      </c>
      <c r="FC174" s="7">
        <v>127.52637064597302</v>
      </c>
      <c r="FD174" s="357" t="s">
        <v>236</v>
      </c>
      <c r="FE174" s="8">
        <v>224.33653103555562</v>
      </c>
      <c r="FF174" t="s">
        <v>237</v>
      </c>
      <c r="FH174" s="9">
        <v>116.41260294104919</v>
      </c>
      <c r="FI174" s="9" t="s">
        <v>236</v>
      </c>
      <c r="FK174" t="s">
        <v>235</v>
      </c>
      <c r="FL174">
        <v>299</v>
      </c>
      <c r="FM174">
        <v>235.55916164693974</v>
      </c>
      <c r="FN174" s="419" t="s">
        <v>237</v>
      </c>
      <c r="FV174" s="8"/>
      <c r="FW174" s="8"/>
      <c r="FX174" s="8"/>
      <c r="GC174" s="7">
        <v>2.5000000000000001E-3</v>
      </c>
      <c r="GH174" s="7"/>
      <c r="GI174" s="441" t="s">
        <v>395</v>
      </c>
      <c r="GJ174" s="441" t="s">
        <v>395</v>
      </c>
      <c r="GK174" s="441" t="s">
        <v>395</v>
      </c>
      <c r="GL174" s="441" t="s">
        <v>395</v>
      </c>
      <c r="GM174" s="452" t="s">
        <v>230</v>
      </c>
      <c r="GN174" s="6" t="s">
        <v>395</v>
      </c>
      <c r="GO174" s="6" t="s">
        <v>395</v>
      </c>
      <c r="GP174" s="6" t="s">
        <v>395</v>
      </c>
      <c r="GQ174" s="6" t="s">
        <v>395</v>
      </c>
      <c r="GR174" s="6" t="s">
        <v>230</v>
      </c>
      <c r="GU174" t="s">
        <v>365</v>
      </c>
      <c r="GV174" t="s">
        <v>236</v>
      </c>
      <c r="GW174" t="s">
        <v>359</v>
      </c>
      <c r="GX174" t="s">
        <v>225</v>
      </c>
      <c r="GY174" t="s">
        <v>245</v>
      </c>
      <c r="HE174" t="s">
        <v>247</v>
      </c>
      <c r="HF174" t="s">
        <v>236</v>
      </c>
      <c r="HG174" t="s">
        <v>231</v>
      </c>
      <c r="HH174" t="s">
        <v>225</v>
      </c>
      <c r="HI174" t="s">
        <v>247</v>
      </c>
      <c r="HJ174" t="s">
        <v>225</v>
      </c>
      <c r="HK174" t="s">
        <v>248</v>
      </c>
      <c r="HO174" t="s">
        <v>231</v>
      </c>
      <c r="HP174" t="s">
        <v>223</v>
      </c>
      <c r="HQ174" t="s">
        <v>231</v>
      </c>
      <c r="HR174" t="s">
        <v>223</v>
      </c>
      <c r="HU174" t="s">
        <v>231</v>
      </c>
      <c r="HV174" t="s">
        <v>236</v>
      </c>
      <c r="HW174" t="s">
        <v>246</v>
      </c>
      <c r="HX174" t="s">
        <v>236</v>
      </c>
      <c r="IA174" t="s">
        <v>231</v>
      </c>
      <c r="IB174" t="s">
        <v>250</v>
      </c>
      <c r="IC174" t="s">
        <v>395</v>
      </c>
      <c r="ID174" t="s">
        <v>395</v>
      </c>
      <c r="IE174" t="s">
        <v>395</v>
      </c>
      <c r="IF174" t="s">
        <v>395</v>
      </c>
      <c r="IH174" t="s">
        <v>235</v>
      </c>
    </row>
    <row r="175" spans="1:242" x14ac:dyDescent="0.35">
      <c r="A175" s="310" t="s">
        <v>1211</v>
      </c>
      <c r="B175" s="313" t="s">
        <v>1212</v>
      </c>
      <c r="C175" s="310" t="s">
        <v>1213</v>
      </c>
      <c r="D175" s="316"/>
      <c r="F175" t="s">
        <v>1214</v>
      </c>
      <c r="I175" s="310" t="s">
        <v>1215</v>
      </c>
      <c r="M175" s="313"/>
      <c r="O175"/>
      <c r="P175" s="381"/>
      <c r="Q175"/>
      <c r="T175" s="8"/>
      <c r="U175" t="s">
        <v>221</v>
      </c>
      <c r="V175" s="313"/>
      <c r="W175" t="s">
        <v>220</v>
      </c>
      <c r="X175" t="s">
        <v>220</v>
      </c>
      <c r="Z175" t="s">
        <v>220</v>
      </c>
      <c r="AB175"/>
      <c r="AD175" s="8" t="s">
        <v>222</v>
      </c>
      <c r="AF175" s="8" t="s">
        <v>230</v>
      </c>
      <c r="AG175"/>
      <c r="AH175"/>
      <c r="AI175"/>
      <c r="AJ175" t="s">
        <v>221</v>
      </c>
      <c r="AK175">
        <v>0</v>
      </c>
      <c r="AL175">
        <v>1</v>
      </c>
      <c r="AM175" t="s">
        <v>221</v>
      </c>
      <c r="AN175" t="s">
        <v>223</v>
      </c>
      <c r="AO175" t="s">
        <v>221</v>
      </c>
      <c r="AP175" t="s">
        <v>223</v>
      </c>
      <c r="AQ175" t="s">
        <v>221</v>
      </c>
      <c r="AR175" t="s">
        <v>225</v>
      </c>
      <c r="AS175" t="s">
        <v>221</v>
      </c>
      <c r="AT175"/>
      <c r="AU175" t="s">
        <v>220</v>
      </c>
      <c r="AV175"/>
      <c r="AW175" s="313" t="s">
        <v>220</v>
      </c>
      <c r="AX175" t="s">
        <v>226</v>
      </c>
      <c r="AY175" s="313" t="s">
        <v>220</v>
      </c>
      <c r="AZ175" s="313">
        <v>0.15</v>
      </c>
      <c r="BB175" s="313" t="s">
        <v>220</v>
      </c>
      <c r="BC175">
        <v>9.1499999999999998E-2</v>
      </c>
      <c r="BD175" t="s">
        <v>220</v>
      </c>
      <c r="BE175">
        <v>0.11700000000000001</v>
      </c>
      <c r="BF175" s="2" t="s">
        <v>220</v>
      </c>
      <c r="BH175" s="2" t="s">
        <v>228</v>
      </c>
      <c r="BI175" s="2" t="s">
        <v>457</v>
      </c>
      <c r="BM175"/>
      <c r="BP175" s="8"/>
      <c r="BQ175" t="s">
        <v>230</v>
      </c>
      <c r="BR175" t="s">
        <v>230</v>
      </c>
      <c r="BU175" t="s">
        <v>317</v>
      </c>
      <c r="BV175" t="s">
        <v>236</v>
      </c>
      <c r="BW175" t="s">
        <v>232</v>
      </c>
      <c r="BX175" t="s">
        <v>233</v>
      </c>
      <c r="BY175" t="s">
        <v>220</v>
      </c>
      <c r="BZ175">
        <v>0.44600000000000001</v>
      </c>
      <c r="CA175" t="s">
        <v>234</v>
      </c>
      <c r="CF175" t="s">
        <v>257</v>
      </c>
      <c r="CG175">
        <v>0.54200000000000004</v>
      </c>
      <c r="CH175" t="s">
        <v>257</v>
      </c>
      <c r="CI175">
        <v>0.60699999999999998</v>
      </c>
      <c r="CK175"/>
      <c r="CL175" t="s">
        <v>220</v>
      </c>
      <c r="CM175" t="s">
        <v>231</v>
      </c>
      <c r="CS175" s="8"/>
      <c r="CW175" t="s">
        <v>227</v>
      </c>
      <c r="CX175" t="s">
        <v>220</v>
      </c>
      <c r="CY175" t="s">
        <v>231</v>
      </c>
      <c r="CZ175" t="s">
        <v>220</v>
      </c>
      <c r="DA175" t="s">
        <v>227</v>
      </c>
      <c r="DB175" t="s">
        <v>220</v>
      </c>
      <c r="DC175"/>
      <c r="DD175"/>
      <c r="DE175"/>
      <c r="DF175"/>
      <c r="DG175"/>
      <c r="DH175" s="323"/>
      <c r="DI175" s="323"/>
      <c r="DJ175" s="323"/>
      <c r="DL175" t="s">
        <v>257</v>
      </c>
      <c r="DM175" t="s">
        <v>257</v>
      </c>
      <c r="DN175" t="s">
        <v>257</v>
      </c>
      <c r="DO175" t="s">
        <v>220</v>
      </c>
      <c r="DP175" t="s">
        <v>220</v>
      </c>
      <c r="DS175" s="309">
        <v>143.56</v>
      </c>
      <c r="DU175" s="309">
        <v>148.11699999999999</v>
      </c>
      <c r="DW175"/>
      <c r="DX175" t="s">
        <v>235</v>
      </c>
      <c r="DY175"/>
      <c r="DZ175" t="s">
        <v>235</v>
      </c>
      <c r="EA175"/>
      <c r="EB175"/>
      <c r="ED175" s="410"/>
      <c r="EE175" s="1"/>
      <c r="EG175" s="410"/>
      <c r="EI175" s="410"/>
      <c r="EK175" s="1">
        <v>1000</v>
      </c>
      <c r="EL175" s="8" t="s">
        <v>259</v>
      </c>
      <c r="EM175"/>
      <c r="EQ175" s="344"/>
      <c r="EU175" s="344"/>
      <c r="EW175" s="409"/>
      <c r="EY175" s="1"/>
      <c r="FA175">
        <v>111.6</v>
      </c>
      <c r="FB175" t="s">
        <v>236</v>
      </c>
      <c r="FC175" s="7">
        <v>77.857418531999642</v>
      </c>
      <c r="FD175" s="357" t="s">
        <v>225</v>
      </c>
      <c r="FE175" s="8">
        <v>106.65961212302584</v>
      </c>
      <c r="FF175" t="s">
        <v>237</v>
      </c>
      <c r="FH175" s="9">
        <v>74.26770437146979</v>
      </c>
      <c r="FI175" s="9" t="s">
        <v>225</v>
      </c>
      <c r="FJ175">
        <v>1200</v>
      </c>
      <c r="FK175" t="s">
        <v>238</v>
      </c>
      <c r="FL175">
        <v>976</v>
      </c>
      <c r="FM175">
        <v>228.13924501727524</v>
      </c>
      <c r="FN175" s="5" t="s">
        <v>237</v>
      </c>
      <c r="FP175" s="6">
        <v>500</v>
      </c>
      <c r="FQ175" t="s">
        <v>260</v>
      </c>
      <c r="FS175" t="s">
        <v>261</v>
      </c>
      <c r="FU175" s="8">
        <v>2</v>
      </c>
      <c r="FV175" s="8">
        <v>10</v>
      </c>
      <c r="FW175" s="8">
        <v>10</v>
      </c>
      <c r="FX175" s="8">
        <v>1</v>
      </c>
      <c r="FY175" s="8">
        <v>3</v>
      </c>
      <c r="FZ175">
        <f t="shared" si="2"/>
        <v>600</v>
      </c>
      <c r="GA175" s="7" t="s">
        <v>241</v>
      </c>
      <c r="GB175" s="7" t="s">
        <v>241</v>
      </c>
      <c r="GC175" s="6">
        <v>30</v>
      </c>
      <c r="GD175" s="348" t="s">
        <v>242</v>
      </c>
      <c r="GF175" s="6">
        <v>0.17776602020504306</v>
      </c>
      <c r="GH175" s="7"/>
      <c r="GI175" s="441"/>
      <c r="GJ175" s="441"/>
      <c r="GK175" s="441"/>
      <c r="GL175" s="441"/>
      <c r="GM175" s="454"/>
      <c r="GN175" s="441"/>
      <c r="GO175" s="441"/>
      <c r="GP175" s="441"/>
      <c r="GQ175" s="441"/>
      <c r="GR175" s="441"/>
      <c r="GS175" s="441"/>
      <c r="GT175" s="441"/>
      <c r="GU175" s="441"/>
      <c r="GV175" s="441"/>
      <c r="GW175" s="441"/>
      <c r="GX175" s="441"/>
      <c r="GY175" s="441"/>
      <c r="GZ175" s="441"/>
      <c r="HA175" s="441"/>
      <c r="HB175" s="441"/>
      <c r="HC175" s="441"/>
      <c r="HD175" s="441"/>
      <c r="HE175" s="441"/>
      <c r="HF175" s="441"/>
      <c r="HG175" s="441"/>
      <c r="HH175" s="441"/>
      <c r="HI175" s="441"/>
      <c r="HJ175" s="441"/>
      <c r="HK175" s="441"/>
      <c r="HL175" s="441"/>
      <c r="HM175" s="441"/>
      <c r="HN175" s="441"/>
      <c r="HO175" s="441"/>
      <c r="HP175" s="441"/>
      <c r="HQ175" s="441"/>
      <c r="HR175" s="441"/>
      <c r="HS175" s="441"/>
      <c r="HT175" s="441"/>
      <c r="HU175" s="441"/>
      <c r="HV175" s="441"/>
      <c r="HW175" s="441"/>
      <c r="HX175" s="441"/>
      <c r="HY175" s="441"/>
      <c r="HZ175" s="441"/>
      <c r="IA175" s="441"/>
      <c r="IB175" s="441"/>
      <c r="IC175" s="441"/>
      <c r="ID175" s="441"/>
      <c r="IE175" s="441"/>
      <c r="IF175" s="441"/>
      <c r="IH175" t="s">
        <v>235</v>
      </c>
    </row>
    <row r="176" spans="1:242" x14ac:dyDescent="0.35">
      <c r="A176" s="310" t="s">
        <v>1216</v>
      </c>
      <c r="B176" s="313" t="s">
        <v>1217</v>
      </c>
      <c r="C176" s="310" t="s">
        <v>1218</v>
      </c>
      <c r="D176" s="316"/>
      <c r="F176" t="s">
        <v>1219</v>
      </c>
      <c r="I176" s="310" t="s">
        <v>1220</v>
      </c>
      <c r="M176" s="313"/>
      <c r="O176"/>
      <c r="P176" s="381"/>
      <c r="Q176"/>
      <c r="T176" s="8"/>
      <c r="U176"/>
      <c r="V176" s="313"/>
      <c r="W176" t="s">
        <v>301</v>
      </c>
      <c r="X176"/>
      <c r="Z176"/>
      <c r="AB176"/>
      <c r="AD176" s="8" t="s">
        <v>230</v>
      </c>
      <c r="AF176" s="8" t="s">
        <v>230</v>
      </c>
      <c r="AG176"/>
      <c r="AH176"/>
      <c r="AI176"/>
      <c r="AJ176" t="s">
        <v>221</v>
      </c>
      <c r="AK176">
        <v>0</v>
      </c>
      <c r="AL176">
        <v>0.82499999999999996</v>
      </c>
      <c r="AM176" t="s">
        <v>221</v>
      </c>
      <c r="AN176" t="s">
        <v>223</v>
      </c>
      <c r="AO176" t="s">
        <v>221</v>
      </c>
      <c r="AP176" t="s">
        <v>223</v>
      </c>
      <c r="AQ176" t="s">
        <v>221</v>
      </c>
      <c r="AR176" t="s">
        <v>225</v>
      </c>
      <c r="AS176" t="s">
        <v>221</v>
      </c>
      <c r="AT176" t="s">
        <v>223</v>
      </c>
      <c r="AU176" t="s">
        <v>220</v>
      </c>
      <c r="AV176"/>
      <c r="AW176" s="313" t="s">
        <v>220</v>
      </c>
      <c r="AX176" t="s">
        <v>226</v>
      </c>
      <c r="AY176" s="313" t="s">
        <v>220</v>
      </c>
      <c r="AZ176" s="313">
        <v>0.22900000000000001</v>
      </c>
      <c r="BB176" s="313" t="s">
        <v>220</v>
      </c>
      <c r="BC176">
        <v>6.4199999999999993E-2</v>
      </c>
      <c r="BD176" t="s">
        <v>220</v>
      </c>
      <c r="BE176">
        <v>0.14899999999999999</v>
      </c>
      <c r="BF176" s="2" t="s">
        <v>220</v>
      </c>
      <c r="BG176" s="2" t="s">
        <v>273</v>
      </c>
      <c r="BH176" s="2" t="s">
        <v>274</v>
      </c>
      <c r="BI176" s="2" t="s">
        <v>275</v>
      </c>
      <c r="BM176"/>
      <c r="BP176" s="8"/>
      <c r="BQ176" t="s">
        <v>230</v>
      </c>
      <c r="BR176" t="s">
        <v>230</v>
      </c>
      <c r="BU176" t="s">
        <v>231</v>
      </c>
      <c r="BV176" t="s">
        <v>223</v>
      </c>
      <c r="BW176" t="s">
        <v>232</v>
      </c>
      <c r="BX176" t="s">
        <v>233</v>
      </c>
      <c r="BY176" t="s">
        <v>220</v>
      </c>
      <c r="BZ176">
        <v>0.35599999999999998</v>
      </c>
      <c r="CA176" t="s">
        <v>372</v>
      </c>
      <c r="CF176" t="s">
        <v>220</v>
      </c>
      <c r="CG176">
        <v>0.40500000000000003</v>
      </c>
      <c r="CH176" t="s">
        <v>257</v>
      </c>
      <c r="CI176">
        <v>0.66</v>
      </c>
      <c r="CK176"/>
      <c r="CL176"/>
      <c r="CM176"/>
      <c r="CS176" s="8"/>
      <c r="CW176" t="s">
        <v>220</v>
      </c>
      <c r="CX176" t="s">
        <v>220</v>
      </c>
      <c r="CY176" t="s">
        <v>231</v>
      </c>
      <c r="CZ176" t="s">
        <v>220</v>
      </c>
      <c r="DA176" t="s">
        <v>220</v>
      </c>
      <c r="DB176" t="s">
        <v>227</v>
      </c>
      <c r="DC176"/>
      <c r="DD176"/>
      <c r="DE176"/>
      <c r="DF176"/>
      <c r="DG176"/>
      <c r="DH176" s="323"/>
      <c r="DI176" s="323"/>
      <c r="DJ176" s="323"/>
      <c r="DL176" t="s">
        <v>257</v>
      </c>
      <c r="DM176" t="s">
        <v>220</v>
      </c>
      <c r="DN176" t="s">
        <v>227</v>
      </c>
      <c r="DO176" t="s">
        <v>220</v>
      </c>
      <c r="DP176" t="s">
        <v>257</v>
      </c>
      <c r="DS176" s="338">
        <v>112.179</v>
      </c>
      <c r="DT176" s="8" t="s">
        <v>394</v>
      </c>
      <c r="DU176" s="309">
        <v>1388.7619999999999</v>
      </c>
      <c r="DW176"/>
      <c r="DX176" t="s">
        <v>235</v>
      </c>
      <c r="DY176"/>
      <c r="DZ176" t="s">
        <v>235</v>
      </c>
      <c r="EA176"/>
      <c r="EB176"/>
      <c r="ED176" s="410"/>
      <c r="EE176" s="1"/>
      <c r="EG176" s="410"/>
      <c r="EI176" s="410"/>
      <c r="EK176" s="1"/>
      <c r="EM176"/>
      <c r="EQ176" s="344"/>
      <c r="EU176" s="344"/>
      <c r="EW176" s="409"/>
      <c r="EY176" s="1"/>
      <c r="FA176">
        <v>78.36</v>
      </c>
      <c r="FB176" t="s">
        <v>225</v>
      </c>
      <c r="FC176" s="7">
        <v>106.58595971472546</v>
      </c>
      <c r="FD176" s="357" t="s">
        <v>225</v>
      </c>
      <c r="FE176" s="8">
        <v>60.883554576139545</v>
      </c>
      <c r="FF176" t="s">
        <v>237</v>
      </c>
      <c r="FH176" s="9">
        <v>351.56044052829827</v>
      </c>
      <c r="FI176" s="9" t="s">
        <v>225</v>
      </c>
      <c r="FK176" t="s">
        <v>235</v>
      </c>
      <c r="FL176">
        <v>102</v>
      </c>
      <c r="FM176">
        <v>132.09914296476893</v>
      </c>
      <c r="FN176" s="5" t="s">
        <v>237</v>
      </c>
      <c r="FP176" s="6">
        <v>6.6049571482384462</v>
      </c>
      <c r="FQ176" t="s">
        <v>277</v>
      </c>
      <c r="FS176" t="s">
        <v>240</v>
      </c>
      <c r="FU176" s="8">
        <v>2</v>
      </c>
      <c r="FV176" s="8">
        <v>10</v>
      </c>
      <c r="FW176" s="8">
        <v>10</v>
      </c>
      <c r="FX176" s="8">
        <v>10</v>
      </c>
      <c r="FY176" s="8">
        <v>3</v>
      </c>
      <c r="FZ176">
        <f t="shared" si="2"/>
        <v>6000</v>
      </c>
      <c r="GA176" s="7" t="s">
        <v>241</v>
      </c>
      <c r="GB176" s="7" t="s">
        <v>241</v>
      </c>
      <c r="GC176" s="6">
        <v>30</v>
      </c>
      <c r="GD176" s="348" t="s">
        <v>242</v>
      </c>
      <c r="GF176" s="6">
        <v>3.4000000000000002E-2</v>
      </c>
      <c r="GH176" s="7"/>
      <c r="GI176" s="445"/>
      <c r="GJ176" s="445"/>
      <c r="GK176" s="445"/>
      <c r="GL176" s="445"/>
      <c r="GM176" s="453"/>
      <c r="GN176" s="6">
        <v>0.2</v>
      </c>
      <c r="GO176" s="6">
        <v>0.375</v>
      </c>
      <c r="GP176" s="6">
        <v>0.6</v>
      </c>
      <c r="GQ176" s="6">
        <v>1.5</v>
      </c>
      <c r="GR176" s="6" t="s">
        <v>230</v>
      </c>
      <c r="GU176" t="s">
        <v>243</v>
      </c>
      <c r="GV176" t="s">
        <v>236</v>
      </c>
      <c r="GW176" t="s">
        <v>244</v>
      </c>
      <c r="GX176" t="s">
        <v>236</v>
      </c>
      <c r="GY176" t="s">
        <v>245</v>
      </c>
      <c r="HE176" t="s">
        <v>384</v>
      </c>
      <c r="HF176" t="s">
        <v>223</v>
      </c>
      <c r="HG176" t="s">
        <v>231</v>
      </c>
      <c r="HH176" t="s">
        <v>223</v>
      </c>
      <c r="HI176" t="s">
        <v>247</v>
      </c>
      <c r="HJ176" t="s">
        <v>223</v>
      </c>
      <c r="HK176" t="s">
        <v>266</v>
      </c>
      <c r="HL176" t="s">
        <v>231</v>
      </c>
      <c r="HM176" t="s">
        <v>231</v>
      </c>
      <c r="HO176" t="s">
        <v>231</v>
      </c>
      <c r="HP176" t="s">
        <v>249</v>
      </c>
      <c r="HQ176" t="s">
        <v>231</v>
      </c>
      <c r="HR176" t="s">
        <v>249</v>
      </c>
      <c r="HU176" t="s">
        <v>231</v>
      </c>
      <c r="HV176" t="s">
        <v>223</v>
      </c>
      <c r="HW176" t="s">
        <v>563</v>
      </c>
      <c r="HX176" t="s">
        <v>236</v>
      </c>
      <c r="IA176" t="s">
        <v>231</v>
      </c>
      <c r="IB176" t="s">
        <v>250</v>
      </c>
      <c r="IC176" s="447"/>
      <c r="ID176" s="447"/>
      <c r="IE176" s="447"/>
      <c r="IF176" s="447"/>
      <c r="IH176" t="s">
        <v>235</v>
      </c>
    </row>
    <row r="177" spans="1:242" hidden="1" x14ac:dyDescent="0.35">
      <c r="A177" s="310" t="s">
        <v>1221</v>
      </c>
      <c r="B177" s="313" t="s">
        <v>1222</v>
      </c>
      <c r="C177" s="310" t="s">
        <v>1223</v>
      </c>
      <c r="D177" s="316"/>
      <c r="F177" t="s">
        <v>1223</v>
      </c>
      <c r="I177" s="310" t="s">
        <v>1224</v>
      </c>
      <c r="M177" s="313"/>
      <c r="O177"/>
      <c r="P177" s="381"/>
      <c r="Q177"/>
      <c r="T177" s="8"/>
      <c r="U177"/>
      <c r="V177" s="313"/>
      <c r="W177"/>
      <c r="X177"/>
      <c r="Z177"/>
      <c r="AB177"/>
      <c r="AD177" s="8" t="s">
        <v>230</v>
      </c>
      <c r="AF177" s="8" t="s">
        <v>230</v>
      </c>
      <c r="AG177"/>
      <c r="AH177"/>
      <c r="AI177"/>
      <c r="AJ177"/>
      <c r="AK177"/>
      <c r="AL177"/>
      <c r="AM177"/>
      <c r="AN177"/>
      <c r="AO177"/>
      <c r="AP177"/>
      <c r="AQ177"/>
      <c r="AR177"/>
      <c r="AS177"/>
      <c r="AT177"/>
      <c r="AU177"/>
      <c r="AV177"/>
      <c r="AW177" s="313"/>
      <c r="AX177"/>
      <c r="AY177" s="313"/>
      <c r="AZ177" s="313"/>
      <c r="BB177" s="313"/>
      <c r="BC177"/>
      <c r="BD177"/>
      <c r="BE177"/>
      <c r="BG177" s="2" t="s">
        <v>653</v>
      </c>
      <c r="BM177"/>
      <c r="BP177" s="8"/>
      <c r="BU177"/>
      <c r="BV177"/>
      <c r="BW177"/>
      <c r="BX177"/>
      <c r="BY177"/>
      <c r="CK177"/>
      <c r="CL177"/>
      <c r="CM177"/>
      <c r="CS177" s="8"/>
      <c r="CY177"/>
      <c r="DC177"/>
      <c r="DD177"/>
      <c r="DE177"/>
      <c r="DF177"/>
      <c r="DG177"/>
      <c r="DH177" s="323"/>
      <c r="DI177" s="323"/>
      <c r="DJ177" s="323"/>
      <c r="DL177"/>
      <c r="DM177"/>
      <c r="DN177"/>
      <c r="DO177"/>
      <c r="DP177"/>
      <c r="DS177" s="338"/>
      <c r="DU177" s="309"/>
      <c r="DW177"/>
      <c r="DX177"/>
      <c r="DY177"/>
      <c r="DZ177"/>
      <c r="EA177"/>
      <c r="EB177"/>
      <c r="ED177" s="410"/>
      <c r="EE177" s="1"/>
      <c r="EG177" s="410"/>
      <c r="EI177" s="410"/>
      <c r="EK177" s="1"/>
      <c r="EM177"/>
      <c r="EQ177" s="344"/>
      <c r="EU177" s="344"/>
      <c r="EW177" s="409"/>
      <c r="EY177" s="1"/>
      <c r="FA177"/>
      <c r="FB177"/>
      <c r="FC177" s="7"/>
      <c r="FD177" s="357"/>
      <c r="FE177" s="8"/>
      <c r="FH177" s="9"/>
      <c r="FI177" s="9"/>
      <c r="FN177" s="5"/>
      <c r="FV177" s="8"/>
      <c r="FW177" s="8"/>
      <c r="FX177" s="8"/>
      <c r="GH177" s="7"/>
      <c r="GI177" s="441" t="s">
        <v>395</v>
      </c>
      <c r="GJ177" s="441" t="s">
        <v>395</v>
      </c>
      <c r="GK177" s="441" t="s">
        <v>395</v>
      </c>
      <c r="GL177" s="441" t="s">
        <v>395</v>
      </c>
      <c r="GM177" s="452" t="s">
        <v>552</v>
      </c>
      <c r="GN177" s="6" t="s">
        <v>395</v>
      </c>
      <c r="GO177" s="6" t="s">
        <v>395</v>
      </c>
      <c r="GP177" s="6" t="s">
        <v>395</v>
      </c>
      <c r="GQ177" s="6" t="s">
        <v>395</v>
      </c>
      <c r="GR177" s="6" t="s">
        <v>1225</v>
      </c>
      <c r="GU177" t="s">
        <v>1226</v>
      </c>
      <c r="GW177" t="s">
        <v>1227</v>
      </c>
      <c r="GY177" t="s">
        <v>1228</v>
      </c>
      <c r="HE177" t="s">
        <v>1227</v>
      </c>
      <c r="HG177" t="s">
        <v>1227</v>
      </c>
      <c r="HI177" t="s">
        <v>1227</v>
      </c>
      <c r="HK177" t="s">
        <v>1227</v>
      </c>
      <c r="HO177" t="s">
        <v>1227</v>
      </c>
      <c r="HQ177" t="s">
        <v>1227</v>
      </c>
      <c r="HU177" t="s">
        <v>1227</v>
      </c>
      <c r="HW177" t="s">
        <v>1227</v>
      </c>
      <c r="IA177" t="s">
        <v>1227</v>
      </c>
      <c r="IC177" t="s">
        <v>395</v>
      </c>
      <c r="ID177" t="s">
        <v>395</v>
      </c>
      <c r="IE177" t="s">
        <v>395</v>
      </c>
      <c r="IF177" t="s">
        <v>395</v>
      </c>
      <c r="IH177" t="s">
        <v>235</v>
      </c>
    </row>
    <row r="178" spans="1:242" x14ac:dyDescent="0.35">
      <c r="A178" s="310" t="s">
        <v>1229</v>
      </c>
      <c r="B178" s="313" t="s">
        <v>1230</v>
      </c>
      <c r="C178" s="310" t="s">
        <v>1231</v>
      </c>
      <c r="D178" s="316"/>
      <c r="F178" t="s">
        <v>1232</v>
      </c>
      <c r="I178" s="310" t="s">
        <v>1233</v>
      </c>
      <c r="M178" s="313"/>
      <c r="O178" t="s">
        <v>221</v>
      </c>
      <c r="P178" s="381"/>
      <c r="Q178" t="s">
        <v>221</v>
      </c>
      <c r="T178" s="8"/>
      <c r="U178" t="s">
        <v>221</v>
      </c>
      <c r="V178" s="313"/>
      <c r="W178" t="s">
        <v>220</v>
      </c>
      <c r="X178" t="s">
        <v>220</v>
      </c>
      <c r="Z178" t="s">
        <v>220</v>
      </c>
      <c r="AB178"/>
      <c r="AD178" s="8" t="s">
        <v>222</v>
      </c>
      <c r="AF178" s="8" t="s">
        <v>222</v>
      </c>
      <c r="AG178"/>
      <c r="AH178" t="s">
        <v>312</v>
      </c>
      <c r="AI178"/>
      <c r="AJ178" t="s">
        <v>221</v>
      </c>
      <c r="AK178">
        <v>0</v>
      </c>
      <c r="AL178">
        <v>1</v>
      </c>
      <c r="AM178" t="s">
        <v>221</v>
      </c>
      <c r="AN178" t="s">
        <v>249</v>
      </c>
      <c r="AO178" t="s">
        <v>224</v>
      </c>
      <c r="AP178"/>
      <c r="AQ178" t="s">
        <v>221</v>
      </c>
      <c r="AR178" t="s">
        <v>225</v>
      </c>
      <c r="AS178" t="s">
        <v>221</v>
      </c>
      <c r="AT178"/>
      <c r="AU178" t="s">
        <v>220</v>
      </c>
      <c r="AV178"/>
      <c r="AW178" s="313" t="s">
        <v>220</v>
      </c>
      <c r="AX178" t="s">
        <v>226</v>
      </c>
      <c r="AY178" s="313" t="s">
        <v>220</v>
      </c>
      <c r="AZ178" s="313">
        <v>0.34699999999999998</v>
      </c>
      <c r="BB178" s="313" t="s">
        <v>220</v>
      </c>
      <c r="BC178">
        <v>0.24399999999999999</v>
      </c>
      <c r="BD178" t="s">
        <v>227</v>
      </c>
      <c r="BE178">
        <v>0.37</v>
      </c>
      <c r="BF178" s="2" t="s">
        <v>220</v>
      </c>
      <c r="BH178" s="2" t="s">
        <v>228</v>
      </c>
      <c r="BI178" s="2" t="s">
        <v>229</v>
      </c>
      <c r="BL178" s="2" t="s">
        <v>312</v>
      </c>
      <c r="BM178"/>
      <c r="BO178" t="s">
        <v>257</v>
      </c>
      <c r="BP178" s="8"/>
      <c r="BQ178" t="s">
        <v>230</v>
      </c>
      <c r="BR178" t="s">
        <v>230</v>
      </c>
      <c r="BU178" t="s">
        <v>293</v>
      </c>
      <c r="BV178" t="s">
        <v>236</v>
      </c>
      <c r="BW178" t="s">
        <v>232</v>
      </c>
      <c r="BX178" t="s">
        <v>276</v>
      </c>
      <c r="BY178" t="s">
        <v>257</v>
      </c>
      <c r="BZ178">
        <v>0.78400000000000003</v>
      </c>
      <c r="CA178" t="s">
        <v>234</v>
      </c>
      <c r="CD178" t="s">
        <v>257</v>
      </c>
      <c r="CF178" t="s">
        <v>257</v>
      </c>
      <c r="CG178">
        <v>0.71399999999999997</v>
      </c>
      <c r="CH178" t="s">
        <v>257</v>
      </c>
      <c r="CI178">
        <v>0.749</v>
      </c>
      <c r="CK178"/>
      <c r="CL178"/>
      <c r="CM178" t="s">
        <v>317</v>
      </c>
      <c r="CN178" s="2" t="s">
        <v>316</v>
      </c>
      <c r="CP178" t="s">
        <v>257</v>
      </c>
      <c r="CQ178" t="s">
        <v>257</v>
      </c>
      <c r="CS178" s="8"/>
      <c r="CW178" t="s">
        <v>257</v>
      </c>
      <c r="CX178" t="s">
        <v>257</v>
      </c>
      <c r="CY178" t="s">
        <v>317</v>
      </c>
      <c r="CZ178" t="s">
        <v>257</v>
      </c>
      <c r="DA178" t="s">
        <v>257</v>
      </c>
      <c r="DB178" t="s">
        <v>227</v>
      </c>
      <c r="DC178"/>
      <c r="DD178"/>
      <c r="DE178"/>
      <c r="DF178"/>
      <c r="DG178"/>
      <c r="DH178" s="323"/>
      <c r="DI178" s="323"/>
      <c r="DJ178" s="323" t="s">
        <v>316</v>
      </c>
      <c r="DL178" t="s">
        <v>257</v>
      </c>
      <c r="DM178" t="s">
        <v>220</v>
      </c>
      <c r="DN178" t="s">
        <v>227</v>
      </c>
      <c r="DO178" t="s">
        <v>257</v>
      </c>
      <c r="DP178" t="s">
        <v>227</v>
      </c>
      <c r="DQ178" s="332" t="s">
        <v>835</v>
      </c>
      <c r="DR178" s="332" t="s">
        <v>835</v>
      </c>
      <c r="DS178" s="309">
        <v>100.496</v>
      </c>
      <c r="DU178" s="309">
        <v>425.76600000000002</v>
      </c>
      <c r="DW178">
        <v>0.30599999999999999</v>
      </c>
      <c r="DX178" t="s">
        <v>238</v>
      </c>
      <c r="DY178">
        <v>50.7</v>
      </c>
      <c r="DZ178" t="s">
        <v>238</v>
      </c>
      <c r="EA178"/>
      <c r="EB178"/>
      <c r="ED178" s="410"/>
      <c r="EE178" s="1">
        <v>2250</v>
      </c>
      <c r="EF178" s="8" t="s">
        <v>323</v>
      </c>
      <c r="EG178" s="410">
        <v>2250</v>
      </c>
      <c r="EH178" s="8" t="s">
        <v>323</v>
      </c>
      <c r="EI178" s="410"/>
      <c r="EK178" s="1">
        <v>1000</v>
      </c>
      <c r="EL178" s="8" t="s">
        <v>323</v>
      </c>
      <c r="EM178"/>
      <c r="EQ178" s="344"/>
      <c r="EU178" s="344"/>
      <c r="EW178" s="409"/>
      <c r="EY178" s="1"/>
      <c r="FA178">
        <v>168.72</v>
      </c>
      <c r="FB178" t="s">
        <v>236</v>
      </c>
      <c r="FC178" s="7">
        <v>62.733569598403847</v>
      </c>
      <c r="FD178" s="357" t="s">
        <v>236</v>
      </c>
      <c r="FE178" s="8">
        <v>33.884415613920268</v>
      </c>
      <c r="FF178" t="s">
        <v>237</v>
      </c>
      <c r="FH178" s="9">
        <v>13.433834696603659</v>
      </c>
      <c r="FI178" s="9" t="s">
        <v>236</v>
      </c>
      <c r="FK178" t="s">
        <v>235</v>
      </c>
      <c r="FL178">
        <v>141</v>
      </c>
      <c r="FM178">
        <v>43.251383103500878</v>
      </c>
      <c r="FN178" s="5" t="s">
        <v>237</v>
      </c>
      <c r="FP178" s="6">
        <v>1000</v>
      </c>
      <c r="FQ178" t="s">
        <v>260</v>
      </c>
      <c r="FS178" t="s">
        <v>261</v>
      </c>
      <c r="FU178" s="8">
        <v>1</v>
      </c>
      <c r="FV178" s="8">
        <v>10</v>
      </c>
      <c r="FW178" s="8">
        <v>10</v>
      </c>
      <c r="FX178" s="8">
        <v>1</v>
      </c>
      <c r="FY178" s="8">
        <v>1</v>
      </c>
      <c r="FZ178">
        <f t="shared" si="2"/>
        <v>100</v>
      </c>
      <c r="GA178" s="7" t="s">
        <v>241</v>
      </c>
      <c r="GB178" s="7" t="s">
        <v>241</v>
      </c>
      <c r="GC178" s="6">
        <v>30</v>
      </c>
      <c r="GD178" s="348" t="s">
        <v>242</v>
      </c>
      <c r="GF178" s="6">
        <v>0.14099999999999999</v>
      </c>
      <c r="GH178" s="7"/>
      <c r="GI178" s="441"/>
      <c r="GJ178" s="441"/>
      <c r="GK178" s="441"/>
      <c r="GL178" s="441"/>
      <c r="GM178" s="454"/>
      <c r="GN178" s="441"/>
      <c r="GO178" s="441"/>
      <c r="GP178" s="441"/>
      <c r="GQ178" s="441"/>
      <c r="GR178" s="441"/>
      <c r="GS178" s="441"/>
      <c r="GT178" s="441"/>
      <c r="GU178" s="441"/>
      <c r="GV178" s="441"/>
      <c r="GW178" s="441"/>
      <c r="GX178" s="441"/>
      <c r="GY178" s="441"/>
      <c r="GZ178" s="441"/>
      <c r="HA178" s="441"/>
      <c r="HB178" s="441"/>
      <c r="HC178" s="441"/>
      <c r="HD178" s="441"/>
      <c r="HE178" s="441"/>
      <c r="HF178" s="441"/>
      <c r="HG178" s="441"/>
      <c r="HH178" s="441"/>
      <c r="HI178" s="441"/>
      <c r="HJ178" s="441"/>
      <c r="HK178" s="441"/>
      <c r="HL178" s="441"/>
      <c r="HM178" s="441"/>
      <c r="HN178" s="441"/>
      <c r="HO178" s="441"/>
      <c r="HP178" s="441"/>
      <c r="HQ178" s="441"/>
      <c r="HR178" s="441"/>
      <c r="HS178" s="441"/>
      <c r="HT178" s="441"/>
      <c r="HU178" s="441"/>
      <c r="HV178" s="441"/>
      <c r="HW178" s="441"/>
      <c r="HX178" s="441"/>
      <c r="HY178" s="441"/>
      <c r="HZ178" s="441"/>
      <c r="IA178" s="441"/>
      <c r="IB178" s="441"/>
      <c r="IC178" s="441"/>
      <c r="ID178" s="441"/>
      <c r="IE178" s="441"/>
      <c r="IF178" s="441"/>
      <c r="IH178" t="s">
        <v>235</v>
      </c>
    </row>
    <row r="179" spans="1:242" ht="159.5" x14ac:dyDescent="0.35">
      <c r="A179" s="310" t="s">
        <v>537</v>
      </c>
      <c r="B179" t="s">
        <v>1234</v>
      </c>
      <c r="C179" s="310" t="s">
        <v>1235</v>
      </c>
      <c r="D179" s="316"/>
      <c r="F179" t="s">
        <v>1236</v>
      </c>
      <c r="I179" s="310" t="s">
        <v>1237</v>
      </c>
      <c r="M179" s="313"/>
      <c r="O179"/>
      <c r="P179" s="381"/>
      <c r="Q179"/>
      <c r="T179" s="8"/>
      <c r="U179"/>
      <c r="V179" s="313"/>
      <c r="W179"/>
      <c r="X179"/>
      <c r="Z179"/>
      <c r="AB179"/>
      <c r="AD179" s="8" t="s">
        <v>230</v>
      </c>
      <c r="AF179" s="8" t="s">
        <v>230</v>
      </c>
      <c r="AG179"/>
      <c r="AH179"/>
      <c r="AI179"/>
      <c r="AJ179" t="s">
        <v>221</v>
      </c>
      <c r="AK179">
        <v>0.15</v>
      </c>
      <c r="AL179">
        <v>0.52500000000000002</v>
      </c>
      <c r="AM179" t="s">
        <v>221</v>
      </c>
      <c r="AN179" t="s">
        <v>223</v>
      </c>
      <c r="AO179" t="s">
        <v>221</v>
      </c>
      <c r="AP179" t="s">
        <v>225</v>
      </c>
      <c r="AQ179" t="s">
        <v>221</v>
      </c>
      <c r="AR179" t="s">
        <v>225</v>
      </c>
      <c r="AS179" t="s">
        <v>414</v>
      </c>
      <c r="AT179" t="s">
        <v>225</v>
      </c>
      <c r="AU179" t="s">
        <v>220</v>
      </c>
      <c r="AV179"/>
      <c r="AW179" s="313" t="s">
        <v>220</v>
      </c>
      <c r="AX179" t="s">
        <v>226</v>
      </c>
      <c r="AY179" s="313" t="s">
        <v>220</v>
      </c>
      <c r="AZ179" s="313">
        <v>0.158</v>
      </c>
      <c r="BB179" s="313" t="s">
        <v>220</v>
      </c>
      <c r="BC179">
        <v>7.1300000000000002E-2</v>
      </c>
      <c r="BD179" t="s">
        <v>220</v>
      </c>
      <c r="BE179">
        <v>0.24399999999999999</v>
      </c>
      <c r="BF179" s="2" t="s">
        <v>220</v>
      </c>
      <c r="BG179" s="3" t="s">
        <v>416</v>
      </c>
      <c r="BH179" s="2" t="s">
        <v>274</v>
      </c>
      <c r="BI179" s="2" t="s">
        <v>275</v>
      </c>
      <c r="BM179"/>
      <c r="BP179" s="8"/>
      <c r="BQ179" t="s">
        <v>230</v>
      </c>
      <c r="BR179" t="s">
        <v>230</v>
      </c>
      <c r="BU179" t="s">
        <v>293</v>
      </c>
      <c r="BV179" t="s">
        <v>236</v>
      </c>
      <c r="BW179" t="s">
        <v>232</v>
      </c>
      <c r="BX179" t="s">
        <v>276</v>
      </c>
      <c r="BY179" t="s">
        <v>227</v>
      </c>
      <c r="BZ179">
        <v>0.61599999999999999</v>
      </c>
      <c r="CA179" t="s">
        <v>372</v>
      </c>
      <c r="CF179" t="s">
        <v>220</v>
      </c>
      <c r="CG179">
        <v>0.41399999999999998</v>
      </c>
      <c r="CH179" t="s">
        <v>257</v>
      </c>
      <c r="CI179">
        <v>0.52600000000000002</v>
      </c>
      <c r="CK179"/>
      <c r="CL179"/>
      <c r="CM179"/>
      <c r="CS179" s="8"/>
      <c r="CW179" t="s">
        <v>220</v>
      </c>
      <c r="CX179" t="s">
        <v>220</v>
      </c>
      <c r="CY179" t="s">
        <v>317</v>
      </c>
      <c r="CZ179" t="s">
        <v>220</v>
      </c>
      <c r="DA179" t="s">
        <v>257</v>
      </c>
      <c r="DB179" t="s">
        <v>227</v>
      </c>
      <c r="DC179"/>
      <c r="DD179"/>
      <c r="DE179"/>
      <c r="DF179"/>
      <c r="DG179"/>
      <c r="DH179" s="323"/>
      <c r="DI179" s="323"/>
      <c r="DJ179" s="323"/>
      <c r="DL179" t="s">
        <v>257</v>
      </c>
      <c r="DM179" t="s">
        <v>220</v>
      </c>
      <c r="DN179" t="s">
        <v>227</v>
      </c>
      <c r="DO179" t="s">
        <v>257</v>
      </c>
      <c r="DP179" t="s">
        <v>257</v>
      </c>
      <c r="DS179" s="309">
        <v>109.63</v>
      </c>
      <c r="DU179" s="309">
        <v>741.27200000000005</v>
      </c>
      <c r="DW179">
        <v>930</v>
      </c>
      <c r="DX179" t="s">
        <v>238</v>
      </c>
      <c r="DY179"/>
      <c r="DZ179" t="s">
        <v>235</v>
      </c>
      <c r="EA179"/>
      <c r="EB179"/>
      <c r="ED179" s="410"/>
      <c r="EE179" s="1"/>
      <c r="EG179" s="410"/>
      <c r="EI179" s="410"/>
      <c r="EK179" s="1"/>
      <c r="EM179"/>
      <c r="EQ179" s="344"/>
      <c r="EU179" s="344"/>
      <c r="EW179" s="409"/>
      <c r="EY179" s="1"/>
      <c r="FA179">
        <v>40.619999999999997</v>
      </c>
      <c r="FB179" t="s">
        <v>225</v>
      </c>
      <c r="FC179" s="7">
        <v>42.15023497210445</v>
      </c>
      <c r="FD179" s="357" t="s">
        <v>225</v>
      </c>
      <c r="FE179" s="8">
        <v>3113.866577182564</v>
      </c>
      <c r="FF179" t="s">
        <v>237</v>
      </c>
      <c r="FH179" s="9">
        <v>12405.092300422284</v>
      </c>
      <c r="FI179" s="9" t="s">
        <v>236</v>
      </c>
      <c r="FJ179">
        <v>1350</v>
      </c>
      <c r="FK179" t="s">
        <v>238</v>
      </c>
      <c r="FL179">
        <v>308</v>
      </c>
      <c r="FM179">
        <v>13536.300906714559</v>
      </c>
      <c r="FN179" s="5" t="s">
        <v>237</v>
      </c>
      <c r="FP179" s="6">
        <v>20.309999999999999</v>
      </c>
      <c r="FQ179" t="s">
        <v>275</v>
      </c>
      <c r="FS179" t="s">
        <v>240</v>
      </c>
      <c r="FU179" s="8">
        <v>2</v>
      </c>
      <c r="FV179" s="8">
        <v>10</v>
      </c>
      <c r="FW179" s="8">
        <v>10</v>
      </c>
      <c r="FX179" s="8">
        <v>1</v>
      </c>
      <c r="FY179" s="8">
        <v>3</v>
      </c>
      <c r="FZ179">
        <f t="shared" si="2"/>
        <v>600</v>
      </c>
      <c r="GA179" s="7" t="s">
        <v>326</v>
      </c>
      <c r="GB179" s="7" t="s">
        <v>326</v>
      </c>
      <c r="GC179" s="6">
        <v>1.5</v>
      </c>
      <c r="GD179" s="348" t="s">
        <v>242</v>
      </c>
      <c r="GF179" s="6">
        <v>6.7699999999999996E-2</v>
      </c>
      <c r="GH179" s="7"/>
      <c r="GI179" s="441">
        <v>0.45100000000000001</v>
      </c>
      <c r="GJ179" s="441">
        <v>0.84599999999999997</v>
      </c>
      <c r="GK179" s="441">
        <v>1.3540000000000001</v>
      </c>
      <c r="GL179" s="441">
        <v>3.3849999999999998</v>
      </c>
      <c r="GM179" s="461" t="s">
        <v>790</v>
      </c>
      <c r="GN179" s="6">
        <v>0.01</v>
      </c>
      <c r="GO179" s="6">
        <v>1.8749999999999999E-2</v>
      </c>
      <c r="GP179" s="6">
        <v>0.03</v>
      </c>
      <c r="GQ179" s="6">
        <v>7.4999999999999997E-2</v>
      </c>
      <c r="GR179" s="461" t="s">
        <v>790</v>
      </c>
      <c r="GU179" t="s">
        <v>243</v>
      </c>
      <c r="GV179" t="s">
        <v>236</v>
      </c>
      <c r="GW179" t="s">
        <v>244</v>
      </c>
      <c r="GX179" t="s">
        <v>236</v>
      </c>
      <c r="GY179" t="s">
        <v>245</v>
      </c>
      <c r="HE179" t="s">
        <v>384</v>
      </c>
      <c r="HF179" t="s">
        <v>223</v>
      </c>
      <c r="HG179" t="s">
        <v>231</v>
      </c>
      <c r="HH179" t="s">
        <v>225</v>
      </c>
      <c r="HI179" t="s">
        <v>247</v>
      </c>
      <c r="HJ179" t="s">
        <v>223</v>
      </c>
      <c r="HK179" t="s">
        <v>248</v>
      </c>
      <c r="HO179" t="s">
        <v>231</v>
      </c>
      <c r="HP179" t="s">
        <v>223</v>
      </c>
      <c r="HQ179" t="s">
        <v>231</v>
      </c>
      <c r="HR179" t="s">
        <v>223</v>
      </c>
      <c r="HU179" t="s">
        <v>231</v>
      </c>
      <c r="HV179" t="s">
        <v>223</v>
      </c>
      <c r="HW179" t="s">
        <v>246</v>
      </c>
      <c r="HX179" t="s">
        <v>236</v>
      </c>
      <c r="IA179" t="s">
        <v>231</v>
      </c>
      <c r="IB179" t="s">
        <v>250</v>
      </c>
      <c r="IC179">
        <v>0.45100000000000001</v>
      </c>
      <c r="ID179">
        <v>0.84599999999999997</v>
      </c>
      <c r="IE179">
        <v>1.3540000000000001</v>
      </c>
      <c r="IF179">
        <v>3.3849999999999998</v>
      </c>
      <c r="IG179" s="459" t="s">
        <v>451</v>
      </c>
      <c r="IH179" t="s">
        <v>267</v>
      </c>
    </row>
    <row r="180" spans="1:242" ht="159.5" x14ac:dyDescent="0.35">
      <c r="A180" s="310" t="s">
        <v>537</v>
      </c>
      <c r="B180" t="s">
        <v>1238</v>
      </c>
      <c r="C180" s="310" t="s">
        <v>1239</v>
      </c>
      <c r="D180" s="316"/>
      <c r="F180" t="s">
        <v>1240</v>
      </c>
      <c r="I180" s="310" t="s">
        <v>1237</v>
      </c>
      <c r="M180" s="313"/>
      <c r="O180"/>
      <c r="P180" s="382"/>
      <c r="Q180"/>
      <c r="U180"/>
      <c r="V180" s="313"/>
      <c r="W180"/>
      <c r="X180"/>
      <c r="Z180"/>
      <c r="AB180"/>
      <c r="AD180" s="8" t="s">
        <v>230</v>
      </c>
      <c r="AF180" s="8" t="s">
        <v>230</v>
      </c>
      <c r="AG180"/>
      <c r="AH180"/>
      <c r="AI180"/>
      <c r="AJ180" t="s">
        <v>221</v>
      </c>
      <c r="AK180">
        <v>0</v>
      </c>
      <c r="AL180">
        <v>0.6</v>
      </c>
      <c r="AM180" t="s">
        <v>221</v>
      </c>
      <c r="AN180" t="s">
        <v>225</v>
      </c>
      <c r="AO180" t="s">
        <v>221</v>
      </c>
      <c r="AP180" t="s">
        <v>225</v>
      </c>
      <c r="AQ180" t="s">
        <v>221</v>
      </c>
      <c r="AR180" t="s">
        <v>225</v>
      </c>
      <c r="AS180" t="s">
        <v>221</v>
      </c>
      <c r="AT180" t="s">
        <v>225</v>
      </c>
      <c r="AU180" t="s">
        <v>220</v>
      </c>
      <c r="AV180"/>
      <c r="AW180" s="313" t="s">
        <v>220</v>
      </c>
      <c r="AX180" t="s">
        <v>226</v>
      </c>
      <c r="AY180" s="313" t="s">
        <v>220</v>
      </c>
      <c r="AZ180" s="313">
        <v>0.158</v>
      </c>
      <c r="BB180" s="313" t="s">
        <v>220</v>
      </c>
      <c r="BC180">
        <v>7.1300000000000002E-2</v>
      </c>
      <c r="BD180" t="s">
        <v>220</v>
      </c>
      <c r="BE180">
        <v>0.24399999999999999</v>
      </c>
      <c r="BF180" s="2" t="s">
        <v>220</v>
      </c>
      <c r="BG180" s="2" t="s">
        <v>273</v>
      </c>
      <c r="BH180" s="2" t="s">
        <v>274</v>
      </c>
      <c r="BI180" s="2" t="s">
        <v>275</v>
      </c>
      <c r="BM180"/>
      <c r="BP180" s="8"/>
      <c r="BQ180" t="s">
        <v>230</v>
      </c>
      <c r="BR180" t="s">
        <v>230</v>
      </c>
      <c r="BU180" t="s">
        <v>293</v>
      </c>
      <c r="BV180" t="s">
        <v>236</v>
      </c>
      <c r="BW180" t="s">
        <v>232</v>
      </c>
      <c r="BX180" t="s">
        <v>276</v>
      </c>
      <c r="BY180" t="s">
        <v>227</v>
      </c>
      <c r="BZ180">
        <v>0.61599999999999999</v>
      </c>
      <c r="CA180" t="s">
        <v>372</v>
      </c>
      <c r="CF180" t="s">
        <v>220</v>
      </c>
      <c r="CG180">
        <v>0.41399999999999998</v>
      </c>
      <c r="CH180" t="s">
        <v>257</v>
      </c>
      <c r="CI180">
        <v>0.52600000000000002</v>
      </c>
      <c r="CK180"/>
      <c r="CL180"/>
      <c r="CM180"/>
      <c r="CS180" s="8"/>
      <c r="CW180" t="s">
        <v>220</v>
      </c>
      <c r="CX180" t="s">
        <v>220</v>
      </c>
      <c r="CY180" t="s">
        <v>317</v>
      </c>
      <c r="CZ180" t="s">
        <v>220</v>
      </c>
      <c r="DA180" t="s">
        <v>257</v>
      </c>
      <c r="DB180" t="s">
        <v>227</v>
      </c>
      <c r="DC180"/>
      <c r="DD180"/>
      <c r="DE180"/>
      <c r="DF180"/>
      <c r="DG180"/>
      <c r="DH180" s="323"/>
      <c r="DI180" s="323"/>
      <c r="DJ180" s="323"/>
      <c r="DL180" t="s">
        <v>257</v>
      </c>
      <c r="DM180" t="s">
        <v>220</v>
      </c>
      <c r="DN180" t="s">
        <v>227</v>
      </c>
      <c r="DO180" t="s">
        <v>257</v>
      </c>
      <c r="DP180" t="s">
        <v>257</v>
      </c>
      <c r="DS180" s="309">
        <v>106.599</v>
      </c>
      <c r="DU180" s="309">
        <v>993.22900000000004</v>
      </c>
      <c r="DW180">
        <v>1550</v>
      </c>
      <c r="DX180" t="s">
        <v>238</v>
      </c>
      <c r="DY180">
        <v>1370</v>
      </c>
      <c r="DZ180" t="s">
        <v>238</v>
      </c>
      <c r="EA180"/>
      <c r="EB180"/>
      <c r="ED180" s="410"/>
      <c r="EE180" s="1"/>
      <c r="EG180" s="410"/>
      <c r="EI180" s="410"/>
      <c r="EK180" s="1"/>
      <c r="EM180"/>
      <c r="EQ180" s="344"/>
      <c r="EU180" s="344"/>
      <c r="EW180" s="409"/>
      <c r="EY180" s="1"/>
      <c r="FA180">
        <v>40.619999999999997</v>
      </c>
      <c r="FB180" t="s">
        <v>225</v>
      </c>
      <c r="FC180" s="7">
        <v>59.306186640071843</v>
      </c>
      <c r="FD180" s="357" t="s">
        <v>225</v>
      </c>
      <c r="FE180" s="8">
        <v>3113.866577182564</v>
      </c>
      <c r="FF180" t="s">
        <v>237</v>
      </c>
      <c r="FH180" s="9">
        <v>8782.1327989800648</v>
      </c>
      <c r="FI180" s="9" t="s">
        <v>236</v>
      </c>
      <c r="FJ180">
        <v>1470</v>
      </c>
      <c r="FK180" t="s">
        <v>238</v>
      </c>
      <c r="FL180">
        <v>308</v>
      </c>
      <c r="FM180">
        <v>13536.300906714559</v>
      </c>
      <c r="FN180" s="5" t="s">
        <v>237</v>
      </c>
      <c r="FP180" s="6">
        <v>20.309999999999999</v>
      </c>
      <c r="FQ180" t="s">
        <v>275</v>
      </c>
      <c r="FS180" t="s">
        <v>240</v>
      </c>
      <c r="FU180" s="8">
        <v>2</v>
      </c>
      <c r="FV180" s="8">
        <v>10</v>
      </c>
      <c r="FW180" s="8">
        <v>10</v>
      </c>
      <c r="FX180" s="8">
        <v>1</v>
      </c>
      <c r="FY180" s="8">
        <v>3</v>
      </c>
      <c r="FZ180">
        <f t="shared" si="2"/>
        <v>600</v>
      </c>
      <c r="GA180" s="7" t="s">
        <v>326</v>
      </c>
      <c r="GB180" s="7" t="s">
        <v>326</v>
      </c>
      <c r="GC180" s="6">
        <v>1.5</v>
      </c>
      <c r="GD180" s="348" t="s">
        <v>242</v>
      </c>
      <c r="GF180" s="6">
        <v>6.7699999999999996E-2</v>
      </c>
      <c r="GH180" s="7"/>
      <c r="GI180" s="441">
        <v>0.45100000000000001</v>
      </c>
      <c r="GJ180" s="441">
        <v>0.84599999999999997</v>
      </c>
      <c r="GK180" s="441">
        <v>1.3540000000000001</v>
      </c>
      <c r="GL180" s="441">
        <v>3.3849999999999998</v>
      </c>
      <c r="GM180" s="461" t="s">
        <v>790</v>
      </c>
      <c r="GN180" s="6">
        <v>0.01</v>
      </c>
      <c r="GO180" s="6">
        <v>1.8749999999999999E-2</v>
      </c>
      <c r="GP180" s="6">
        <v>0.03</v>
      </c>
      <c r="GQ180" s="6">
        <v>7.4999999999999997E-2</v>
      </c>
      <c r="GR180" s="461" t="s">
        <v>790</v>
      </c>
      <c r="GU180" t="s">
        <v>365</v>
      </c>
      <c r="GV180" t="s">
        <v>223</v>
      </c>
      <c r="GW180" t="s">
        <v>244</v>
      </c>
      <c r="GX180" t="s">
        <v>236</v>
      </c>
      <c r="GY180" t="s">
        <v>245</v>
      </c>
      <c r="HE180" t="s">
        <v>384</v>
      </c>
      <c r="HF180" t="s">
        <v>223</v>
      </c>
      <c r="HG180" t="s">
        <v>231</v>
      </c>
      <c r="HH180" t="s">
        <v>225</v>
      </c>
      <c r="HI180" t="s">
        <v>247</v>
      </c>
      <c r="HJ180" t="s">
        <v>223</v>
      </c>
      <c r="HK180" t="s">
        <v>248</v>
      </c>
      <c r="HO180" t="s">
        <v>231</v>
      </c>
      <c r="HP180" t="s">
        <v>223</v>
      </c>
      <c r="HQ180" t="s">
        <v>231</v>
      </c>
      <c r="HR180" t="s">
        <v>223</v>
      </c>
      <c r="HU180" t="s">
        <v>231</v>
      </c>
      <c r="HV180" t="s">
        <v>223</v>
      </c>
      <c r="HW180" t="s">
        <v>246</v>
      </c>
      <c r="HX180" t="s">
        <v>236</v>
      </c>
      <c r="IA180" t="s">
        <v>231</v>
      </c>
      <c r="IB180" t="s">
        <v>250</v>
      </c>
      <c r="IC180">
        <v>0.45100000000000001</v>
      </c>
      <c r="ID180">
        <v>0.84599999999999997</v>
      </c>
      <c r="IE180">
        <v>1.3540000000000001</v>
      </c>
      <c r="IF180">
        <v>3.3849999999999998</v>
      </c>
      <c r="IG180" s="459" t="s">
        <v>451</v>
      </c>
      <c r="IH180" t="s">
        <v>267</v>
      </c>
    </row>
    <row r="181" spans="1:242" ht="159.5" x14ac:dyDescent="0.35">
      <c r="A181" s="310" t="s">
        <v>537</v>
      </c>
      <c r="B181" t="s">
        <v>1241</v>
      </c>
      <c r="C181" s="310" t="s">
        <v>1242</v>
      </c>
      <c r="D181" s="316"/>
      <c r="F181" t="s">
        <v>1243</v>
      </c>
      <c r="I181" s="310" t="s">
        <v>1237</v>
      </c>
      <c r="M181" s="313"/>
      <c r="O181"/>
      <c r="P181" s="382"/>
      <c r="Q181"/>
      <c r="U181"/>
      <c r="V181" s="313"/>
      <c r="W181"/>
      <c r="X181"/>
      <c r="Z181"/>
      <c r="AB181"/>
      <c r="AD181" s="8" t="s">
        <v>230</v>
      </c>
      <c r="AF181" s="8" t="s">
        <v>230</v>
      </c>
      <c r="AG181"/>
      <c r="AH181"/>
      <c r="AI181"/>
      <c r="AJ181" t="s">
        <v>221</v>
      </c>
      <c r="AK181">
        <v>0</v>
      </c>
      <c r="AL181">
        <v>0.6</v>
      </c>
      <c r="AM181" t="s">
        <v>221</v>
      </c>
      <c r="AN181" t="s">
        <v>225</v>
      </c>
      <c r="AO181" t="s">
        <v>221</v>
      </c>
      <c r="AP181" t="s">
        <v>225</v>
      </c>
      <c r="AQ181" t="s">
        <v>221</v>
      </c>
      <c r="AR181" t="s">
        <v>225</v>
      </c>
      <c r="AS181" t="s">
        <v>221</v>
      </c>
      <c r="AT181" t="s">
        <v>225</v>
      </c>
      <c r="AU181" t="s">
        <v>220</v>
      </c>
      <c r="AV181"/>
      <c r="AW181" s="313" t="s">
        <v>220</v>
      </c>
      <c r="AX181" t="s">
        <v>226</v>
      </c>
      <c r="AY181" s="313" t="s">
        <v>220</v>
      </c>
      <c r="AZ181" s="313">
        <v>0.158</v>
      </c>
      <c r="BB181" s="313" t="s">
        <v>220</v>
      </c>
      <c r="BC181">
        <v>7.1300000000000002E-2</v>
      </c>
      <c r="BD181" t="s">
        <v>220</v>
      </c>
      <c r="BE181">
        <v>0.24399999999999999</v>
      </c>
      <c r="BF181" s="2" t="s">
        <v>220</v>
      </c>
      <c r="BG181" s="2" t="s">
        <v>273</v>
      </c>
      <c r="BH181" s="2" t="s">
        <v>274</v>
      </c>
      <c r="BI181" s="2" t="s">
        <v>275</v>
      </c>
      <c r="BM181"/>
      <c r="BP181" s="8"/>
      <c r="BQ181" t="s">
        <v>230</v>
      </c>
      <c r="BR181" t="s">
        <v>230</v>
      </c>
      <c r="BU181" t="s">
        <v>293</v>
      </c>
      <c r="BV181" t="s">
        <v>236</v>
      </c>
      <c r="BW181" t="s">
        <v>232</v>
      </c>
      <c r="BX181" t="s">
        <v>276</v>
      </c>
      <c r="BY181" t="s">
        <v>227</v>
      </c>
      <c r="BZ181">
        <v>0.61599999999999999</v>
      </c>
      <c r="CA181" t="s">
        <v>372</v>
      </c>
      <c r="CF181" t="s">
        <v>220</v>
      </c>
      <c r="CG181">
        <v>0.41399999999999998</v>
      </c>
      <c r="CH181" t="s">
        <v>257</v>
      </c>
      <c r="CI181">
        <v>0.52600000000000002</v>
      </c>
      <c r="CK181"/>
      <c r="CL181"/>
      <c r="CM181"/>
      <c r="CS181" s="8"/>
      <c r="CW181" t="s">
        <v>220</v>
      </c>
      <c r="CX181" t="s">
        <v>220</v>
      </c>
      <c r="CY181" t="s">
        <v>317</v>
      </c>
      <c r="CZ181" t="s">
        <v>220</v>
      </c>
      <c r="DA181" t="s">
        <v>257</v>
      </c>
      <c r="DB181" t="s">
        <v>227</v>
      </c>
      <c r="DC181"/>
      <c r="DD181"/>
      <c r="DE181"/>
      <c r="DF181"/>
      <c r="DG181"/>
      <c r="DH181" s="323"/>
      <c r="DI181" s="323"/>
      <c r="DJ181" s="323"/>
      <c r="DL181" t="s">
        <v>257</v>
      </c>
      <c r="DM181" t="s">
        <v>220</v>
      </c>
      <c r="DN181" t="s">
        <v>227</v>
      </c>
      <c r="DO181" t="s">
        <v>257</v>
      </c>
      <c r="DP181" t="s">
        <v>257</v>
      </c>
      <c r="DS181" s="309">
        <v>101.858</v>
      </c>
      <c r="DU181" s="338">
        <v>1305.683</v>
      </c>
      <c r="DV181" s="8" t="s">
        <v>394</v>
      </c>
      <c r="DW181">
        <v>1510</v>
      </c>
      <c r="DX181" t="s">
        <v>238</v>
      </c>
      <c r="DY181">
        <v>1360</v>
      </c>
      <c r="DZ181" t="s">
        <v>238</v>
      </c>
      <c r="EA181"/>
      <c r="EB181"/>
      <c r="ED181" s="410"/>
      <c r="EE181" s="1"/>
      <c r="EG181" s="410"/>
      <c r="EI181" s="410"/>
      <c r="EK181" s="1"/>
      <c r="EM181"/>
      <c r="EQ181" s="344"/>
      <c r="EU181" s="344"/>
      <c r="EW181" s="409"/>
      <c r="EY181" s="1"/>
      <c r="FA181">
        <v>40.619999999999997</v>
      </c>
      <c r="FB181" t="s">
        <v>225</v>
      </c>
      <c r="FC181" s="7">
        <v>82.148568512832796</v>
      </c>
      <c r="FD181" s="357" t="s">
        <v>225</v>
      </c>
      <c r="FE181" s="8">
        <v>3113.866577182564</v>
      </c>
      <c r="FF181" t="s">
        <v>237</v>
      </c>
      <c r="FH181" s="9">
        <v>7266.0770693940067</v>
      </c>
      <c r="FI181" s="9" t="s">
        <v>236</v>
      </c>
      <c r="FJ181">
        <v>1560</v>
      </c>
      <c r="FK181" t="s">
        <v>238</v>
      </c>
      <c r="FL181">
        <v>308</v>
      </c>
      <c r="FM181">
        <v>13536.300906714559</v>
      </c>
      <c r="FN181" s="5" t="s">
        <v>237</v>
      </c>
      <c r="FP181" s="6">
        <v>20.309999999999999</v>
      </c>
      <c r="FQ181" t="s">
        <v>275</v>
      </c>
      <c r="FS181" t="s">
        <v>240</v>
      </c>
      <c r="FU181" s="8">
        <v>2</v>
      </c>
      <c r="FV181" s="8">
        <v>10</v>
      </c>
      <c r="FW181" s="8">
        <v>10</v>
      </c>
      <c r="FX181" s="8">
        <v>1</v>
      </c>
      <c r="FY181" s="8">
        <v>3</v>
      </c>
      <c r="FZ181">
        <f t="shared" si="2"/>
        <v>600</v>
      </c>
      <c r="GA181" s="7" t="s">
        <v>326</v>
      </c>
      <c r="GB181" s="7" t="s">
        <v>326</v>
      </c>
      <c r="GC181" s="6">
        <v>1.5</v>
      </c>
      <c r="GD181" s="348" t="s">
        <v>242</v>
      </c>
      <c r="GF181" s="6">
        <v>6.7699999999999996E-2</v>
      </c>
      <c r="GH181" s="7"/>
      <c r="GI181" s="441">
        <v>0.45100000000000001</v>
      </c>
      <c r="GJ181" s="441">
        <v>0.84599999999999997</v>
      </c>
      <c r="GK181" s="441">
        <v>1.3540000000000001</v>
      </c>
      <c r="GL181" s="441">
        <v>3.3849999999999998</v>
      </c>
      <c r="GM181" s="461" t="s">
        <v>790</v>
      </c>
      <c r="GN181" s="6">
        <v>0.01</v>
      </c>
      <c r="GO181" s="6">
        <v>1.8749999999999999E-2</v>
      </c>
      <c r="GP181" s="6">
        <v>0.03</v>
      </c>
      <c r="GQ181" s="6">
        <v>7.4999999999999997E-2</v>
      </c>
      <c r="GR181" s="461" t="s">
        <v>790</v>
      </c>
      <c r="GU181" t="s">
        <v>243</v>
      </c>
      <c r="GV181" t="s">
        <v>236</v>
      </c>
      <c r="GW181" t="s">
        <v>244</v>
      </c>
      <c r="GX181" t="s">
        <v>236</v>
      </c>
      <c r="GY181" t="s">
        <v>245</v>
      </c>
      <c r="HE181" t="s">
        <v>384</v>
      </c>
      <c r="HF181" t="s">
        <v>223</v>
      </c>
      <c r="HG181" t="s">
        <v>231</v>
      </c>
      <c r="HH181" t="s">
        <v>225</v>
      </c>
      <c r="HI181" t="s">
        <v>247</v>
      </c>
      <c r="HJ181" t="s">
        <v>223</v>
      </c>
      <c r="HK181" t="s">
        <v>248</v>
      </c>
      <c r="HO181" t="s">
        <v>231</v>
      </c>
      <c r="HP181" t="s">
        <v>223</v>
      </c>
      <c r="HQ181" t="s">
        <v>231</v>
      </c>
      <c r="HR181" t="s">
        <v>223</v>
      </c>
      <c r="HU181" t="s">
        <v>231</v>
      </c>
      <c r="HV181" t="s">
        <v>223</v>
      </c>
      <c r="HW181" t="s">
        <v>246</v>
      </c>
      <c r="HX181" t="s">
        <v>236</v>
      </c>
      <c r="IA181" t="s">
        <v>231</v>
      </c>
      <c r="IB181" t="s">
        <v>250</v>
      </c>
      <c r="IC181">
        <v>0.45100000000000001</v>
      </c>
      <c r="ID181">
        <v>0.84599999999999997</v>
      </c>
      <c r="IE181">
        <v>1.3540000000000001</v>
      </c>
      <c r="IF181">
        <v>3.3849999999999998</v>
      </c>
      <c r="IG181" s="459" t="s">
        <v>451</v>
      </c>
      <c r="IH181" t="s">
        <v>267</v>
      </c>
    </row>
    <row r="182" spans="1:242" ht="159.5" x14ac:dyDescent="0.35">
      <c r="A182" s="310" t="s">
        <v>537</v>
      </c>
      <c r="B182" t="s">
        <v>1244</v>
      </c>
      <c r="C182" s="310" t="s">
        <v>1245</v>
      </c>
      <c r="D182" s="316"/>
      <c r="F182" t="s">
        <v>1246</v>
      </c>
      <c r="I182" s="310" t="s">
        <v>1247</v>
      </c>
      <c r="M182" s="313"/>
      <c r="O182"/>
      <c r="P182" s="382"/>
      <c r="Q182"/>
      <c r="U182"/>
      <c r="V182" s="313"/>
      <c r="W182"/>
      <c r="X182"/>
      <c r="Z182"/>
      <c r="AB182"/>
      <c r="AD182" s="8" t="s">
        <v>230</v>
      </c>
      <c r="AF182" s="8" t="s">
        <v>230</v>
      </c>
      <c r="AG182"/>
      <c r="AH182"/>
      <c r="AI182"/>
      <c r="AJ182" t="s">
        <v>221</v>
      </c>
      <c r="AK182">
        <v>0</v>
      </c>
      <c r="AL182">
        <v>0.67500000000000004</v>
      </c>
      <c r="AM182" t="s">
        <v>221</v>
      </c>
      <c r="AN182" t="s">
        <v>223</v>
      </c>
      <c r="AO182" t="s">
        <v>221</v>
      </c>
      <c r="AP182" t="s">
        <v>225</v>
      </c>
      <c r="AQ182" t="s">
        <v>221</v>
      </c>
      <c r="AR182" t="s">
        <v>225</v>
      </c>
      <c r="AS182" t="s">
        <v>221</v>
      </c>
      <c r="AT182" t="s">
        <v>225</v>
      </c>
      <c r="AU182" t="s">
        <v>220</v>
      </c>
      <c r="AV182"/>
      <c r="AW182" s="313" t="s">
        <v>220</v>
      </c>
      <c r="AX182" t="s">
        <v>226</v>
      </c>
      <c r="AY182" s="313" t="s">
        <v>220</v>
      </c>
      <c r="AZ182" s="313">
        <v>0.10299999999999999</v>
      </c>
      <c r="BB182" s="313" t="s">
        <v>220</v>
      </c>
      <c r="BC182">
        <v>3.9800000000000002E-2</v>
      </c>
      <c r="BD182" t="s">
        <v>220</v>
      </c>
      <c r="BE182">
        <v>0.16500000000000001</v>
      </c>
      <c r="BF182" s="2" t="s">
        <v>220</v>
      </c>
      <c r="BG182" s="2" t="s">
        <v>273</v>
      </c>
      <c r="BH182" s="2" t="s">
        <v>274</v>
      </c>
      <c r="BI182" s="2" t="s">
        <v>275</v>
      </c>
      <c r="BM182"/>
      <c r="BP182" s="8"/>
      <c r="BQ182" t="s">
        <v>230</v>
      </c>
      <c r="BR182" t="s">
        <v>230</v>
      </c>
      <c r="BU182" t="s">
        <v>317</v>
      </c>
      <c r="BV182" t="s">
        <v>223</v>
      </c>
      <c r="BW182" t="s">
        <v>232</v>
      </c>
      <c r="BX182" t="s">
        <v>276</v>
      </c>
      <c r="BY182" t="s">
        <v>220</v>
      </c>
      <c r="BZ182">
        <v>0.436</v>
      </c>
      <c r="CA182" t="s">
        <v>372</v>
      </c>
      <c r="CF182" t="s">
        <v>220</v>
      </c>
      <c r="CG182">
        <v>0.378</v>
      </c>
      <c r="CH182" t="s">
        <v>220</v>
      </c>
      <c r="CI182">
        <v>0.42599999999999999</v>
      </c>
      <c r="CK182"/>
      <c r="CL182"/>
      <c r="CM182"/>
      <c r="CS182" s="8"/>
      <c r="CW182" t="s">
        <v>220</v>
      </c>
      <c r="CX182" t="s">
        <v>220</v>
      </c>
      <c r="CY182" t="s">
        <v>317</v>
      </c>
      <c r="CZ182" t="s">
        <v>220</v>
      </c>
      <c r="DA182" t="s">
        <v>257</v>
      </c>
      <c r="DB182" t="s">
        <v>227</v>
      </c>
      <c r="DC182"/>
      <c r="DD182"/>
      <c r="DE182"/>
      <c r="DF182"/>
      <c r="DG182"/>
      <c r="DH182" s="323"/>
      <c r="DI182" s="323"/>
      <c r="DJ182" s="323"/>
      <c r="DL182" t="s">
        <v>257</v>
      </c>
      <c r="DM182" t="s">
        <v>220</v>
      </c>
      <c r="DN182" t="s">
        <v>227</v>
      </c>
      <c r="DO182" t="s">
        <v>257</v>
      </c>
      <c r="DP182" t="s">
        <v>257</v>
      </c>
      <c r="DS182" s="309">
        <v>107.76</v>
      </c>
      <c r="DU182" s="338">
        <v>968.18499999999995</v>
      </c>
      <c r="DV182" s="8" t="s">
        <v>394</v>
      </c>
      <c r="DW182">
        <v>1690</v>
      </c>
      <c r="DX182" t="s">
        <v>238</v>
      </c>
      <c r="DY182">
        <v>1500</v>
      </c>
      <c r="DZ182" t="s">
        <v>238</v>
      </c>
      <c r="EA182"/>
      <c r="EB182"/>
      <c r="ED182" s="410"/>
      <c r="EE182" s="1"/>
      <c r="EG182" s="410"/>
      <c r="EI182" s="410"/>
      <c r="EK182" s="1"/>
      <c r="EM182"/>
      <c r="EQ182" s="344"/>
      <c r="EU182" s="344"/>
      <c r="EW182" s="409"/>
      <c r="EY182" s="1"/>
      <c r="FA182">
        <v>30.5</v>
      </c>
      <c r="FB182" t="s">
        <v>225</v>
      </c>
      <c r="FC182" s="7">
        <v>84.644744809770032</v>
      </c>
      <c r="FD182" s="357" t="s">
        <v>225</v>
      </c>
      <c r="FE182" s="8">
        <v>1231.1189039637807</v>
      </c>
      <c r="FF182" t="s">
        <v>237</v>
      </c>
      <c r="FH182" s="9">
        <v>4680.5835289682054</v>
      </c>
      <c r="FI182" s="9" t="s">
        <v>236</v>
      </c>
      <c r="FJ182">
        <v>1610</v>
      </c>
      <c r="FK182" t="s">
        <v>238</v>
      </c>
      <c r="FL182">
        <v>290</v>
      </c>
      <c r="FM182">
        <v>5171.3031791696339</v>
      </c>
      <c r="FN182" s="5" t="s">
        <v>237</v>
      </c>
      <c r="FP182" s="6">
        <v>15.025</v>
      </c>
      <c r="FQ182" t="s">
        <v>275</v>
      </c>
      <c r="FS182" t="s">
        <v>240</v>
      </c>
      <c r="FU182" s="8">
        <v>2</v>
      </c>
      <c r="FV182" s="8">
        <v>10</v>
      </c>
      <c r="FW182" s="8">
        <v>10</v>
      </c>
      <c r="FX182" s="8">
        <v>1</v>
      </c>
      <c r="FY182" s="8">
        <v>3</v>
      </c>
      <c r="FZ182">
        <f t="shared" si="2"/>
        <v>600</v>
      </c>
      <c r="GA182" s="7" t="s">
        <v>326</v>
      </c>
      <c r="GB182" s="7" t="s">
        <v>326</v>
      </c>
      <c r="GC182" s="6">
        <v>1.5</v>
      </c>
      <c r="GD182" s="348" t="s">
        <v>242</v>
      </c>
      <c r="GF182" s="6">
        <v>5.0083333333333341E-2</v>
      </c>
      <c r="GH182" s="7"/>
      <c r="GI182" s="441">
        <v>0.33400000000000002</v>
      </c>
      <c r="GJ182" s="441">
        <v>0.626</v>
      </c>
      <c r="GK182" s="441">
        <v>1.002</v>
      </c>
      <c r="GL182" s="441">
        <v>2.504</v>
      </c>
      <c r="GM182" s="461" t="s">
        <v>790</v>
      </c>
      <c r="GN182" s="6">
        <v>0.01</v>
      </c>
      <c r="GO182" s="6">
        <v>1.8749999999999999E-2</v>
      </c>
      <c r="GP182" s="6">
        <v>0.03</v>
      </c>
      <c r="GQ182" s="6">
        <v>7.4999999999999997E-2</v>
      </c>
      <c r="GR182" s="461" t="s">
        <v>790</v>
      </c>
      <c r="GU182" t="s">
        <v>365</v>
      </c>
      <c r="GV182" t="s">
        <v>223</v>
      </c>
      <c r="GW182" t="s">
        <v>244</v>
      </c>
      <c r="GX182" t="s">
        <v>236</v>
      </c>
      <c r="GY182" t="s">
        <v>245</v>
      </c>
      <c r="HE182" t="s">
        <v>247</v>
      </c>
      <c r="HF182" t="s">
        <v>223</v>
      </c>
      <c r="HG182" t="s">
        <v>231</v>
      </c>
      <c r="HH182" t="s">
        <v>223</v>
      </c>
      <c r="HI182" t="s">
        <v>247</v>
      </c>
      <c r="HJ182" t="s">
        <v>223</v>
      </c>
      <c r="HK182" t="s">
        <v>248</v>
      </c>
      <c r="HO182" t="s">
        <v>231</v>
      </c>
      <c r="HP182" t="s">
        <v>223</v>
      </c>
      <c r="HQ182" t="s">
        <v>231</v>
      </c>
      <c r="HR182" t="s">
        <v>223</v>
      </c>
      <c r="HU182" t="s">
        <v>231</v>
      </c>
      <c r="HV182" t="s">
        <v>223</v>
      </c>
      <c r="HW182" t="s">
        <v>246</v>
      </c>
      <c r="HX182" t="s">
        <v>236</v>
      </c>
      <c r="IA182" t="s">
        <v>231</v>
      </c>
      <c r="IB182" t="s">
        <v>250</v>
      </c>
      <c r="IC182">
        <v>0.33400000000000002</v>
      </c>
      <c r="ID182">
        <v>0.626</v>
      </c>
      <c r="IE182">
        <v>1.002</v>
      </c>
      <c r="IF182">
        <v>2.504</v>
      </c>
      <c r="IG182" s="459" t="s">
        <v>451</v>
      </c>
      <c r="IH182" t="s">
        <v>267</v>
      </c>
    </row>
    <row r="183" spans="1:242" ht="159.5" x14ac:dyDescent="0.35">
      <c r="A183" s="310" t="s">
        <v>1248</v>
      </c>
      <c r="B183" t="s">
        <v>1249</v>
      </c>
      <c r="C183" s="310" t="s">
        <v>1250</v>
      </c>
      <c r="D183" s="310" t="s">
        <v>1250</v>
      </c>
      <c r="F183" s="310" t="s">
        <v>1250</v>
      </c>
      <c r="I183" s="310" t="s">
        <v>1251</v>
      </c>
      <c r="M183" s="313"/>
      <c r="O183"/>
      <c r="P183" s="382"/>
      <c r="Q183"/>
      <c r="U183"/>
      <c r="V183" s="313"/>
      <c r="W183"/>
      <c r="X183"/>
      <c r="Z183"/>
      <c r="AB183"/>
      <c r="AD183" s="8" t="s">
        <v>230</v>
      </c>
      <c r="AF183" s="8" t="s">
        <v>230</v>
      </c>
      <c r="AG183"/>
      <c r="AH183"/>
      <c r="AI183"/>
      <c r="AJ183" t="s">
        <v>221</v>
      </c>
      <c r="AK183">
        <v>0</v>
      </c>
      <c r="AL183">
        <v>0.67500000000000004</v>
      </c>
      <c r="AM183" t="s">
        <v>221</v>
      </c>
      <c r="AN183" t="s">
        <v>223</v>
      </c>
      <c r="AO183" t="s">
        <v>221</v>
      </c>
      <c r="AP183" t="s">
        <v>225</v>
      </c>
      <c r="AQ183" t="s">
        <v>221</v>
      </c>
      <c r="AR183" t="s">
        <v>225</v>
      </c>
      <c r="AS183" t="s">
        <v>221</v>
      </c>
      <c r="AT183" t="s">
        <v>225</v>
      </c>
      <c r="AU183" t="s">
        <v>220</v>
      </c>
      <c r="AV183"/>
      <c r="AW183" s="313" t="s">
        <v>220</v>
      </c>
      <c r="AX183" t="s">
        <v>226</v>
      </c>
      <c r="AY183" s="313" t="s">
        <v>220</v>
      </c>
      <c r="AZ183" s="313">
        <v>0.10199999999999999</v>
      </c>
      <c r="BB183" s="313" t="s">
        <v>220</v>
      </c>
      <c r="BC183">
        <v>3.8899999999999997E-2</v>
      </c>
      <c r="BD183" t="s">
        <v>220</v>
      </c>
      <c r="BE183">
        <v>0.153</v>
      </c>
      <c r="BF183" s="2" t="s">
        <v>220</v>
      </c>
      <c r="BG183" s="2" t="s">
        <v>273</v>
      </c>
      <c r="BH183" s="2" t="s">
        <v>274</v>
      </c>
      <c r="BI183" s="2" t="s">
        <v>275</v>
      </c>
      <c r="BM183"/>
      <c r="BP183" s="8"/>
      <c r="BQ183" t="s">
        <v>230</v>
      </c>
      <c r="BR183" t="s">
        <v>230</v>
      </c>
      <c r="BU183" t="s">
        <v>317</v>
      </c>
      <c r="BV183" t="s">
        <v>225</v>
      </c>
      <c r="BW183" t="s">
        <v>232</v>
      </c>
      <c r="BX183" t="s">
        <v>276</v>
      </c>
      <c r="BY183" t="s">
        <v>220</v>
      </c>
      <c r="BZ183">
        <v>0.42199999999999999</v>
      </c>
      <c r="CA183" t="s">
        <v>234</v>
      </c>
      <c r="CF183" t="s">
        <v>220</v>
      </c>
      <c r="CG183">
        <v>0.34399999999999997</v>
      </c>
      <c r="CH183" t="s">
        <v>220</v>
      </c>
      <c r="CI183">
        <v>0.38600000000000001</v>
      </c>
      <c r="CK183"/>
      <c r="CL183"/>
      <c r="CM183"/>
      <c r="CS183" s="8"/>
      <c r="CW183" t="s">
        <v>220</v>
      </c>
      <c r="CX183" t="s">
        <v>220</v>
      </c>
      <c r="CY183" t="s">
        <v>317</v>
      </c>
      <c r="CZ183" t="s">
        <v>220</v>
      </c>
      <c r="DA183" t="s">
        <v>257</v>
      </c>
      <c r="DB183" t="s">
        <v>227</v>
      </c>
      <c r="DC183"/>
      <c r="DD183"/>
      <c r="DE183"/>
      <c r="DF183"/>
      <c r="DG183"/>
      <c r="DH183" s="323"/>
      <c r="DI183" s="323"/>
      <c r="DJ183" s="323"/>
      <c r="DL183" t="s">
        <v>257</v>
      </c>
      <c r="DM183" t="s">
        <v>220</v>
      </c>
      <c r="DN183" t="s">
        <v>227</v>
      </c>
      <c r="DO183" t="s">
        <v>257</v>
      </c>
      <c r="DP183" t="s">
        <v>257</v>
      </c>
      <c r="DS183" s="309">
        <v>118.98099999999999</v>
      </c>
      <c r="DU183" s="309">
        <v>547.72799999999995</v>
      </c>
      <c r="DW183">
        <v>1740</v>
      </c>
      <c r="DX183" t="s">
        <v>238</v>
      </c>
      <c r="DY183">
        <v>1570</v>
      </c>
      <c r="DZ183" t="s">
        <v>238</v>
      </c>
      <c r="EA183"/>
      <c r="EB183"/>
      <c r="ED183" s="410"/>
      <c r="EE183" s="1"/>
      <c r="EG183" s="410"/>
      <c r="EI183" s="410"/>
      <c r="EK183" s="1"/>
      <c r="EM183"/>
      <c r="EQ183" s="344"/>
      <c r="EU183" s="344"/>
      <c r="EW183" s="409"/>
      <c r="EY183" s="1"/>
      <c r="FA183">
        <v>22.9</v>
      </c>
      <c r="FB183" t="s">
        <v>225</v>
      </c>
      <c r="FC183" s="7">
        <v>67.732951400860699</v>
      </c>
      <c r="FD183" s="357" t="s">
        <v>225</v>
      </c>
      <c r="FE183" s="8">
        <v>486.74331996213806</v>
      </c>
      <c r="FF183" t="s">
        <v>237</v>
      </c>
      <c r="FH183" s="9">
        <v>3869.9022919026947</v>
      </c>
      <c r="FI183" s="9" t="s">
        <v>236</v>
      </c>
      <c r="FJ183">
        <v>1760</v>
      </c>
      <c r="FK183" t="s">
        <v>238</v>
      </c>
      <c r="FL183">
        <v>264</v>
      </c>
      <c r="FM183">
        <v>1975.604469432609</v>
      </c>
      <c r="FN183" s="5" t="s">
        <v>237</v>
      </c>
      <c r="FP183" s="6">
        <v>11.45</v>
      </c>
      <c r="FQ183" t="s">
        <v>275</v>
      </c>
      <c r="FS183" t="s">
        <v>240</v>
      </c>
      <c r="FU183" s="8">
        <v>2</v>
      </c>
      <c r="FV183" s="8">
        <v>10</v>
      </c>
      <c r="FW183" s="8">
        <v>10</v>
      </c>
      <c r="FX183" s="8">
        <v>1</v>
      </c>
      <c r="FY183" s="8">
        <v>3</v>
      </c>
      <c r="FZ183">
        <f t="shared" si="2"/>
        <v>600</v>
      </c>
      <c r="GA183" s="7" t="s">
        <v>326</v>
      </c>
      <c r="GB183" s="7" t="s">
        <v>326</v>
      </c>
      <c r="GC183" s="6">
        <v>1.5</v>
      </c>
      <c r="GD183" s="348" t="s">
        <v>242</v>
      </c>
      <c r="GF183" s="6">
        <v>3.8166666666666661E-2</v>
      </c>
      <c r="GH183" s="7"/>
      <c r="GI183" s="441">
        <v>0.254</v>
      </c>
      <c r="GJ183" s="441">
        <v>0.47699999999999998</v>
      </c>
      <c r="GK183" s="441">
        <v>0.76300000000000001</v>
      </c>
      <c r="GL183" s="441">
        <v>1.9079999999999999</v>
      </c>
      <c r="GM183" s="461" t="s">
        <v>790</v>
      </c>
      <c r="GN183" s="6">
        <v>0.01</v>
      </c>
      <c r="GO183" s="6">
        <v>1.8749999999999999E-2</v>
      </c>
      <c r="GP183" s="6">
        <v>0.03</v>
      </c>
      <c r="GQ183" s="6">
        <v>7.4999999999999997E-2</v>
      </c>
      <c r="GR183" s="461" t="s">
        <v>790</v>
      </c>
      <c r="GU183" t="s">
        <v>243</v>
      </c>
      <c r="GV183" t="s">
        <v>236</v>
      </c>
      <c r="GW183" t="s">
        <v>244</v>
      </c>
      <c r="GX183" t="s">
        <v>236</v>
      </c>
      <c r="GY183" t="s">
        <v>245</v>
      </c>
      <c r="HE183" t="s">
        <v>247</v>
      </c>
      <c r="HF183" t="s">
        <v>225</v>
      </c>
      <c r="HG183" t="s">
        <v>231</v>
      </c>
      <c r="HH183" t="s">
        <v>223</v>
      </c>
      <c r="HI183" t="s">
        <v>247</v>
      </c>
      <c r="HJ183" t="s">
        <v>223</v>
      </c>
      <c r="HK183" t="s">
        <v>248</v>
      </c>
      <c r="HO183" t="s">
        <v>231</v>
      </c>
      <c r="HP183" t="s">
        <v>223</v>
      </c>
      <c r="HQ183" t="s">
        <v>231</v>
      </c>
      <c r="HR183" t="s">
        <v>223</v>
      </c>
      <c r="HU183" t="s">
        <v>231</v>
      </c>
      <c r="HV183" t="s">
        <v>225</v>
      </c>
      <c r="HW183" t="s">
        <v>246</v>
      </c>
      <c r="HX183" t="s">
        <v>236</v>
      </c>
      <c r="IA183" t="s">
        <v>231</v>
      </c>
      <c r="IB183" t="s">
        <v>250</v>
      </c>
      <c r="IC183">
        <v>0.254</v>
      </c>
      <c r="ID183">
        <v>0.47699999999999998</v>
      </c>
      <c r="IE183">
        <v>0.76300000000000001</v>
      </c>
      <c r="IF183">
        <v>1.9079999999999999</v>
      </c>
      <c r="IG183" s="459" t="s">
        <v>451</v>
      </c>
      <c r="IH183" t="s">
        <v>267</v>
      </c>
    </row>
    <row r="184" spans="1:242" ht="159.5" x14ac:dyDescent="0.35">
      <c r="A184" s="310" t="s">
        <v>537</v>
      </c>
      <c r="B184" t="s">
        <v>1252</v>
      </c>
      <c r="C184" s="310" t="s">
        <v>1253</v>
      </c>
      <c r="D184" s="316"/>
      <c r="F184" t="s">
        <v>1254</v>
      </c>
      <c r="I184" s="310" t="s">
        <v>1255</v>
      </c>
      <c r="M184" s="313"/>
      <c r="O184"/>
      <c r="P184" s="381"/>
      <c r="Q184"/>
      <c r="T184" s="8"/>
      <c r="U184"/>
      <c r="V184" s="313"/>
      <c r="W184"/>
      <c r="X184"/>
      <c r="Z184"/>
      <c r="AB184"/>
      <c r="AD184" s="8" t="s">
        <v>230</v>
      </c>
      <c r="AF184" s="8" t="s">
        <v>230</v>
      </c>
      <c r="AG184"/>
      <c r="AH184"/>
      <c r="AI184"/>
      <c r="AJ184" t="s">
        <v>221</v>
      </c>
      <c r="AK184">
        <v>0</v>
      </c>
      <c r="AL184">
        <v>0.75</v>
      </c>
      <c r="AM184" t="s">
        <v>221</v>
      </c>
      <c r="AN184" t="s">
        <v>223</v>
      </c>
      <c r="AO184" t="s">
        <v>221</v>
      </c>
      <c r="AP184" t="s">
        <v>223</v>
      </c>
      <c r="AQ184" t="s">
        <v>221</v>
      </c>
      <c r="AR184" t="s">
        <v>225</v>
      </c>
      <c r="AS184" t="s">
        <v>221</v>
      </c>
      <c r="AT184" t="s">
        <v>225</v>
      </c>
      <c r="AU184" t="s">
        <v>220</v>
      </c>
      <c r="AV184"/>
      <c r="AW184" s="313" t="s">
        <v>220</v>
      </c>
      <c r="AX184" t="s">
        <v>226</v>
      </c>
      <c r="AY184" s="313" t="s">
        <v>220</v>
      </c>
      <c r="AZ184" s="313">
        <v>0.28100000000000003</v>
      </c>
      <c r="BB184" s="313" t="s">
        <v>220</v>
      </c>
      <c r="BC184">
        <v>0.151</v>
      </c>
      <c r="BD184" t="s">
        <v>220</v>
      </c>
      <c r="BE184">
        <v>0.20399999999999999</v>
      </c>
      <c r="BF184" s="2" t="s">
        <v>220</v>
      </c>
      <c r="BG184" s="2" t="s">
        <v>273</v>
      </c>
      <c r="BH184" s="2" t="s">
        <v>274</v>
      </c>
      <c r="BI184" s="2" t="s">
        <v>275</v>
      </c>
      <c r="BM184"/>
      <c r="BP184" s="8"/>
      <c r="BQ184" t="s">
        <v>230</v>
      </c>
      <c r="BR184" t="s">
        <v>230</v>
      </c>
      <c r="BU184" t="s">
        <v>231</v>
      </c>
      <c r="BV184" t="s">
        <v>223</v>
      </c>
      <c r="BW184" t="s">
        <v>232</v>
      </c>
      <c r="BX184" t="s">
        <v>276</v>
      </c>
      <c r="BY184" t="s">
        <v>257</v>
      </c>
      <c r="BZ184">
        <v>0.57999999999999996</v>
      </c>
      <c r="CA184" t="s">
        <v>234</v>
      </c>
      <c r="CF184" t="s">
        <v>220</v>
      </c>
      <c r="CG184">
        <v>0.36799999999999999</v>
      </c>
      <c r="CH184" t="s">
        <v>257</v>
      </c>
      <c r="CI184">
        <v>0.504</v>
      </c>
      <c r="CK184"/>
      <c r="CL184"/>
      <c r="CM184"/>
      <c r="CS184" s="8"/>
      <c r="CW184" t="s">
        <v>227</v>
      </c>
      <c r="CX184" t="s">
        <v>257</v>
      </c>
      <c r="CY184" t="s">
        <v>231</v>
      </c>
      <c r="CZ184" t="s">
        <v>220</v>
      </c>
      <c r="DA184" t="s">
        <v>220</v>
      </c>
      <c r="DB184" t="s">
        <v>227</v>
      </c>
      <c r="DC184"/>
      <c r="DD184"/>
      <c r="DE184"/>
      <c r="DF184"/>
      <c r="DG184"/>
      <c r="DH184" s="323"/>
      <c r="DI184" s="323"/>
      <c r="DJ184" s="323"/>
      <c r="DL184" t="s">
        <v>257</v>
      </c>
      <c r="DM184" t="s">
        <v>220</v>
      </c>
      <c r="DN184" t="s">
        <v>227</v>
      </c>
      <c r="DO184" t="s">
        <v>220</v>
      </c>
      <c r="DP184" t="s">
        <v>220</v>
      </c>
      <c r="DS184" s="309">
        <v>155.25299999999999</v>
      </c>
      <c r="DU184" s="309">
        <v>788.85900000000004</v>
      </c>
      <c r="DW184">
        <v>245</v>
      </c>
      <c r="DX184" t="s">
        <v>238</v>
      </c>
      <c r="DY184">
        <v>214</v>
      </c>
      <c r="DZ184" t="s">
        <v>238</v>
      </c>
      <c r="EA184"/>
      <c r="EB184"/>
      <c r="ED184" s="410"/>
      <c r="EE184" s="1"/>
      <c r="EG184" s="410"/>
      <c r="EI184" s="410"/>
      <c r="EK184" s="1"/>
      <c r="EM184"/>
      <c r="EQ184" s="344"/>
      <c r="EU184" s="344"/>
      <c r="EW184" s="409"/>
      <c r="EY184" s="1"/>
      <c r="FA184">
        <v>601.41</v>
      </c>
      <c r="FB184" t="s">
        <v>225</v>
      </c>
      <c r="FC184" s="7">
        <v>233.56082466252201</v>
      </c>
      <c r="FD184" s="357" t="s">
        <v>236</v>
      </c>
      <c r="FE184" s="8">
        <v>2773.9587587298952</v>
      </c>
      <c r="FF184" t="s">
        <v>237</v>
      </c>
      <c r="FH184" s="9">
        <v>179.34942968627021</v>
      </c>
      <c r="FI184" s="9" t="s">
        <v>225</v>
      </c>
      <c r="FJ184">
        <v>1140</v>
      </c>
      <c r="FK184" t="s">
        <v>238</v>
      </c>
      <c r="FL184">
        <v>192</v>
      </c>
      <c r="FM184">
        <v>8538.8621021484378</v>
      </c>
      <c r="FN184" s="5" t="s">
        <v>237</v>
      </c>
      <c r="FP184" s="6">
        <v>19.2</v>
      </c>
      <c r="FQ184" t="s">
        <v>239</v>
      </c>
      <c r="FS184" t="s">
        <v>240</v>
      </c>
      <c r="FU184" s="8">
        <v>1</v>
      </c>
      <c r="FV184" s="8">
        <v>10</v>
      </c>
      <c r="FW184" s="8">
        <v>10</v>
      </c>
      <c r="FX184" s="8">
        <v>10</v>
      </c>
      <c r="FY184" s="8">
        <v>3</v>
      </c>
      <c r="FZ184">
        <f t="shared" si="2"/>
        <v>3000</v>
      </c>
      <c r="GA184" s="7" t="s">
        <v>241</v>
      </c>
      <c r="GB184" s="7" t="s">
        <v>241</v>
      </c>
      <c r="GC184" s="6">
        <v>30</v>
      </c>
      <c r="GD184" s="348" t="s">
        <v>242</v>
      </c>
      <c r="GF184" s="6">
        <v>2.9891571614378366E-2</v>
      </c>
      <c r="GH184" s="7"/>
      <c r="GI184" s="441">
        <v>0.42699999999999999</v>
      </c>
      <c r="GJ184" s="441">
        <v>0.8</v>
      </c>
      <c r="GK184" s="441">
        <v>1.28</v>
      </c>
      <c r="GL184" s="441">
        <v>3.2</v>
      </c>
      <c r="GM184" s="461" t="s">
        <v>790</v>
      </c>
      <c r="GN184" s="6">
        <v>0.2</v>
      </c>
      <c r="GO184" s="6">
        <v>0.375</v>
      </c>
      <c r="GP184" s="6">
        <v>0.6</v>
      </c>
      <c r="GQ184" s="6">
        <v>1.5</v>
      </c>
      <c r="GR184" s="461" t="s">
        <v>790</v>
      </c>
      <c r="GU184" t="s">
        <v>243</v>
      </c>
      <c r="GV184" t="s">
        <v>236</v>
      </c>
      <c r="GW184" t="s">
        <v>359</v>
      </c>
      <c r="GX184" t="s">
        <v>223</v>
      </c>
      <c r="GY184" t="s">
        <v>245</v>
      </c>
      <c r="HE184" t="s">
        <v>247</v>
      </c>
      <c r="HF184" t="s">
        <v>223</v>
      </c>
      <c r="HG184" t="s">
        <v>231</v>
      </c>
      <c r="HH184" t="s">
        <v>223</v>
      </c>
      <c r="HI184" t="s">
        <v>247</v>
      </c>
      <c r="HJ184" t="s">
        <v>223</v>
      </c>
      <c r="HK184" t="s">
        <v>248</v>
      </c>
      <c r="HO184" t="s">
        <v>231</v>
      </c>
      <c r="HP184" t="s">
        <v>223</v>
      </c>
      <c r="HQ184" t="s">
        <v>231</v>
      </c>
      <c r="HR184" t="s">
        <v>223</v>
      </c>
      <c r="HU184" t="s">
        <v>231</v>
      </c>
      <c r="HV184" t="s">
        <v>223</v>
      </c>
      <c r="HW184" t="s">
        <v>563</v>
      </c>
      <c r="HX184" t="s">
        <v>236</v>
      </c>
      <c r="IA184" t="s">
        <v>231</v>
      </c>
      <c r="IB184" t="s">
        <v>250</v>
      </c>
      <c r="IC184">
        <v>0.42699999999999999</v>
      </c>
      <c r="ID184">
        <v>0.8</v>
      </c>
      <c r="IE184">
        <v>1.28</v>
      </c>
      <c r="IF184">
        <v>3.2</v>
      </c>
      <c r="IG184" s="459" t="s">
        <v>451</v>
      </c>
      <c r="IH184" t="s">
        <v>267</v>
      </c>
    </row>
    <row r="185" spans="1:242" ht="159.5" x14ac:dyDescent="0.35">
      <c r="A185" s="310" t="s">
        <v>537</v>
      </c>
      <c r="B185" t="s">
        <v>1256</v>
      </c>
      <c r="C185" s="310" t="s">
        <v>1257</v>
      </c>
      <c r="D185" s="316"/>
      <c r="F185" t="s">
        <v>1258</v>
      </c>
      <c r="I185" s="310" t="s">
        <v>1259</v>
      </c>
      <c r="M185" s="313"/>
      <c r="O185"/>
      <c r="P185" s="381"/>
      <c r="Q185"/>
      <c r="T185" s="8"/>
      <c r="U185"/>
      <c r="V185" s="313"/>
      <c r="W185"/>
      <c r="X185"/>
      <c r="Z185"/>
      <c r="AB185"/>
      <c r="AD185" s="8" t="s">
        <v>230</v>
      </c>
      <c r="AF185" s="8" t="s">
        <v>230</v>
      </c>
      <c r="AG185"/>
      <c r="AH185"/>
      <c r="AI185"/>
      <c r="AJ185" t="s">
        <v>221</v>
      </c>
      <c r="AK185">
        <v>0.15</v>
      </c>
      <c r="AL185">
        <v>0.52500000000000002</v>
      </c>
      <c r="AM185" t="s">
        <v>221</v>
      </c>
      <c r="AN185" t="s">
        <v>225</v>
      </c>
      <c r="AO185" t="s">
        <v>221</v>
      </c>
      <c r="AP185" t="s">
        <v>225</v>
      </c>
      <c r="AQ185" t="s">
        <v>221</v>
      </c>
      <c r="AR185" t="s">
        <v>223</v>
      </c>
      <c r="AS185" t="s">
        <v>414</v>
      </c>
      <c r="AT185" t="s">
        <v>225</v>
      </c>
      <c r="AU185" t="s">
        <v>220</v>
      </c>
      <c r="AV185"/>
      <c r="AW185" s="313" t="s">
        <v>220</v>
      </c>
      <c r="AX185" t="s">
        <v>226</v>
      </c>
      <c r="AY185" s="313" t="s">
        <v>220</v>
      </c>
      <c r="AZ185" s="313">
        <v>0.105</v>
      </c>
      <c r="BB185" s="313" t="s">
        <v>220</v>
      </c>
      <c r="BC185">
        <v>6.54E-2</v>
      </c>
      <c r="BD185" t="s">
        <v>220</v>
      </c>
      <c r="BE185">
        <v>0.29199999999999998</v>
      </c>
      <c r="BF185" s="2" t="s">
        <v>220</v>
      </c>
      <c r="BG185" s="3" t="s">
        <v>416</v>
      </c>
      <c r="BH185" s="2" t="s">
        <v>274</v>
      </c>
      <c r="BI185" s="2" t="s">
        <v>275</v>
      </c>
      <c r="BM185"/>
      <c r="BP185" s="8"/>
      <c r="BQ185" t="s">
        <v>230</v>
      </c>
      <c r="BR185" t="s">
        <v>230</v>
      </c>
      <c r="BU185" t="s">
        <v>293</v>
      </c>
      <c r="BV185" t="s">
        <v>236</v>
      </c>
      <c r="BW185" t="s">
        <v>232</v>
      </c>
      <c r="BX185" t="s">
        <v>284</v>
      </c>
      <c r="BY185" t="s">
        <v>227</v>
      </c>
      <c r="BZ185">
        <v>0.60299999999999998</v>
      </c>
      <c r="CA185" t="s">
        <v>372</v>
      </c>
      <c r="CF185" t="s">
        <v>220</v>
      </c>
      <c r="CG185">
        <v>0.19400000000000001</v>
      </c>
      <c r="CH185" t="s">
        <v>257</v>
      </c>
      <c r="CI185">
        <v>0.51600000000000001</v>
      </c>
      <c r="CK185"/>
      <c r="CL185"/>
      <c r="CM185"/>
      <c r="CS185" s="8"/>
      <c r="CW185" t="s">
        <v>220</v>
      </c>
      <c r="CX185" t="s">
        <v>220</v>
      </c>
      <c r="CY185" t="s">
        <v>231</v>
      </c>
      <c r="CZ185" t="s">
        <v>220</v>
      </c>
      <c r="DA185" t="s">
        <v>257</v>
      </c>
      <c r="DB185" t="s">
        <v>227</v>
      </c>
      <c r="DC185"/>
      <c r="DD185"/>
      <c r="DE185"/>
      <c r="DF185"/>
      <c r="DG185"/>
      <c r="DH185" s="323"/>
      <c r="DI185" s="323"/>
      <c r="DJ185" s="323"/>
      <c r="DL185" t="s">
        <v>257</v>
      </c>
      <c r="DM185" t="s">
        <v>220</v>
      </c>
      <c r="DN185" t="s">
        <v>227</v>
      </c>
      <c r="DO185" t="s">
        <v>257</v>
      </c>
      <c r="DP185" t="s">
        <v>257</v>
      </c>
      <c r="DS185" s="309">
        <v>35.558</v>
      </c>
      <c r="DU185" s="309">
        <v>391.66899999999998</v>
      </c>
      <c r="DW185">
        <v>1340</v>
      </c>
      <c r="DX185" t="s">
        <v>238</v>
      </c>
      <c r="DY185"/>
      <c r="DZ185" t="s">
        <v>235</v>
      </c>
      <c r="EA185"/>
      <c r="EB185"/>
      <c r="ED185" s="410"/>
      <c r="EE185" s="1"/>
      <c r="EG185" s="410"/>
      <c r="EI185" s="410"/>
      <c r="EK185" s="1"/>
      <c r="EM185"/>
      <c r="EQ185" s="344"/>
      <c r="EU185" s="344"/>
      <c r="EW185" s="409"/>
      <c r="EY185" s="1"/>
      <c r="FA185">
        <v>122.39</v>
      </c>
      <c r="FB185" t="s">
        <v>225</v>
      </c>
      <c r="FC185" s="7">
        <v>91.600954684442939</v>
      </c>
      <c r="FD185" s="357" t="s">
        <v>225</v>
      </c>
      <c r="FE185" s="8">
        <v>1116.3490316592363</v>
      </c>
      <c r="FF185" t="s">
        <v>237</v>
      </c>
      <c r="FH185" s="9">
        <v>3190.8030609514208</v>
      </c>
      <c r="FI185" s="9" t="s">
        <v>225</v>
      </c>
      <c r="FJ185">
        <v>1470</v>
      </c>
      <c r="FK185" t="s">
        <v>238</v>
      </c>
      <c r="FL185">
        <v>4230</v>
      </c>
      <c r="FM185">
        <v>3419.0070790206996</v>
      </c>
      <c r="FN185" s="5" t="s">
        <v>237</v>
      </c>
      <c r="FP185" s="6">
        <v>61.195</v>
      </c>
      <c r="FQ185" t="s">
        <v>275</v>
      </c>
      <c r="FS185" t="s">
        <v>240</v>
      </c>
      <c r="FU185" s="8">
        <v>2</v>
      </c>
      <c r="FV185" s="8">
        <v>10</v>
      </c>
      <c r="FW185" s="8">
        <v>10</v>
      </c>
      <c r="FX185" s="8">
        <v>1</v>
      </c>
      <c r="FY185" s="8">
        <v>3</v>
      </c>
      <c r="FZ185">
        <f t="shared" si="2"/>
        <v>600</v>
      </c>
      <c r="GA185" s="7" t="s">
        <v>241</v>
      </c>
      <c r="GB185" s="7" t="s">
        <v>241</v>
      </c>
      <c r="GC185" s="6">
        <v>30</v>
      </c>
      <c r="GD185" s="348" t="s">
        <v>242</v>
      </c>
      <c r="GF185" s="6">
        <v>0.20398333333333332</v>
      </c>
      <c r="GH185" s="7"/>
      <c r="GI185" s="441">
        <v>1.36</v>
      </c>
      <c r="GJ185" s="441">
        <v>2.5499999999999998</v>
      </c>
      <c r="GK185" s="441">
        <v>4.08</v>
      </c>
      <c r="GL185" s="441">
        <v>10.199</v>
      </c>
      <c r="GM185" s="461" t="s">
        <v>790</v>
      </c>
      <c r="GN185" s="6">
        <v>0.2</v>
      </c>
      <c r="GO185" s="6">
        <v>0.375</v>
      </c>
      <c r="GP185" s="6">
        <v>0.6</v>
      </c>
      <c r="GQ185" s="6">
        <v>1.5</v>
      </c>
      <c r="GR185" s="461" t="s">
        <v>790</v>
      </c>
      <c r="GU185" t="s">
        <v>243</v>
      </c>
      <c r="GV185" t="s">
        <v>225</v>
      </c>
      <c r="GW185" t="s">
        <v>244</v>
      </c>
      <c r="GX185" t="s">
        <v>236</v>
      </c>
      <c r="GY185" t="s">
        <v>245</v>
      </c>
      <c r="HE185" t="s">
        <v>384</v>
      </c>
      <c r="HF185" t="s">
        <v>223</v>
      </c>
      <c r="HG185" t="s">
        <v>231</v>
      </c>
      <c r="HH185" t="s">
        <v>223</v>
      </c>
      <c r="HI185" t="s">
        <v>247</v>
      </c>
      <c r="HJ185" t="s">
        <v>223</v>
      </c>
      <c r="HK185" t="s">
        <v>248</v>
      </c>
      <c r="HO185" t="s">
        <v>231</v>
      </c>
      <c r="HP185" t="s">
        <v>223</v>
      </c>
      <c r="HQ185" t="s">
        <v>231</v>
      </c>
      <c r="HR185" t="s">
        <v>223</v>
      </c>
      <c r="HU185" t="s">
        <v>231</v>
      </c>
      <c r="HV185" t="s">
        <v>223</v>
      </c>
      <c r="HW185" t="s">
        <v>246</v>
      </c>
      <c r="HX185" t="s">
        <v>236</v>
      </c>
      <c r="IA185" t="s">
        <v>231</v>
      </c>
      <c r="IB185" t="s">
        <v>250</v>
      </c>
      <c r="IC185">
        <v>1.36</v>
      </c>
      <c r="ID185">
        <v>2.5499999999999998</v>
      </c>
      <c r="IE185">
        <v>4.08</v>
      </c>
      <c r="IF185">
        <v>10.199</v>
      </c>
      <c r="IG185" s="459" t="s">
        <v>451</v>
      </c>
      <c r="IH185" t="s">
        <v>267</v>
      </c>
    </row>
    <row r="186" spans="1:242" ht="159.5" x14ac:dyDescent="0.35">
      <c r="A186" s="310" t="s">
        <v>537</v>
      </c>
      <c r="B186" t="s">
        <v>1260</v>
      </c>
      <c r="C186" s="310" t="s">
        <v>1261</v>
      </c>
      <c r="D186" s="316"/>
      <c r="F186" t="s">
        <v>1262</v>
      </c>
      <c r="I186" s="310" t="s">
        <v>1259</v>
      </c>
      <c r="L186" s="313"/>
      <c r="M186" s="313"/>
      <c r="O186"/>
      <c r="P186" s="384"/>
      <c r="Q186"/>
      <c r="T186" s="388"/>
      <c r="U186"/>
      <c r="V186" s="313"/>
      <c r="W186"/>
      <c r="X186"/>
      <c r="Z186"/>
      <c r="AB186"/>
      <c r="AD186" s="8" t="s">
        <v>230</v>
      </c>
      <c r="AF186" s="8" t="s">
        <v>230</v>
      </c>
      <c r="AG186"/>
      <c r="AH186"/>
      <c r="AI186"/>
      <c r="AJ186" t="s">
        <v>221</v>
      </c>
      <c r="AK186">
        <v>0.15</v>
      </c>
      <c r="AL186">
        <v>0.32500000000000001</v>
      </c>
      <c r="AM186" t="s">
        <v>221</v>
      </c>
      <c r="AN186" t="s">
        <v>236</v>
      </c>
      <c r="AO186" t="s">
        <v>221</v>
      </c>
      <c r="AP186" t="s">
        <v>236</v>
      </c>
      <c r="AQ186" t="s">
        <v>221</v>
      </c>
      <c r="AR186" t="s">
        <v>223</v>
      </c>
      <c r="AS186" t="s">
        <v>414</v>
      </c>
      <c r="AT186" t="s">
        <v>225</v>
      </c>
      <c r="AU186" t="s">
        <v>220</v>
      </c>
      <c r="AV186"/>
      <c r="AW186" s="313" t="s">
        <v>220</v>
      </c>
      <c r="AX186" t="s">
        <v>226</v>
      </c>
      <c r="AY186" s="313" t="s">
        <v>220</v>
      </c>
      <c r="AZ186" s="313">
        <v>0.105</v>
      </c>
      <c r="BB186" s="313" t="s">
        <v>220</v>
      </c>
      <c r="BC186">
        <v>6.54E-2</v>
      </c>
      <c r="BD186" t="s">
        <v>220</v>
      </c>
      <c r="BE186">
        <v>0.21099999999999999</v>
      </c>
      <c r="BF186" s="2" t="s">
        <v>220</v>
      </c>
      <c r="BG186" s="2" t="s">
        <v>653</v>
      </c>
      <c r="BH186" s="2" t="s">
        <v>274</v>
      </c>
      <c r="BI186" s="2" t="s">
        <v>275</v>
      </c>
      <c r="BM186"/>
      <c r="BP186" s="8"/>
      <c r="BQ186" t="s">
        <v>230</v>
      </c>
      <c r="BR186" t="s">
        <v>230</v>
      </c>
      <c r="BU186" t="s">
        <v>293</v>
      </c>
      <c r="BV186" t="s">
        <v>236</v>
      </c>
      <c r="BW186" t="s">
        <v>232</v>
      </c>
      <c r="BX186" t="s">
        <v>276</v>
      </c>
      <c r="BY186" t="s">
        <v>227</v>
      </c>
      <c r="BZ186">
        <v>0.60299999999999998</v>
      </c>
      <c r="CA186" t="s">
        <v>372</v>
      </c>
      <c r="CF186" t="s">
        <v>220</v>
      </c>
      <c r="CG186">
        <v>0.13700000000000001</v>
      </c>
      <c r="CH186" t="s">
        <v>220</v>
      </c>
      <c r="CI186">
        <v>0.48599999999999999</v>
      </c>
      <c r="CK186"/>
      <c r="CL186"/>
      <c r="CM186"/>
      <c r="CS186" s="8"/>
      <c r="CW186" t="s">
        <v>220</v>
      </c>
      <c r="CX186" t="s">
        <v>220</v>
      </c>
      <c r="CY186" t="s">
        <v>231</v>
      </c>
      <c r="CZ186" t="s">
        <v>220</v>
      </c>
      <c r="DA186" t="s">
        <v>257</v>
      </c>
      <c r="DB186" t="s">
        <v>227</v>
      </c>
      <c r="DC186"/>
      <c r="DD186"/>
      <c r="DE186"/>
      <c r="DF186"/>
      <c r="DG186"/>
      <c r="DH186" s="323"/>
      <c r="DI186" s="323"/>
      <c r="DJ186" s="323"/>
      <c r="DL186" t="s">
        <v>257</v>
      </c>
      <c r="DM186" t="s">
        <v>220</v>
      </c>
      <c r="DN186" t="s">
        <v>227</v>
      </c>
      <c r="DO186" t="s">
        <v>257</v>
      </c>
      <c r="DP186" t="s">
        <v>257</v>
      </c>
      <c r="DS186" s="309">
        <v>48.98</v>
      </c>
      <c r="DU186" s="309">
        <v>564.995</v>
      </c>
      <c r="DW186">
        <v>979</v>
      </c>
      <c r="DX186" t="s">
        <v>238</v>
      </c>
      <c r="DY186">
        <v>897</v>
      </c>
      <c r="DZ186" t="s">
        <v>238</v>
      </c>
      <c r="EA186"/>
      <c r="EB186"/>
      <c r="ED186" s="410"/>
      <c r="EE186" s="1"/>
      <c r="EG186" s="410"/>
      <c r="EI186" s="410"/>
      <c r="EK186" s="1"/>
      <c r="EM186"/>
      <c r="EQ186" s="344"/>
      <c r="EU186" s="344"/>
      <c r="EW186" s="409"/>
      <c r="EY186" s="1"/>
      <c r="FA186">
        <v>122.39</v>
      </c>
      <c r="FB186" t="s">
        <v>225</v>
      </c>
      <c r="FC186" s="7">
        <v>128.88429491602204</v>
      </c>
      <c r="FD186" s="357" t="s">
        <v>225</v>
      </c>
      <c r="FE186" s="8">
        <v>1116.3490316592363</v>
      </c>
      <c r="FF186" t="s">
        <v>237</v>
      </c>
      <c r="FH186" s="9">
        <v>2258.3955011455532</v>
      </c>
      <c r="FI186" s="9" t="s">
        <v>225</v>
      </c>
      <c r="FJ186">
        <v>1460</v>
      </c>
      <c r="FK186" t="s">
        <v>238</v>
      </c>
      <c r="FL186">
        <v>4230</v>
      </c>
      <c r="FM186">
        <v>3419.0070790206996</v>
      </c>
      <c r="FN186" s="5" t="s">
        <v>237</v>
      </c>
      <c r="FP186" s="6">
        <v>61.195</v>
      </c>
      <c r="FQ186" t="s">
        <v>275</v>
      </c>
      <c r="FS186" t="s">
        <v>240</v>
      </c>
      <c r="FU186" s="8">
        <v>2</v>
      </c>
      <c r="FV186" s="8">
        <v>10</v>
      </c>
      <c r="FW186" s="8">
        <v>10</v>
      </c>
      <c r="FX186" s="8">
        <v>1</v>
      </c>
      <c r="FY186" s="8">
        <v>3</v>
      </c>
      <c r="FZ186">
        <f t="shared" si="2"/>
        <v>600</v>
      </c>
      <c r="GA186" s="7" t="s">
        <v>241</v>
      </c>
      <c r="GB186" s="7" t="s">
        <v>241</v>
      </c>
      <c r="GC186" s="6">
        <v>30</v>
      </c>
      <c r="GD186" s="348" t="s">
        <v>242</v>
      </c>
      <c r="GF186" s="6">
        <v>0.20398333333333332</v>
      </c>
      <c r="GH186" s="7"/>
      <c r="GI186" s="441">
        <v>1.36</v>
      </c>
      <c r="GJ186" s="441">
        <v>2.5499999999999998</v>
      </c>
      <c r="GK186" s="441">
        <v>4.08</v>
      </c>
      <c r="GL186" s="441">
        <v>10.199</v>
      </c>
      <c r="GM186" s="461" t="s">
        <v>790</v>
      </c>
      <c r="GN186" s="6">
        <v>0.2</v>
      </c>
      <c r="GO186" s="6">
        <v>0.375</v>
      </c>
      <c r="GP186" s="6">
        <v>0.6</v>
      </c>
      <c r="GQ186" s="6">
        <v>1.5</v>
      </c>
      <c r="GR186" s="461" t="s">
        <v>790</v>
      </c>
      <c r="GU186" t="s">
        <v>243</v>
      </c>
      <c r="GV186" t="s">
        <v>225</v>
      </c>
      <c r="GW186" t="s">
        <v>244</v>
      </c>
      <c r="GX186" t="s">
        <v>236</v>
      </c>
      <c r="GY186" t="s">
        <v>245</v>
      </c>
      <c r="HE186" t="s">
        <v>384</v>
      </c>
      <c r="HF186" t="s">
        <v>223</v>
      </c>
      <c r="HG186" t="s">
        <v>231</v>
      </c>
      <c r="HH186" t="s">
        <v>223</v>
      </c>
      <c r="HI186" t="s">
        <v>247</v>
      </c>
      <c r="HJ186" t="s">
        <v>223</v>
      </c>
      <c r="HK186" t="s">
        <v>248</v>
      </c>
      <c r="HO186" t="s">
        <v>231</v>
      </c>
      <c r="HP186" t="s">
        <v>223</v>
      </c>
      <c r="HQ186" t="s">
        <v>231</v>
      </c>
      <c r="HR186" t="s">
        <v>223</v>
      </c>
      <c r="HU186" t="s">
        <v>231</v>
      </c>
      <c r="HV186" t="s">
        <v>223</v>
      </c>
      <c r="HW186" t="s">
        <v>246</v>
      </c>
      <c r="HX186" t="s">
        <v>236</v>
      </c>
      <c r="IA186" t="s">
        <v>231</v>
      </c>
      <c r="IB186" t="s">
        <v>250</v>
      </c>
      <c r="IC186">
        <v>1.36</v>
      </c>
      <c r="ID186">
        <v>2.5499999999999998</v>
      </c>
      <c r="IE186">
        <v>4.08</v>
      </c>
      <c r="IF186">
        <v>10.199</v>
      </c>
      <c r="IG186" s="459" t="s">
        <v>451</v>
      </c>
      <c r="IH186" t="s">
        <v>267</v>
      </c>
    </row>
    <row r="187" spans="1:242" ht="159.5" x14ac:dyDescent="0.35">
      <c r="A187" s="310" t="s">
        <v>537</v>
      </c>
      <c r="B187" t="s">
        <v>1263</v>
      </c>
      <c r="C187" s="310" t="s">
        <v>1264</v>
      </c>
      <c r="D187" s="316"/>
      <c r="F187" t="s">
        <v>1265</v>
      </c>
      <c r="I187" s="310" t="s">
        <v>1266</v>
      </c>
      <c r="M187" s="313"/>
      <c r="O187"/>
      <c r="P187" s="381"/>
      <c r="Q187"/>
      <c r="T187" s="8"/>
      <c r="U187"/>
      <c r="V187" s="313"/>
      <c r="W187"/>
      <c r="X187"/>
      <c r="Z187"/>
      <c r="AB187"/>
      <c r="AD187" s="8" t="s">
        <v>230</v>
      </c>
      <c r="AF187" s="8" t="s">
        <v>230</v>
      </c>
      <c r="AG187"/>
      <c r="AH187"/>
      <c r="AI187"/>
      <c r="AJ187" t="s">
        <v>221</v>
      </c>
      <c r="AK187">
        <v>0</v>
      </c>
      <c r="AL187">
        <v>0.9</v>
      </c>
      <c r="AM187" t="s">
        <v>221</v>
      </c>
      <c r="AN187" t="s">
        <v>223</v>
      </c>
      <c r="AO187" t="s">
        <v>221</v>
      </c>
      <c r="AP187" t="s">
        <v>223</v>
      </c>
      <c r="AQ187" t="s">
        <v>221</v>
      </c>
      <c r="AR187" t="s">
        <v>223</v>
      </c>
      <c r="AS187" t="s">
        <v>221</v>
      </c>
      <c r="AT187" t="s">
        <v>223</v>
      </c>
      <c r="AU187" t="s">
        <v>220</v>
      </c>
      <c r="AV187"/>
      <c r="AW187" s="313" t="s">
        <v>220</v>
      </c>
      <c r="AX187" t="s">
        <v>226</v>
      </c>
      <c r="AY187" s="313" t="s">
        <v>220</v>
      </c>
      <c r="AZ187" s="313">
        <v>0.154</v>
      </c>
      <c r="BB187" s="313" t="s">
        <v>220</v>
      </c>
      <c r="BC187">
        <v>8.2000000000000003E-2</v>
      </c>
      <c r="BD187" t="s">
        <v>220</v>
      </c>
      <c r="BE187">
        <v>0.152</v>
      </c>
      <c r="BF187" s="2" t="s">
        <v>220</v>
      </c>
      <c r="BG187" s="2" t="s">
        <v>273</v>
      </c>
      <c r="BH187" s="2" t="s">
        <v>274</v>
      </c>
      <c r="BI187" s="2" t="s">
        <v>275</v>
      </c>
      <c r="BM187"/>
      <c r="BP187" s="8"/>
      <c r="BQ187" t="s">
        <v>230</v>
      </c>
      <c r="BR187" t="s">
        <v>230</v>
      </c>
      <c r="BU187" t="s">
        <v>231</v>
      </c>
      <c r="BV187" t="s">
        <v>223</v>
      </c>
      <c r="BW187" t="s">
        <v>293</v>
      </c>
      <c r="BX187" t="s">
        <v>458</v>
      </c>
      <c r="BY187" t="s">
        <v>257</v>
      </c>
      <c r="BZ187">
        <v>0.57499999999999996</v>
      </c>
      <c r="CA187" t="s">
        <v>234</v>
      </c>
      <c r="CF187" t="s">
        <v>220</v>
      </c>
      <c r="CG187">
        <v>0.35199999999999998</v>
      </c>
      <c r="CH187" t="s">
        <v>220</v>
      </c>
      <c r="CI187">
        <v>0.438</v>
      </c>
      <c r="CK187"/>
      <c r="CL187"/>
      <c r="CM187"/>
      <c r="CS187" s="8"/>
      <c r="CW187" t="s">
        <v>220</v>
      </c>
      <c r="CX187" t="s">
        <v>220</v>
      </c>
      <c r="CY187" t="s">
        <v>317</v>
      </c>
      <c r="CZ187" t="s">
        <v>220</v>
      </c>
      <c r="DA187" t="s">
        <v>220</v>
      </c>
      <c r="DB187" t="s">
        <v>227</v>
      </c>
      <c r="DC187"/>
      <c r="DD187"/>
      <c r="DE187"/>
      <c r="DF187"/>
      <c r="DG187"/>
      <c r="DH187" s="323"/>
      <c r="DI187" s="323"/>
      <c r="DJ187" s="323"/>
      <c r="DL187" t="s">
        <v>257</v>
      </c>
      <c r="DM187" t="s">
        <v>220</v>
      </c>
      <c r="DN187" t="s">
        <v>227</v>
      </c>
      <c r="DO187" t="s">
        <v>257</v>
      </c>
      <c r="DP187" t="s">
        <v>257</v>
      </c>
      <c r="DS187" s="309">
        <v>147.88</v>
      </c>
      <c r="DU187" s="309">
        <v>827.38599999999997</v>
      </c>
      <c r="DW187">
        <v>313</v>
      </c>
      <c r="DX187" t="s">
        <v>238</v>
      </c>
      <c r="DY187">
        <v>426</v>
      </c>
      <c r="DZ187" t="s">
        <v>238</v>
      </c>
      <c r="EA187"/>
      <c r="EB187"/>
      <c r="ED187" s="410"/>
      <c r="EE187" s="1"/>
      <c r="EG187" s="410"/>
      <c r="EI187" s="410"/>
      <c r="EK187" s="1"/>
      <c r="EM187"/>
      <c r="EQ187" s="344"/>
      <c r="EU187" s="344"/>
      <c r="EW187" s="409"/>
      <c r="EY187" s="1"/>
      <c r="FA187">
        <v>173.4</v>
      </c>
      <c r="FB187" t="s">
        <v>225</v>
      </c>
      <c r="FC187" s="7">
        <v>104.52014414584366</v>
      </c>
      <c r="FD187" s="357" t="s">
        <v>225</v>
      </c>
      <c r="FE187" s="8">
        <v>973.6435697988868</v>
      </c>
      <c r="FF187" t="s">
        <v>237</v>
      </c>
      <c r="FH187" s="9">
        <v>4258.9250766720716</v>
      </c>
      <c r="FI187" s="9" t="s">
        <v>225</v>
      </c>
      <c r="FJ187">
        <v>1490</v>
      </c>
      <c r="FK187" t="s">
        <v>238</v>
      </c>
      <c r="FL187">
        <v>182</v>
      </c>
      <c r="FM187">
        <v>6520.7867851357887</v>
      </c>
      <c r="FN187" s="5" t="s">
        <v>237</v>
      </c>
      <c r="FP187" s="6">
        <v>18.2</v>
      </c>
      <c r="FQ187" t="s">
        <v>239</v>
      </c>
      <c r="FS187" t="s">
        <v>240</v>
      </c>
      <c r="FU187" s="8">
        <v>1</v>
      </c>
      <c r="FV187" s="8">
        <v>10</v>
      </c>
      <c r="FW187" s="8">
        <v>10</v>
      </c>
      <c r="FX187" s="8">
        <v>10</v>
      </c>
      <c r="FY187" s="8">
        <v>3</v>
      </c>
      <c r="FZ187">
        <f t="shared" si="2"/>
        <v>3000</v>
      </c>
      <c r="GA187" s="7" t="s">
        <v>326</v>
      </c>
      <c r="GB187" s="7" t="s">
        <v>326</v>
      </c>
      <c r="GC187" s="6">
        <v>1.5</v>
      </c>
      <c r="GD187" s="348" t="s">
        <v>242</v>
      </c>
      <c r="GF187" s="6">
        <v>6.0666666666666667E-2</v>
      </c>
      <c r="GH187" s="7"/>
      <c r="GI187" s="441">
        <v>0.40400000000000003</v>
      </c>
      <c r="GJ187" s="441">
        <v>0.75800000000000001</v>
      </c>
      <c r="GK187" s="441">
        <v>1.2130000000000001</v>
      </c>
      <c r="GL187" s="441">
        <v>3.0329999999999999</v>
      </c>
      <c r="GM187" s="461" t="s">
        <v>790</v>
      </c>
      <c r="GN187" s="6">
        <v>0.01</v>
      </c>
      <c r="GO187" s="6">
        <v>1.8749999999999999E-2</v>
      </c>
      <c r="GP187" s="6">
        <v>0.03</v>
      </c>
      <c r="GQ187" s="6">
        <v>7.4999999999999997E-2</v>
      </c>
      <c r="GR187" s="461" t="s">
        <v>790</v>
      </c>
      <c r="GU187" t="s">
        <v>243</v>
      </c>
      <c r="GV187" t="s">
        <v>236</v>
      </c>
      <c r="GW187" t="s">
        <v>244</v>
      </c>
      <c r="GX187" t="s">
        <v>236</v>
      </c>
      <c r="GY187" t="s">
        <v>245</v>
      </c>
      <c r="HE187" t="s">
        <v>247</v>
      </c>
      <c r="HF187" t="s">
        <v>223</v>
      </c>
      <c r="HG187" t="s">
        <v>231</v>
      </c>
      <c r="HH187" t="s">
        <v>225</v>
      </c>
      <c r="HI187" t="s">
        <v>247</v>
      </c>
      <c r="HJ187" t="s">
        <v>223</v>
      </c>
      <c r="HK187" t="s">
        <v>248</v>
      </c>
      <c r="HO187" t="s">
        <v>231</v>
      </c>
      <c r="HP187" t="s">
        <v>223</v>
      </c>
      <c r="HQ187" t="s">
        <v>231</v>
      </c>
      <c r="HR187" t="s">
        <v>223</v>
      </c>
      <c r="HU187" t="s">
        <v>231</v>
      </c>
      <c r="HV187" t="s">
        <v>223</v>
      </c>
      <c r="HW187" t="s">
        <v>563</v>
      </c>
      <c r="HX187" t="s">
        <v>236</v>
      </c>
      <c r="IA187" t="s">
        <v>231</v>
      </c>
      <c r="IB187" t="s">
        <v>250</v>
      </c>
      <c r="IC187">
        <v>0.40400000000000003</v>
      </c>
      <c r="ID187">
        <v>0.75800000000000001</v>
      </c>
      <c r="IE187">
        <v>1.2130000000000001</v>
      </c>
      <c r="IF187">
        <v>3.0329999999999999</v>
      </c>
      <c r="IG187" s="459" t="s">
        <v>451</v>
      </c>
      <c r="IH187" t="s">
        <v>267</v>
      </c>
    </row>
    <row r="188" spans="1:242" ht="159.5" x14ac:dyDescent="0.35">
      <c r="A188" s="310" t="s">
        <v>537</v>
      </c>
      <c r="B188" t="s">
        <v>1267</v>
      </c>
      <c r="C188" s="310" t="s">
        <v>1268</v>
      </c>
      <c r="D188" s="316"/>
      <c r="F188" t="s">
        <v>1269</v>
      </c>
      <c r="I188" s="310" t="s">
        <v>1270</v>
      </c>
      <c r="M188" s="313"/>
      <c r="O188"/>
      <c r="P188" s="382"/>
      <c r="Q188"/>
      <c r="U188"/>
      <c r="V188" s="313"/>
      <c r="W188"/>
      <c r="X188"/>
      <c r="Z188"/>
      <c r="AB188"/>
      <c r="AD188" s="8" t="s">
        <v>230</v>
      </c>
      <c r="AF188" s="8" t="s">
        <v>230</v>
      </c>
      <c r="AG188"/>
      <c r="AH188"/>
      <c r="AI188"/>
      <c r="AJ188" t="s">
        <v>221</v>
      </c>
      <c r="AK188">
        <v>0</v>
      </c>
      <c r="AL188">
        <v>0.6</v>
      </c>
      <c r="AM188" t="s">
        <v>221</v>
      </c>
      <c r="AN188" t="s">
        <v>225</v>
      </c>
      <c r="AO188" t="s">
        <v>221</v>
      </c>
      <c r="AP188" t="s">
        <v>225</v>
      </c>
      <c r="AQ188" t="s">
        <v>221</v>
      </c>
      <c r="AR188" t="s">
        <v>225</v>
      </c>
      <c r="AS188" t="s">
        <v>221</v>
      </c>
      <c r="AT188" t="s">
        <v>225</v>
      </c>
      <c r="AU188" t="s">
        <v>220</v>
      </c>
      <c r="AV188"/>
      <c r="AW188" s="313" t="s">
        <v>220</v>
      </c>
      <c r="AX188" t="s">
        <v>226</v>
      </c>
      <c r="AY188" s="313" t="s">
        <v>220</v>
      </c>
      <c r="AZ188" s="313">
        <v>0.10299999999999999</v>
      </c>
      <c r="BB188" s="313" t="s">
        <v>220</v>
      </c>
      <c r="BC188">
        <v>3.9399999999999998E-2</v>
      </c>
      <c r="BD188" t="s">
        <v>220</v>
      </c>
      <c r="BE188">
        <v>0.155</v>
      </c>
      <c r="BF188" s="2" t="s">
        <v>220</v>
      </c>
      <c r="BG188" s="2" t="s">
        <v>273</v>
      </c>
      <c r="BH188" s="2" t="s">
        <v>274</v>
      </c>
      <c r="BI188" s="2" t="s">
        <v>275</v>
      </c>
      <c r="BM188"/>
      <c r="BP188" s="8"/>
      <c r="BQ188" t="s">
        <v>230</v>
      </c>
      <c r="BR188" t="s">
        <v>230</v>
      </c>
      <c r="BU188" t="s">
        <v>317</v>
      </c>
      <c r="BV188" t="s">
        <v>225</v>
      </c>
      <c r="BW188" t="s">
        <v>232</v>
      </c>
      <c r="BX188" t="s">
        <v>276</v>
      </c>
      <c r="BY188" t="s">
        <v>220</v>
      </c>
      <c r="BZ188">
        <v>0.45500000000000002</v>
      </c>
      <c r="CA188" t="s">
        <v>372</v>
      </c>
      <c r="CF188" t="s">
        <v>220</v>
      </c>
      <c r="CG188">
        <v>0.36</v>
      </c>
      <c r="CH188" t="s">
        <v>220</v>
      </c>
      <c r="CI188">
        <v>0.42</v>
      </c>
      <c r="CK188"/>
      <c r="CL188"/>
      <c r="CM188"/>
      <c r="CS188" s="8"/>
      <c r="CW188" t="s">
        <v>220</v>
      </c>
      <c r="CX188" t="s">
        <v>220</v>
      </c>
      <c r="CY188" t="s">
        <v>317</v>
      </c>
      <c r="CZ188" t="s">
        <v>220</v>
      </c>
      <c r="DA188" t="s">
        <v>257</v>
      </c>
      <c r="DB188" t="s">
        <v>227</v>
      </c>
      <c r="DC188"/>
      <c r="DD188"/>
      <c r="DE188"/>
      <c r="DF188"/>
      <c r="DG188"/>
      <c r="DH188" s="323"/>
      <c r="DI188" s="323"/>
      <c r="DJ188" s="323"/>
      <c r="DL188" t="s">
        <v>257</v>
      </c>
      <c r="DM188" t="s">
        <v>220</v>
      </c>
      <c r="DN188" t="s">
        <v>227</v>
      </c>
      <c r="DO188" t="s">
        <v>257</v>
      </c>
      <c r="DP188" t="s">
        <v>257</v>
      </c>
      <c r="DS188" s="309">
        <v>109.538</v>
      </c>
      <c r="DU188" s="338">
        <v>1061.8800000000001</v>
      </c>
      <c r="DV188" s="8" t="s">
        <v>394</v>
      </c>
      <c r="DW188">
        <v>1140</v>
      </c>
      <c r="DX188" t="s">
        <v>238</v>
      </c>
      <c r="DY188"/>
      <c r="DZ188" t="s">
        <v>235</v>
      </c>
      <c r="EA188"/>
      <c r="EB188"/>
      <c r="ED188" s="410"/>
      <c r="EE188" s="1"/>
      <c r="EG188" s="410"/>
      <c r="EI188" s="410"/>
      <c r="EK188" s="1"/>
      <c r="EM188"/>
      <c r="EQ188" s="344"/>
      <c r="EU188" s="344"/>
      <c r="EW188" s="409"/>
      <c r="EY188" s="1"/>
      <c r="FA188">
        <v>32.369999999999997</v>
      </c>
      <c r="FB188" t="s">
        <v>225</v>
      </c>
      <c r="FC188" s="7">
        <v>111.91801530423027</v>
      </c>
      <c r="FD188" s="357" t="s">
        <v>236</v>
      </c>
      <c r="FE188" s="8">
        <v>2309.404458919274</v>
      </c>
      <c r="FF188" t="s">
        <v>237</v>
      </c>
      <c r="FH188" s="9">
        <v>14625.13891957789</v>
      </c>
      <c r="FI188" s="9" t="s">
        <v>236</v>
      </c>
      <c r="FJ188">
        <v>1780</v>
      </c>
      <c r="FK188" t="s">
        <v>238</v>
      </c>
      <c r="FL188">
        <v>300</v>
      </c>
      <c r="FM188">
        <v>8669.6187575821823</v>
      </c>
      <c r="FN188" s="5" t="s">
        <v>237</v>
      </c>
      <c r="FP188" s="6">
        <v>16.184999999999999</v>
      </c>
      <c r="FQ188" t="s">
        <v>275</v>
      </c>
      <c r="FS188" t="s">
        <v>240</v>
      </c>
      <c r="FU188" s="8">
        <v>2</v>
      </c>
      <c r="FV188" s="8">
        <v>10</v>
      </c>
      <c r="FW188" s="8">
        <v>10</v>
      </c>
      <c r="FX188" s="8">
        <v>1</v>
      </c>
      <c r="FY188" s="8">
        <v>3</v>
      </c>
      <c r="FZ188">
        <f t="shared" si="2"/>
        <v>600</v>
      </c>
      <c r="GA188" s="7" t="s">
        <v>326</v>
      </c>
      <c r="GB188" s="7" t="s">
        <v>326</v>
      </c>
      <c r="GC188" s="6">
        <v>1.5</v>
      </c>
      <c r="GD188" s="348" t="s">
        <v>242</v>
      </c>
      <c r="GF188" s="6">
        <v>5.3949999999999998E-2</v>
      </c>
      <c r="GH188" s="7"/>
      <c r="GI188" s="441">
        <v>0.36</v>
      </c>
      <c r="GJ188" s="441">
        <v>0.67400000000000004</v>
      </c>
      <c r="GK188" s="441">
        <v>1.079</v>
      </c>
      <c r="GL188" s="441">
        <v>2.698</v>
      </c>
      <c r="GM188" s="461" t="s">
        <v>790</v>
      </c>
      <c r="GN188" s="6">
        <v>0.01</v>
      </c>
      <c r="GO188" s="6">
        <v>1.8749999999999999E-2</v>
      </c>
      <c r="GP188" s="6">
        <v>0.03</v>
      </c>
      <c r="GQ188" s="6">
        <v>7.4999999999999997E-2</v>
      </c>
      <c r="GR188" s="461" t="s">
        <v>790</v>
      </c>
      <c r="GU188" t="s">
        <v>365</v>
      </c>
      <c r="GV188" t="s">
        <v>223</v>
      </c>
      <c r="GW188" t="s">
        <v>244</v>
      </c>
      <c r="GX188" t="s">
        <v>236</v>
      </c>
      <c r="GY188" t="s">
        <v>245</v>
      </c>
      <c r="HE188" t="s">
        <v>247</v>
      </c>
      <c r="HF188" t="s">
        <v>223</v>
      </c>
      <c r="HG188" t="s">
        <v>231</v>
      </c>
      <c r="HH188" t="s">
        <v>223</v>
      </c>
      <c r="HI188" t="s">
        <v>247</v>
      </c>
      <c r="HJ188" t="s">
        <v>223</v>
      </c>
      <c r="HK188" t="s">
        <v>248</v>
      </c>
      <c r="HO188" t="s">
        <v>231</v>
      </c>
      <c r="HP188" t="s">
        <v>223</v>
      </c>
      <c r="HQ188" t="s">
        <v>231</v>
      </c>
      <c r="HR188" t="s">
        <v>223</v>
      </c>
      <c r="HU188" t="s">
        <v>231</v>
      </c>
      <c r="HV188" t="s">
        <v>223</v>
      </c>
      <c r="HW188" t="s">
        <v>246</v>
      </c>
      <c r="HX188" t="s">
        <v>236</v>
      </c>
      <c r="IA188" t="s">
        <v>231</v>
      </c>
      <c r="IB188" t="s">
        <v>250</v>
      </c>
      <c r="IC188">
        <v>0.36</v>
      </c>
      <c r="ID188">
        <v>0.67400000000000004</v>
      </c>
      <c r="IE188">
        <v>1.079</v>
      </c>
      <c r="IF188">
        <v>2.698</v>
      </c>
      <c r="IG188" s="459" t="s">
        <v>451</v>
      </c>
      <c r="IH188" t="s">
        <v>267</v>
      </c>
    </row>
    <row r="189" spans="1:242" ht="159.5" x14ac:dyDescent="0.35">
      <c r="A189" s="310" t="s">
        <v>537</v>
      </c>
      <c r="B189" t="s">
        <v>1271</v>
      </c>
      <c r="C189" s="310" t="s">
        <v>1272</v>
      </c>
      <c r="D189" s="316"/>
      <c r="F189" t="s">
        <v>1273</v>
      </c>
      <c r="I189" s="310" t="s">
        <v>1274</v>
      </c>
      <c r="M189" s="313"/>
      <c r="O189"/>
      <c r="P189" s="381"/>
      <c r="Q189"/>
      <c r="T189" s="8"/>
      <c r="U189"/>
      <c r="V189" s="313"/>
      <c r="W189"/>
      <c r="X189"/>
      <c r="Z189"/>
      <c r="AB189"/>
      <c r="AD189" s="8" t="s">
        <v>230</v>
      </c>
      <c r="AF189" s="8" t="s">
        <v>230</v>
      </c>
      <c r="AG189"/>
      <c r="AH189"/>
      <c r="AI189"/>
      <c r="AJ189" t="s">
        <v>221</v>
      </c>
      <c r="AK189">
        <v>0</v>
      </c>
      <c r="AL189">
        <v>0.75</v>
      </c>
      <c r="AM189" t="s">
        <v>221</v>
      </c>
      <c r="AN189" t="s">
        <v>223</v>
      </c>
      <c r="AO189" t="s">
        <v>221</v>
      </c>
      <c r="AP189" t="s">
        <v>223</v>
      </c>
      <c r="AQ189" t="s">
        <v>221</v>
      </c>
      <c r="AR189" t="s">
        <v>225</v>
      </c>
      <c r="AS189" t="s">
        <v>221</v>
      </c>
      <c r="AT189" t="s">
        <v>225</v>
      </c>
      <c r="AU189" t="s">
        <v>220</v>
      </c>
      <c r="AV189"/>
      <c r="AW189" s="313" t="s">
        <v>220</v>
      </c>
      <c r="AX189" t="s">
        <v>226</v>
      </c>
      <c r="AY189" s="313" t="s">
        <v>220</v>
      </c>
      <c r="AZ189" s="313">
        <v>0.156</v>
      </c>
      <c r="BB189" s="313" t="s">
        <v>220</v>
      </c>
      <c r="BC189">
        <v>6.9099999999999995E-2</v>
      </c>
      <c r="BD189" t="s">
        <v>220</v>
      </c>
      <c r="BE189">
        <v>0.221</v>
      </c>
      <c r="BF189" s="2" t="s">
        <v>220</v>
      </c>
      <c r="BG189" s="2" t="s">
        <v>273</v>
      </c>
      <c r="BH189" s="2" t="s">
        <v>274</v>
      </c>
      <c r="BI189" s="2" t="s">
        <v>275</v>
      </c>
      <c r="BM189"/>
      <c r="BP189" s="8"/>
      <c r="BQ189" t="s">
        <v>230</v>
      </c>
      <c r="BR189" t="s">
        <v>230</v>
      </c>
      <c r="BU189" t="s">
        <v>317</v>
      </c>
      <c r="BV189" t="s">
        <v>225</v>
      </c>
      <c r="BW189" t="s">
        <v>232</v>
      </c>
      <c r="BX189" t="s">
        <v>276</v>
      </c>
      <c r="BY189" t="s">
        <v>227</v>
      </c>
      <c r="BZ189">
        <v>0.59599999999999997</v>
      </c>
      <c r="CA189" t="s">
        <v>234</v>
      </c>
      <c r="CF189" t="s">
        <v>220</v>
      </c>
      <c r="CG189">
        <v>0.36299999999999999</v>
      </c>
      <c r="CH189" t="s">
        <v>220</v>
      </c>
      <c r="CI189">
        <v>0.46500000000000002</v>
      </c>
      <c r="CK189"/>
      <c r="CL189"/>
      <c r="CM189"/>
      <c r="CS189" s="8"/>
      <c r="CW189" t="s">
        <v>220</v>
      </c>
      <c r="CX189" t="s">
        <v>220</v>
      </c>
      <c r="CY189" t="s">
        <v>317</v>
      </c>
      <c r="CZ189" t="s">
        <v>220</v>
      </c>
      <c r="DA189" t="s">
        <v>257</v>
      </c>
      <c r="DB189" t="s">
        <v>227</v>
      </c>
      <c r="DC189"/>
      <c r="DD189"/>
      <c r="DE189"/>
      <c r="DF189"/>
      <c r="DG189"/>
      <c r="DH189" s="323"/>
      <c r="DI189" s="323"/>
      <c r="DJ189" s="323"/>
      <c r="DL189" t="s">
        <v>257</v>
      </c>
      <c r="DM189" t="s">
        <v>220</v>
      </c>
      <c r="DN189" t="s">
        <v>227</v>
      </c>
      <c r="DO189" t="s">
        <v>257</v>
      </c>
      <c r="DP189" t="s">
        <v>257</v>
      </c>
      <c r="DS189" s="309">
        <v>157.75700000000001</v>
      </c>
      <c r="DU189" s="309">
        <v>868.98299999999995</v>
      </c>
      <c r="DW189">
        <v>1150</v>
      </c>
      <c r="DX189" t="s">
        <v>238</v>
      </c>
      <c r="DY189"/>
      <c r="DZ189" t="s">
        <v>235</v>
      </c>
      <c r="EA189"/>
      <c r="EB189"/>
      <c r="ED189" s="410"/>
      <c r="EE189" s="1"/>
      <c r="EG189" s="410"/>
      <c r="EI189" s="410"/>
      <c r="EK189" s="1"/>
      <c r="EM189"/>
      <c r="EQ189" s="344"/>
      <c r="EU189" s="344"/>
      <c r="EW189" s="409"/>
      <c r="EY189" s="1"/>
      <c r="FA189">
        <v>49.99</v>
      </c>
      <c r="FB189" t="s">
        <v>225</v>
      </c>
      <c r="FC189" s="7">
        <v>65.027940547237009</v>
      </c>
      <c r="FD189" s="357" t="s">
        <v>225</v>
      </c>
      <c r="FE189" s="8">
        <v>2434.4451836922026</v>
      </c>
      <c r="FF189" t="s">
        <v>237</v>
      </c>
      <c r="FH189" s="9">
        <v>24814.184100168754</v>
      </c>
      <c r="FI189" s="9" t="s">
        <v>236</v>
      </c>
      <c r="FJ189">
        <v>1360</v>
      </c>
      <c r="FK189" t="s">
        <v>238</v>
      </c>
      <c r="FL189">
        <v>176</v>
      </c>
      <c r="FM189">
        <v>13143.166207856979</v>
      </c>
      <c r="FN189" s="5" t="s">
        <v>237</v>
      </c>
      <c r="FP189" s="6">
        <v>17.600000000000001</v>
      </c>
      <c r="FQ189" t="s">
        <v>239</v>
      </c>
      <c r="FS189" t="s">
        <v>240</v>
      </c>
      <c r="FU189" s="8">
        <v>1</v>
      </c>
      <c r="FV189" s="8">
        <v>10</v>
      </c>
      <c r="FW189" s="8">
        <v>10</v>
      </c>
      <c r="FX189" s="8">
        <v>10</v>
      </c>
      <c r="FY189" s="8">
        <v>3</v>
      </c>
      <c r="FZ189">
        <f t="shared" si="2"/>
        <v>3000</v>
      </c>
      <c r="GA189" s="7" t="s">
        <v>326</v>
      </c>
      <c r="GB189" s="7" t="s">
        <v>326</v>
      </c>
      <c r="GC189" s="6">
        <v>1.5</v>
      </c>
      <c r="GD189" s="348" t="s">
        <v>242</v>
      </c>
      <c r="GF189" s="6">
        <v>5.8666666666666673E-2</v>
      </c>
      <c r="GH189" s="7"/>
      <c r="GI189" s="441">
        <v>0.39100000000000001</v>
      </c>
      <c r="GJ189" s="441">
        <v>0.73299999999999998</v>
      </c>
      <c r="GK189" s="441">
        <v>1.173</v>
      </c>
      <c r="GL189" s="441">
        <v>2.9329999999999998</v>
      </c>
      <c r="GM189" s="461" t="s">
        <v>790</v>
      </c>
      <c r="GN189" s="6">
        <v>0.01</v>
      </c>
      <c r="GO189" s="6">
        <v>1.8749999999999999E-2</v>
      </c>
      <c r="GP189" s="6">
        <v>0.03</v>
      </c>
      <c r="GQ189" s="6">
        <v>7.4999999999999997E-2</v>
      </c>
      <c r="GR189" s="461" t="s">
        <v>790</v>
      </c>
      <c r="GU189" t="s">
        <v>243</v>
      </c>
      <c r="GV189" t="s">
        <v>236</v>
      </c>
      <c r="GW189" t="s">
        <v>244</v>
      </c>
      <c r="GX189" t="s">
        <v>236</v>
      </c>
      <c r="GY189" t="s">
        <v>245</v>
      </c>
      <c r="HE189" t="s">
        <v>384</v>
      </c>
      <c r="HF189" t="s">
        <v>223</v>
      </c>
      <c r="HG189" t="s">
        <v>231</v>
      </c>
      <c r="HH189" t="s">
        <v>225</v>
      </c>
      <c r="HI189" t="s">
        <v>247</v>
      </c>
      <c r="HJ189" t="s">
        <v>223</v>
      </c>
      <c r="HK189" t="s">
        <v>248</v>
      </c>
      <c r="HO189" t="s">
        <v>231</v>
      </c>
      <c r="HP189" t="s">
        <v>223</v>
      </c>
      <c r="HQ189" t="s">
        <v>231</v>
      </c>
      <c r="HR189" t="s">
        <v>223</v>
      </c>
      <c r="HU189" t="s">
        <v>231</v>
      </c>
      <c r="HV189" t="s">
        <v>223</v>
      </c>
      <c r="HW189" t="s">
        <v>246</v>
      </c>
      <c r="HX189" t="s">
        <v>236</v>
      </c>
      <c r="IA189" t="s">
        <v>231</v>
      </c>
      <c r="IB189" t="s">
        <v>250</v>
      </c>
      <c r="IC189">
        <v>0.39100000000000001</v>
      </c>
      <c r="ID189">
        <v>0.73299999999999998</v>
      </c>
      <c r="IE189">
        <v>1.173</v>
      </c>
      <c r="IF189">
        <v>2.9329999999999998</v>
      </c>
      <c r="IG189" s="459" t="s">
        <v>451</v>
      </c>
      <c r="IH189" t="s">
        <v>267</v>
      </c>
    </row>
    <row r="190" spans="1:242" ht="159.5" x14ac:dyDescent="0.35">
      <c r="A190" s="310" t="s">
        <v>537</v>
      </c>
      <c r="B190" t="s">
        <v>1275</v>
      </c>
      <c r="C190" s="310" t="s">
        <v>1276</v>
      </c>
      <c r="D190" s="316"/>
      <c r="F190" t="s">
        <v>1277</v>
      </c>
      <c r="I190" s="310" t="s">
        <v>1278</v>
      </c>
      <c r="M190" s="313"/>
      <c r="O190"/>
      <c r="P190" s="381"/>
      <c r="Q190"/>
      <c r="T190" s="8"/>
      <c r="U190"/>
      <c r="V190" s="313"/>
      <c r="W190"/>
      <c r="X190"/>
      <c r="Z190"/>
      <c r="AB190"/>
      <c r="AD190" s="8" t="s">
        <v>230</v>
      </c>
      <c r="AF190" s="8" t="s">
        <v>230</v>
      </c>
      <c r="AG190"/>
      <c r="AH190"/>
      <c r="AI190"/>
      <c r="AJ190" t="s">
        <v>221</v>
      </c>
      <c r="AK190">
        <v>0.1</v>
      </c>
      <c r="AL190">
        <v>0.375</v>
      </c>
      <c r="AM190" t="s">
        <v>414</v>
      </c>
      <c r="AN190" t="s">
        <v>236</v>
      </c>
      <c r="AO190" t="s">
        <v>221</v>
      </c>
      <c r="AP190" t="s">
        <v>223</v>
      </c>
      <c r="AQ190" t="s">
        <v>414</v>
      </c>
      <c r="AR190" t="s">
        <v>236</v>
      </c>
      <c r="AS190" t="s">
        <v>221</v>
      </c>
      <c r="AT190" t="s">
        <v>225</v>
      </c>
      <c r="AU190" t="s">
        <v>220</v>
      </c>
      <c r="AV190"/>
      <c r="AW190" s="313" t="s">
        <v>220</v>
      </c>
      <c r="AX190" t="s">
        <v>226</v>
      </c>
      <c r="AY190" s="313" t="s">
        <v>220</v>
      </c>
      <c r="AZ190" s="313">
        <v>0.157</v>
      </c>
      <c r="BB190" s="313" t="s">
        <v>220</v>
      </c>
      <c r="BC190">
        <v>7.1099999999999997E-2</v>
      </c>
      <c r="BD190" t="s">
        <v>220</v>
      </c>
      <c r="BE190">
        <v>0.224</v>
      </c>
      <c r="BF190" s="2" t="s">
        <v>220</v>
      </c>
      <c r="BG190" s="2" t="s">
        <v>653</v>
      </c>
      <c r="BH190" s="2" t="s">
        <v>274</v>
      </c>
      <c r="BI190" s="2" t="s">
        <v>275</v>
      </c>
      <c r="BM190"/>
      <c r="BP190" s="8"/>
      <c r="BQ190" t="s">
        <v>230</v>
      </c>
      <c r="BR190" t="s">
        <v>230</v>
      </c>
      <c r="BU190" t="s">
        <v>293</v>
      </c>
      <c r="BV190" t="s">
        <v>236</v>
      </c>
      <c r="BW190" t="s">
        <v>232</v>
      </c>
      <c r="BX190" t="s">
        <v>500</v>
      </c>
      <c r="BY190" t="s">
        <v>227</v>
      </c>
      <c r="BZ190">
        <v>0.60799999999999998</v>
      </c>
      <c r="CA190" t="s">
        <v>372</v>
      </c>
      <c r="CF190" t="s">
        <v>220</v>
      </c>
      <c r="CG190">
        <v>0.318</v>
      </c>
      <c r="CH190" t="s">
        <v>220</v>
      </c>
      <c r="CI190">
        <v>0.46800000000000003</v>
      </c>
      <c r="CK190"/>
      <c r="CL190"/>
      <c r="CM190"/>
      <c r="CS190" s="8"/>
      <c r="CW190" t="s">
        <v>220</v>
      </c>
      <c r="CX190" t="s">
        <v>220</v>
      </c>
      <c r="CY190" t="s">
        <v>317</v>
      </c>
      <c r="CZ190" t="s">
        <v>220</v>
      </c>
      <c r="DA190" t="s">
        <v>220</v>
      </c>
      <c r="DB190" t="s">
        <v>227</v>
      </c>
      <c r="DC190"/>
      <c r="DD190"/>
      <c r="DE190"/>
      <c r="DF190"/>
      <c r="DG190"/>
      <c r="DH190" s="323"/>
      <c r="DI190" s="323"/>
      <c r="DJ190" s="323"/>
      <c r="DL190" t="s">
        <v>257</v>
      </c>
      <c r="DM190" t="s">
        <v>220</v>
      </c>
      <c r="DN190" t="s">
        <v>227</v>
      </c>
      <c r="DO190" t="s">
        <v>257</v>
      </c>
      <c r="DP190" t="s">
        <v>257</v>
      </c>
      <c r="DS190" s="309">
        <v>69.117000000000004</v>
      </c>
      <c r="DU190" s="338">
        <v>1195.134</v>
      </c>
      <c r="DV190" s="8" t="s">
        <v>394</v>
      </c>
      <c r="DW190">
        <v>1400</v>
      </c>
      <c r="DX190" t="s">
        <v>238</v>
      </c>
      <c r="DY190"/>
      <c r="DZ190" t="s">
        <v>235</v>
      </c>
      <c r="EA190"/>
      <c r="EB190"/>
      <c r="ED190" s="410"/>
      <c r="EE190" s="1"/>
      <c r="EG190" s="410"/>
      <c r="EI190" s="410"/>
      <c r="EK190" s="1"/>
      <c r="EM190"/>
      <c r="EQ190" s="344"/>
      <c r="EU190" s="344"/>
      <c r="EW190" s="409"/>
      <c r="EY190" s="1"/>
      <c r="FA190">
        <v>44.14</v>
      </c>
      <c r="FB190" t="s">
        <v>225</v>
      </c>
      <c r="FC190" s="7">
        <v>47.249802768019521</v>
      </c>
      <c r="FD190" s="357" t="s">
        <v>225</v>
      </c>
      <c r="FE190" s="8">
        <v>2154.7654333634646</v>
      </c>
      <c r="FF190" t="s">
        <v>337</v>
      </c>
      <c r="FH190" s="9">
        <v>154383.18628248214</v>
      </c>
      <c r="FI190" s="9" t="s">
        <v>236</v>
      </c>
      <c r="FJ190">
        <v>2150</v>
      </c>
      <c r="FK190" t="s">
        <v>238</v>
      </c>
      <c r="FL190">
        <v>680</v>
      </c>
      <c r="FM190">
        <v>4304.2748948833105</v>
      </c>
      <c r="FN190" s="5" t="s">
        <v>337</v>
      </c>
      <c r="FP190" s="6">
        <v>22.07</v>
      </c>
      <c r="FQ190" t="s">
        <v>275</v>
      </c>
      <c r="FS190" t="s">
        <v>240</v>
      </c>
      <c r="FU190" s="8">
        <v>2</v>
      </c>
      <c r="FV190" s="8">
        <v>10</v>
      </c>
      <c r="FW190" s="8">
        <v>10</v>
      </c>
      <c r="FX190" s="8">
        <v>1</v>
      </c>
      <c r="FY190" s="8">
        <v>3</v>
      </c>
      <c r="FZ190">
        <f t="shared" si="2"/>
        <v>600</v>
      </c>
      <c r="GA190" s="7" t="s">
        <v>326</v>
      </c>
      <c r="GB190" s="7" t="s">
        <v>326</v>
      </c>
      <c r="GC190" s="6">
        <v>1.5</v>
      </c>
      <c r="GD190" s="348" t="s">
        <v>242</v>
      </c>
      <c r="GF190" s="6">
        <v>7.3566666666666669E-2</v>
      </c>
      <c r="GH190" s="7"/>
      <c r="GI190" s="441">
        <v>0.49</v>
      </c>
      <c r="GJ190" s="441">
        <v>0.92</v>
      </c>
      <c r="GK190" s="441">
        <v>1.4710000000000001</v>
      </c>
      <c r="GL190" s="441">
        <v>3.6779999999999999</v>
      </c>
      <c r="GM190" s="461" t="s">
        <v>790</v>
      </c>
      <c r="GN190" s="6">
        <v>0.01</v>
      </c>
      <c r="GO190" s="6">
        <v>1.8749999999999999E-2</v>
      </c>
      <c r="GP190" s="6">
        <v>0.03</v>
      </c>
      <c r="GQ190" s="6">
        <v>7.4999999999999997E-2</v>
      </c>
      <c r="GR190" s="461" t="s">
        <v>790</v>
      </c>
      <c r="GU190" t="s">
        <v>243</v>
      </c>
      <c r="GV190" t="s">
        <v>225</v>
      </c>
      <c r="GW190" t="s">
        <v>244</v>
      </c>
      <c r="GX190" t="s">
        <v>236</v>
      </c>
      <c r="GY190" t="s">
        <v>245</v>
      </c>
      <c r="HE190" t="s">
        <v>384</v>
      </c>
      <c r="HF190" t="s">
        <v>223</v>
      </c>
      <c r="HG190" t="s">
        <v>231</v>
      </c>
      <c r="HH190" t="s">
        <v>225</v>
      </c>
      <c r="HI190" t="s">
        <v>247</v>
      </c>
      <c r="HJ190" t="s">
        <v>225</v>
      </c>
      <c r="HK190" t="s">
        <v>568</v>
      </c>
      <c r="HO190" t="s">
        <v>231</v>
      </c>
      <c r="HP190" t="s">
        <v>223</v>
      </c>
      <c r="HQ190" t="s">
        <v>231</v>
      </c>
      <c r="HR190" t="s">
        <v>223</v>
      </c>
      <c r="HU190" t="s">
        <v>231</v>
      </c>
      <c r="HV190" t="s">
        <v>223</v>
      </c>
      <c r="HW190" t="s">
        <v>246</v>
      </c>
      <c r="HX190" t="s">
        <v>236</v>
      </c>
      <c r="IA190" t="s">
        <v>231</v>
      </c>
      <c r="IB190" t="s">
        <v>250</v>
      </c>
      <c r="IC190">
        <v>0.49</v>
      </c>
      <c r="ID190">
        <v>0.92</v>
      </c>
      <c r="IE190">
        <v>1.4710000000000001</v>
      </c>
      <c r="IF190">
        <v>3.6779999999999999</v>
      </c>
      <c r="IG190" s="459" t="s">
        <v>451</v>
      </c>
      <c r="IH190" t="s">
        <v>267</v>
      </c>
    </row>
    <row r="191" spans="1:242" ht="159.5" x14ac:dyDescent="0.35">
      <c r="A191" s="310" t="s">
        <v>537</v>
      </c>
      <c r="B191" t="s">
        <v>1279</v>
      </c>
      <c r="C191" s="310" t="s">
        <v>1280</v>
      </c>
      <c r="D191" s="316"/>
      <c r="F191" t="s">
        <v>1281</v>
      </c>
      <c r="I191" s="310" t="s">
        <v>1278</v>
      </c>
      <c r="M191" s="313"/>
      <c r="O191"/>
      <c r="P191" s="382"/>
      <c r="Q191"/>
      <c r="U191"/>
      <c r="V191" s="313"/>
      <c r="W191"/>
      <c r="X191"/>
      <c r="Z191"/>
      <c r="AB191"/>
      <c r="AD191" s="8" t="s">
        <v>230</v>
      </c>
      <c r="AF191" s="8" t="s">
        <v>230</v>
      </c>
      <c r="AG191"/>
      <c r="AH191"/>
      <c r="AI191"/>
      <c r="AJ191" t="s">
        <v>221</v>
      </c>
      <c r="AK191">
        <v>0.2</v>
      </c>
      <c r="AL191">
        <v>0.3</v>
      </c>
      <c r="AM191" t="s">
        <v>414</v>
      </c>
      <c r="AN191" t="s">
        <v>236</v>
      </c>
      <c r="AO191" t="s">
        <v>221</v>
      </c>
      <c r="AP191" t="s">
        <v>225</v>
      </c>
      <c r="AQ191" t="s">
        <v>414</v>
      </c>
      <c r="AR191" t="s">
        <v>225</v>
      </c>
      <c r="AS191" t="s">
        <v>221</v>
      </c>
      <c r="AT191" t="s">
        <v>225</v>
      </c>
      <c r="AU191" t="s">
        <v>220</v>
      </c>
      <c r="AV191"/>
      <c r="AW191" s="313" t="s">
        <v>220</v>
      </c>
      <c r="AX191" t="s">
        <v>226</v>
      </c>
      <c r="AY191" s="313" t="s">
        <v>220</v>
      </c>
      <c r="AZ191" s="313">
        <v>0.157</v>
      </c>
      <c r="BB191" s="313" t="s">
        <v>220</v>
      </c>
      <c r="BC191">
        <v>7.1099999999999997E-2</v>
      </c>
      <c r="BD191" t="s">
        <v>220</v>
      </c>
      <c r="BE191">
        <v>0.224</v>
      </c>
      <c r="BF191" s="2" t="s">
        <v>220</v>
      </c>
      <c r="BG191" s="2" t="s">
        <v>653</v>
      </c>
      <c r="BH191" s="2" t="s">
        <v>274</v>
      </c>
      <c r="BI191" s="2" t="s">
        <v>275</v>
      </c>
      <c r="BM191"/>
      <c r="BP191" s="8"/>
      <c r="BQ191" t="s">
        <v>230</v>
      </c>
      <c r="BR191" t="s">
        <v>230</v>
      </c>
      <c r="BU191" t="s">
        <v>293</v>
      </c>
      <c r="BV191" t="s">
        <v>236</v>
      </c>
      <c r="BW191" t="s">
        <v>232</v>
      </c>
      <c r="BX191" t="s">
        <v>500</v>
      </c>
      <c r="BY191" t="s">
        <v>227</v>
      </c>
      <c r="BZ191">
        <v>0.60799999999999998</v>
      </c>
      <c r="CA191" t="s">
        <v>372</v>
      </c>
      <c r="CF191" t="s">
        <v>220</v>
      </c>
      <c r="CG191">
        <v>0.318</v>
      </c>
      <c r="CH191" t="s">
        <v>220</v>
      </c>
      <c r="CI191">
        <v>0.46800000000000003</v>
      </c>
      <c r="CK191"/>
      <c r="CL191"/>
      <c r="CM191"/>
      <c r="CS191" s="8"/>
      <c r="CW191" t="s">
        <v>220</v>
      </c>
      <c r="CX191" t="s">
        <v>220</v>
      </c>
      <c r="CY191" t="s">
        <v>317</v>
      </c>
      <c r="CZ191" t="s">
        <v>220</v>
      </c>
      <c r="DA191" t="s">
        <v>220</v>
      </c>
      <c r="DB191" t="s">
        <v>227</v>
      </c>
      <c r="DC191"/>
      <c r="DD191"/>
      <c r="DE191"/>
      <c r="DF191"/>
      <c r="DG191"/>
      <c r="DH191" s="323"/>
      <c r="DI191" s="323"/>
      <c r="DJ191" s="323"/>
      <c r="DL191" t="s">
        <v>257</v>
      </c>
      <c r="DM191" t="s">
        <v>220</v>
      </c>
      <c r="DN191" t="s">
        <v>227</v>
      </c>
      <c r="DO191" t="s">
        <v>257</v>
      </c>
      <c r="DP191" t="s">
        <v>257</v>
      </c>
      <c r="DS191" s="309">
        <v>69.762</v>
      </c>
      <c r="DU191" s="338">
        <v>1532.5409999999999</v>
      </c>
      <c r="DV191" s="8" t="s">
        <v>394</v>
      </c>
      <c r="DW191">
        <v>2270</v>
      </c>
      <c r="DX191" t="s">
        <v>238</v>
      </c>
      <c r="DY191">
        <v>2080</v>
      </c>
      <c r="DZ191" t="s">
        <v>238</v>
      </c>
      <c r="EA191"/>
      <c r="EB191"/>
      <c r="ED191" s="410"/>
      <c r="EE191" s="1"/>
      <c r="EG191" s="410"/>
      <c r="EI191" s="410"/>
      <c r="EK191" s="1"/>
      <c r="EM191"/>
      <c r="EQ191" s="344"/>
      <c r="EU191" s="344"/>
      <c r="EW191" s="409"/>
      <c r="EY191" s="1"/>
      <c r="FA191">
        <v>44.14</v>
      </c>
      <c r="FB191" t="s">
        <v>225</v>
      </c>
      <c r="FC191" s="7">
        <v>65.448545587044052</v>
      </c>
      <c r="FD191" s="357" t="s">
        <v>225</v>
      </c>
      <c r="FE191" s="8">
        <v>2154.7654333634646</v>
      </c>
      <c r="FF191" t="s">
        <v>337</v>
      </c>
      <c r="FH191" s="9">
        <v>127732.08461131505</v>
      </c>
      <c r="FI191" s="9" t="s">
        <v>236</v>
      </c>
      <c r="FJ191">
        <v>2270</v>
      </c>
      <c r="FK191" t="s">
        <v>238</v>
      </c>
      <c r="FL191">
        <v>680</v>
      </c>
      <c r="FM191">
        <v>4304.2748948833105</v>
      </c>
      <c r="FN191" s="5" t="s">
        <v>337</v>
      </c>
      <c r="FP191" s="6">
        <v>22.07</v>
      </c>
      <c r="FQ191" t="s">
        <v>275</v>
      </c>
      <c r="FS191" t="s">
        <v>240</v>
      </c>
      <c r="FU191" s="8">
        <v>2</v>
      </c>
      <c r="FV191" s="8">
        <v>10</v>
      </c>
      <c r="FW191" s="8">
        <v>10</v>
      </c>
      <c r="FX191" s="8">
        <v>1</v>
      </c>
      <c r="FY191" s="8">
        <v>3</v>
      </c>
      <c r="FZ191">
        <f t="shared" si="2"/>
        <v>600</v>
      </c>
      <c r="GA191" s="7" t="s">
        <v>326</v>
      </c>
      <c r="GB191" s="7" t="s">
        <v>326</v>
      </c>
      <c r="GC191" s="6">
        <v>1.5</v>
      </c>
      <c r="GD191" s="348" t="s">
        <v>242</v>
      </c>
      <c r="GF191" s="6">
        <v>7.3566666666666669E-2</v>
      </c>
      <c r="GH191" s="7"/>
      <c r="GI191" s="441">
        <v>0.49</v>
      </c>
      <c r="GJ191" s="441">
        <v>0.92</v>
      </c>
      <c r="GK191" s="441">
        <v>1.4710000000000001</v>
      </c>
      <c r="GL191" s="441">
        <v>3.6779999999999999</v>
      </c>
      <c r="GM191" s="461" t="s">
        <v>790</v>
      </c>
      <c r="GN191" s="6">
        <v>0.01</v>
      </c>
      <c r="GO191" s="6">
        <v>1.8749999999999999E-2</v>
      </c>
      <c r="GP191" s="6">
        <v>0.03</v>
      </c>
      <c r="GQ191" s="6">
        <v>7.4999999999999997E-2</v>
      </c>
      <c r="GR191" s="461" t="s">
        <v>790</v>
      </c>
      <c r="GU191" t="s">
        <v>243</v>
      </c>
      <c r="GV191" t="s">
        <v>225</v>
      </c>
      <c r="GW191" t="s">
        <v>244</v>
      </c>
      <c r="GX191" t="s">
        <v>236</v>
      </c>
      <c r="GY191" t="s">
        <v>245</v>
      </c>
      <c r="HE191" t="s">
        <v>384</v>
      </c>
      <c r="HF191" t="s">
        <v>223</v>
      </c>
      <c r="HG191" t="s">
        <v>231</v>
      </c>
      <c r="HH191" t="s">
        <v>225</v>
      </c>
      <c r="HI191" t="s">
        <v>247</v>
      </c>
      <c r="HJ191" t="s">
        <v>225</v>
      </c>
      <c r="HK191" t="s">
        <v>568</v>
      </c>
      <c r="HO191" t="s">
        <v>231</v>
      </c>
      <c r="HP191" t="s">
        <v>223</v>
      </c>
      <c r="HQ191" t="s">
        <v>231</v>
      </c>
      <c r="HR191" t="s">
        <v>223</v>
      </c>
      <c r="HU191" t="s">
        <v>231</v>
      </c>
      <c r="HV191" t="s">
        <v>223</v>
      </c>
      <c r="HW191" t="s">
        <v>246</v>
      </c>
      <c r="HX191" t="s">
        <v>236</v>
      </c>
      <c r="IA191" t="s">
        <v>231</v>
      </c>
      <c r="IB191" t="s">
        <v>250</v>
      </c>
      <c r="IC191">
        <v>0.49</v>
      </c>
      <c r="ID191">
        <v>0.92</v>
      </c>
      <c r="IE191">
        <v>1.4710000000000001</v>
      </c>
      <c r="IF191">
        <v>3.6779999999999999</v>
      </c>
      <c r="IG191" s="459" t="s">
        <v>451</v>
      </c>
      <c r="IH191" t="s">
        <v>267</v>
      </c>
    </row>
    <row r="192" spans="1:242" ht="159.5" x14ac:dyDescent="0.35">
      <c r="A192" s="310" t="s">
        <v>537</v>
      </c>
      <c r="B192" t="s">
        <v>1282</v>
      </c>
      <c r="C192" s="310" t="s">
        <v>1283</v>
      </c>
      <c r="D192" s="316"/>
      <c r="F192" t="s">
        <v>1284</v>
      </c>
      <c r="I192" s="310" t="s">
        <v>1278</v>
      </c>
      <c r="M192" s="313"/>
      <c r="O192"/>
      <c r="P192" s="382"/>
      <c r="Q192"/>
      <c r="U192"/>
      <c r="V192" s="313"/>
      <c r="W192"/>
      <c r="X192"/>
      <c r="Z192"/>
      <c r="AB192"/>
      <c r="AD192" s="8" t="s">
        <v>230</v>
      </c>
      <c r="AF192" s="8" t="s">
        <v>230</v>
      </c>
      <c r="AG192"/>
      <c r="AH192"/>
      <c r="AI192"/>
      <c r="AJ192" t="s">
        <v>221</v>
      </c>
      <c r="AK192">
        <v>0.2</v>
      </c>
      <c r="AL192">
        <v>0.3</v>
      </c>
      <c r="AM192" t="s">
        <v>414</v>
      </c>
      <c r="AN192" t="s">
        <v>236</v>
      </c>
      <c r="AO192" t="s">
        <v>221</v>
      </c>
      <c r="AP192" t="s">
        <v>225</v>
      </c>
      <c r="AQ192" t="s">
        <v>414</v>
      </c>
      <c r="AR192" t="s">
        <v>225</v>
      </c>
      <c r="AS192" t="s">
        <v>221</v>
      </c>
      <c r="AT192" t="s">
        <v>225</v>
      </c>
      <c r="AU192" t="s">
        <v>220</v>
      </c>
      <c r="AV192"/>
      <c r="AW192" s="313" t="s">
        <v>220</v>
      </c>
      <c r="AX192" t="s">
        <v>226</v>
      </c>
      <c r="AY192" s="313" t="s">
        <v>220</v>
      </c>
      <c r="AZ192" s="313">
        <v>0.157</v>
      </c>
      <c r="BB192" s="313" t="s">
        <v>220</v>
      </c>
      <c r="BC192">
        <v>7.1099999999999997E-2</v>
      </c>
      <c r="BD192" t="s">
        <v>220</v>
      </c>
      <c r="BE192">
        <v>0.224</v>
      </c>
      <c r="BF192" s="2" t="s">
        <v>220</v>
      </c>
      <c r="BG192" s="2" t="s">
        <v>653</v>
      </c>
      <c r="BH192" s="2" t="s">
        <v>274</v>
      </c>
      <c r="BI192" s="2" t="s">
        <v>275</v>
      </c>
      <c r="BM192"/>
      <c r="BP192" s="8"/>
      <c r="BQ192" t="s">
        <v>230</v>
      </c>
      <c r="BR192" t="s">
        <v>230</v>
      </c>
      <c r="BU192" t="s">
        <v>293</v>
      </c>
      <c r="BV192" t="s">
        <v>236</v>
      </c>
      <c r="BW192" t="s">
        <v>232</v>
      </c>
      <c r="BX192" t="s">
        <v>500</v>
      </c>
      <c r="BY192" t="s">
        <v>227</v>
      </c>
      <c r="BZ192">
        <v>0.60799999999999998</v>
      </c>
      <c r="CA192" t="s">
        <v>372</v>
      </c>
      <c r="CF192" t="s">
        <v>220</v>
      </c>
      <c r="CG192">
        <v>0.318</v>
      </c>
      <c r="CH192" t="s">
        <v>220</v>
      </c>
      <c r="CI192">
        <v>0.46800000000000003</v>
      </c>
      <c r="CK192"/>
      <c r="CL192"/>
      <c r="CM192"/>
      <c r="CS192" s="8"/>
      <c r="CW192" t="s">
        <v>220</v>
      </c>
      <c r="CX192" t="s">
        <v>220</v>
      </c>
      <c r="CY192" t="s">
        <v>317</v>
      </c>
      <c r="CZ192" t="s">
        <v>220</v>
      </c>
      <c r="DA192" t="s">
        <v>220</v>
      </c>
      <c r="DB192" t="s">
        <v>227</v>
      </c>
      <c r="DC192"/>
      <c r="DD192"/>
      <c r="DE192"/>
      <c r="DF192"/>
      <c r="DG192"/>
      <c r="DH192" s="323"/>
      <c r="DI192" s="323"/>
      <c r="DJ192" s="323"/>
      <c r="DL192" t="s">
        <v>257</v>
      </c>
      <c r="DM192" t="s">
        <v>220</v>
      </c>
      <c r="DN192" t="s">
        <v>227</v>
      </c>
      <c r="DO192" t="s">
        <v>257</v>
      </c>
      <c r="DP192" t="s">
        <v>257</v>
      </c>
      <c r="DS192" s="309">
        <v>76.260999999999996</v>
      </c>
      <c r="DU192" s="338">
        <v>1949.0309999999999</v>
      </c>
      <c r="DV192" s="8" t="s">
        <v>394</v>
      </c>
      <c r="DW192">
        <v>2240</v>
      </c>
      <c r="DX192" t="s">
        <v>238</v>
      </c>
      <c r="DY192">
        <v>2230</v>
      </c>
      <c r="DZ192" t="s">
        <v>238</v>
      </c>
      <c r="EA192"/>
      <c r="EB192"/>
      <c r="ED192" s="410"/>
      <c r="EE192" s="1"/>
      <c r="EG192" s="410"/>
      <c r="EI192" s="410"/>
      <c r="EK192" s="1"/>
      <c r="EM192"/>
      <c r="EQ192" s="344"/>
      <c r="EU192" s="344"/>
      <c r="EW192" s="409"/>
      <c r="EY192" s="1"/>
      <c r="FA192">
        <v>44.14</v>
      </c>
      <c r="FB192" t="s">
        <v>225</v>
      </c>
      <c r="FC192" s="7">
        <v>92.066153750197074</v>
      </c>
      <c r="FD192" s="357" t="s">
        <v>225</v>
      </c>
      <c r="FE192" s="8">
        <v>2154.7654333634646</v>
      </c>
      <c r="FF192" t="s">
        <v>337</v>
      </c>
      <c r="FH192" s="9">
        <v>90427.390831178316</v>
      </c>
      <c r="FI192" s="9" t="s">
        <v>236</v>
      </c>
      <c r="FJ192">
        <v>2140</v>
      </c>
      <c r="FK192" t="s">
        <v>238</v>
      </c>
      <c r="FL192">
        <v>680</v>
      </c>
      <c r="FM192">
        <v>4304.2748948833105</v>
      </c>
      <c r="FN192" s="5" t="s">
        <v>337</v>
      </c>
      <c r="FP192" s="6">
        <v>22.07</v>
      </c>
      <c r="FQ192" t="s">
        <v>275</v>
      </c>
      <c r="FS192" t="s">
        <v>240</v>
      </c>
      <c r="FU192" s="8">
        <v>2</v>
      </c>
      <c r="FV192" s="8">
        <v>10</v>
      </c>
      <c r="FW192" s="8">
        <v>10</v>
      </c>
      <c r="FX192" s="8">
        <v>1</v>
      </c>
      <c r="FY192" s="8">
        <v>3</v>
      </c>
      <c r="FZ192">
        <f t="shared" si="2"/>
        <v>600</v>
      </c>
      <c r="GA192" s="7" t="s">
        <v>326</v>
      </c>
      <c r="GB192" s="7" t="s">
        <v>326</v>
      </c>
      <c r="GC192" s="6">
        <v>1.5</v>
      </c>
      <c r="GD192" s="348" t="s">
        <v>242</v>
      </c>
      <c r="GF192" s="6">
        <v>7.3566666666666669E-2</v>
      </c>
      <c r="GH192" s="7"/>
      <c r="GI192" s="441">
        <v>0.49</v>
      </c>
      <c r="GJ192" s="441">
        <v>0.92</v>
      </c>
      <c r="GK192" s="441">
        <v>1.4710000000000001</v>
      </c>
      <c r="GL192" s="441">
        <v>3.6779999999999999</v>
      </c>
      <c r="GM192" s="461" t="s">
        <v>790</v>
      </c>
      <c r="GN192" s="6">
        <v>0.01</v>
      </c>
      <c r="GO192" s="6">
        <v>1.8749999999999999E-2</v>
      </c>
      <c r="GP192" s="6">
        <v>0.03</v>
      </c>
      <c r="GQ192" s="6">
        <v>7.4999999999999997E-2</v>
      </c>
      <c r="GR192" s="461" t="s">
        <v>790</v>
      </c>
      <c r="GU192" t="s">
        <v>243</v>
      </c>
      <c r="GV192" t="s">
        <v>225</v>
      </c>
      <c r="GW192" t="s">
        <v>244</v>
      </c>
      <c r="GX192" t="s">
        <v>236</v>
      </c>
      <c r="GY192" t="s">
        <v>245</v>
      </c>
      <c r="HE192" t="s">
        <v>384</v>
      </c>
      <c r="HF192" t="s">
        <v>223</v>
      </c>
      <c r="HG192" t="s">
        <v>231</v>
      </c>
      <c r="HH192" t="s">
        <v>225</v>
      </c>
      <c r="HI192" t="s">
        <v>247</v>
      </c>
      <c r="HJ192" t="s">
        <v>225</v>
      </c>
      <c r="HK192" t="s">
        <v>568</v>
      </c>
      <c r="HO192" t="s">
        <v>231</v>
      </c>
      <c r="HP192" t="s">
        <v>223</v>
      </c>
      <c r="HQ192" t="s">
        <v>231</v>
      </c>
      <c r="HR192" t="s">
        <v>223</v>
      </c>
      <c r="HU192" t="s">
        <v>231</v>
      </c>
      <c r="HV192" t="s">
        <v>223</v>
      </c>
      <c r="HW192" t="s">
        <v>246</v>
      </c>
      <c r="HX192" t="s">
        <v>236</v>
      </c>
      <c r="IA192" t="s">
        <v>231</v>
      </c>
      <c r="IB192" t="s">
        <v>250</v>
      </c>
      <c r="IC192">
        <v>0.49</v>
      </c>
      <c r="ID192">
        <v>0.92</v>
      </c>
      <c r="IE192">
        <v>1.4710000000000001</v>
      </c>
      <c r="IF192">
        <v>3.6779999999999999</v>
      </c>
      <c r="IG192" s="459" t="s">
        <v>451</v>
      </c>
      <c r="IH192" t="s">
        <v>267</v>
      </c>
    </row>
    <row r="193" spans="1:242" ht="159.5" x14ac:dyDescent="0.35">
      <c r="A193" s="310" t="s">
        <v>537</v>
      </c>
      <c r="B193" t="s">
        <v>1285</v>
      </c>
      <c r="C193" s="310" t="s">
        <v>1286</v>
      </c>
      <c r="D193" s="316"/>
      <c r="F193" t="s">
        <v>1287</v>
      </c>
      <c r="I193" s="310" t="s">
        <v>1278</v>
      </c>
      <c r="M193" s="313"/>
      <c r="O193"/>
      <c r="P193" s="382"/>
      <c r="Q193"/>
      <c r="U193"/>
      <c r="V193" s="313"/>
      <c r="W193"/>
      <c r="X193"/>
      <c r="Z193"/>
      <c r="AB193"/>
      <c r="AD193" s="8" t="s">
        <v>230</v>
      </c>
      <c r="AF193" s="8" t="s">
        <v>230</v>
      </c>
      <c r="AG193"/>
      <c r="AH193"/>
      <c r="AI193"/>
      <c r="AJ193" t="s">
        <v>221</v>
      </c>
      <c r="AK193">
        <v>0.2</v>
      </c>
      <c r="AL193">
        <v>0.3</v>
      </c>
      <c r="AM193" t="s">
        <v>414</v>
      </c>
      <c r="AN193" t="s">
        <v>236</v>
      </c>
      <c r="AO193" t="s">
        <v>221</v>
      </c>
      <c r="AP193" t="s">
        <v>225</v>
      </c>
      <c r="AQ193" t="s">
        <v>414</v>
      </c>
      <c r="AR193" t="s">
        <v>225</v>
      </c>
      <c r="AS193" t="s">
        <v>221</v>
      </c>
      <c r="AT193" t="s">
        <v>225</v>
      </c>
      <c r="AU193" t="s">
        <v>220</v>
      </c>
      <c r="AV193"/>
      <c r="AW193" s="313" t="s">
        <v>220</v>
      </c>
      <c r="AX193" t="s">
        <v>226</v>
      </c>
      <c r="AY193" s="313" t="s">
        <v>220</v>
      </c>
      <c r="AZ193" s="313">
        <v>0.157</v>
      </c>
      <c r="BB193" s="313" t="s">
        <v>220</v>
      </c>
      <c r="BC193">
        <v>7.1099999999999997E-2</v>
      </c>
      <c r="BD193" t="s">
        <v>220</v>
      </c>
      <c r="BE193">
        <v>0.224</v>
      </c>
      <c r="BF193" s="2" t="s">
        <v>220</v>
      </c>
      <c r="BG193" s="2" t="s">
        <v>653</v>
      </c>
      <c r="BH193" s="2" t="s">
        <v>274</v>
      </c>
      <c r="BI193" s="2" t="s">
        <v>275</v>
      </c>
      <c r="BM193"/>
      <c r="BP193" s="8"/>
      <c r="BQ193" t="s">
        <v>230</v>
      </c>
      <c r="BR193" t="s">
        <v>230</v>
      </c>
      <c r="BU193" t="s">
        <v>293</v>
      </c>
      <c r="BV193" t="s">
        <v>236</v>
      </c>
      <c r="BW193" t="s">
        <v>232</v>
      </c>
      <c r="BX193" t="s">
        <v>500</v>
      </c>
      <c r="BY193" t="s">
        <v>227</v>
      </c>
      <c r="BZ193">
        <v>0.60799999999999998</v>
      </c>
      <c r="CA193" t="s">
        <v>372</v>
      </c>
      <c r="CF193" t="s">
        <v>220</v>
      </c>
      <c r="CG193">
        <v>0.318</v>
      </c>
      <c r="CH193" t="s">
        <v>220</v>
      </c>
      <c r="CI193">
        <v>0.46800000000000003</v>
      </c>
      <c r="CK193"/>
      <c r="CL193"/>
      <c r="CM193"/>
      <c r="CS193" s="8"/>
      <c r="CW193" t="s">
        <v>220</v>
      </c>
      <c r="CX193" t="s">
        <v>220</v>
      </c>
      <c r="CY193" t="s">
        <v>317</v>
      </c>
      <c r="CZ193" t="s">
        <v>220</v>
      </c>
      <c r="DA193" t="s">
        <v>220</v>
      </c>
      <c r="DB193" t="s">
        <v>227</v>
      </c>
      <c r="DC193"/>
      <c r="DD193"/>
      <c r="DE193"/>
      <c r="DF193"/>
      <c r="DG193"/>
      <c r="DH193" s="323"/>
      <c r="DI193" s="323"/>
      <c r="DJ193" s="323"/>
      <c r="DL193" t="s">
        <v>257</v>
      </c>
      <c r="DM193" t="s">
        <v>220</v>
      </c>
      <c r="DN193" t="s">
        <v>227</v>
      </c>
      <c r="DO193" t="s">
        <v>257</v>
      </c>
      <c r="DP193" t="s">
        <v>257</v>
      </c>
      <c r="DS193" s="309">
        <v>90.287999999999997</v>
      </c>
      <c r="DU193" s="338">
        <v>2468.9209999999998</v>
      </c>
      <c r="DV193" s="8" t="s">
        <v>394</v>
      </c>
      <c r="DW193">
        <v>2320</v>
      </c>
      <c r="DX193" t="s">
        <v>238</v>
      </c>
      <c r="DY193">
        <v>2030</v>
      </c>
      <c r="DZ193" t="s">
        <v>238</v>
      </c>
      <c r="EA193"/>
      <c r="EB193"/>
      <c r="ED193" s="410"/>
      <c r="EE193" s="1"/>
      <c r="EG193" s="410"/>
      <c r="EI193" s="410"/>
      <c r="EK193" s="1"/>
      <c r="EM193"/>
      <c r="EQ193" s="344"/>
      <c r="EU193" s="344"/>
      <c r="EW193" s="409"/>
      <c r="EY193" s="1"/>
      <c r="FA193">
        <v>44.14</v>
      </c>
      <c r="FB193" t="s">
        <v>225</v>
      </c>
      <c r="FC193" s="7">
        <v>137.81611401496133</v>
      </c>
      <c r="FD193" s="357" t="s">
        <v>225</v>
      </c>
      <c r="FE193" s="8">
        <v>2154.7654333634646</v>
      </c>
      <c r="FF193" t="s">
        <v>337</v>
      </c>
      <c r="FH193" s="9">
        <v>64565.422903465565</v>
      </c>
      <c r="FI193" s="9" t="s">
        <v>236</v>
      </c>
      <c r="FJ193">
        <v>2170</v>
      </c>
      <c r="FK193" t="s">
        <v>238</v>
      </c>
      <c r="FL193">
        <v>680</v>
      </c>
      <c r="FM193">
        <v>4304.2748948833105</v>
      </c>
      <c r="FN193" s="5" t="s">
        <v>337</v>
      </c>
      <c r="FP193" s="6">
        <v>22.07</v>
      </c>
      <c r="FQ193" t="s">
        <v>275</v>
      </c>
      <c r="FS193" t="s">
        <v>240</v>
      </c>
      <c r="FU193" s="8">
        <v>2</v>
      </c>
      <c r="FV193" s="8">
        <v>10</v>
      </c>
      <c r="FW193" s="8">
        <v>10</v>
      </c>
      <c r="FX193" s="8">
        <v>1</v>
      </c>
      <c r="FY193" s="8">
        <v>3</v>
      </c>
      <c r="FZ193">
        <f t="shared" ref="FZ193:FZ250" si="3">FU193*FV193*FW193*FX193*FY193</f>
        <v>600</v>
      </c>
      <c r="GA193" s="7" t="s">
        <v>326</v>
      </c>
      <c r="GB193" s="7" t="s">
        <v>326</v>
      </c>
      <c r="GC193" s="6">
        <v>1.5</v>
      </c>
      <c r="GD193" s="348" t="s">
        <v>242</v>
      </c>
      <c r="GF193" s="6">
        <v>7.3566666666666669E-2</v>
      </c>
      <c r="GH193" s="7"/>
      <c r="GI193" s="441">
        <v>0.49</v>
      </c>
      <c r="GJ193" s="441">
        <v>0.92</v>
      </c>
      <c r="GK193" s="441">
        <v>1.4710000000000001</v>
      </c>
      <c r="GL193" s="441">
        <v>3.6779999999999999</v>
      </c>
      <c r="GM193" s="461" t="s">
        <v>790</v>
      </c>
      <c r="GN193" s="6">
        <v>0.01</v>
      </c>
      <c r="GO193" s="6">
        <v>1.8749999999999999E-2</v>
      </c>
      <c r="GP193" s="6">
        <v>0.03</v>
      </c>
      <c r="GQ193" s="6">
        <v>7.4999999999999997E-2</v>
      </c>
      <c r="GR193" s="461" t="s">
        <v>790</v>
      </c>
      <c r="GU193" t="s">
        <v>243</v>
      </c>
      <c r="GV193" t="s">
        <v>236</v>
      </c>
      <c r="GW193" t="s">
        <v>244</v>
      </c>
      <c r="GX193" t="s">
        <v>236</v>
      </c>
      <c r="GY193" t="s">
        <v>245</v>
      </c>
      <c r="HE193" t="s">
        <v>384</v>
      </c>
      <c r="HF193" t="s">
        <v>223</v>
      </c>
      <c r="HG193" t="s">
        <v>231</v>
      </c>
      <c r="HH193" t="s">
        <v>225</v>
      </c>
      <c r="HI193" t="s">
        <v>247</v>
      </c>
      <c r="HJ193" t="s">
        <v>225</v>
      </c>
      <c r="HK193" t="s">
        <v>568</v>
      </c>
      <c r="HO193" t="s">
        <v>231</v>
      </c>
      <c r="HP193" t="s">
        <v>223</v>
      </c>
      <c r="HQ193" t="s">
        <v>231</v>
      </c>
      <c r="HR193" t="s">
        <v>223</v>
      </c>
      <c r="HU193" t="s">
        <v>231</v>
      </c>
      <c r="HV193" t="s">
        <v>223</v>
      </c>
      <c r="HW193" t="s">
        <v>246</v>
      </c>
      <c r="HX193" t="s">
        <v>236</v>
      </c>
      <c r="IA193" t="s">
        <v>231</v>
      </c>
      <c r="IB193" t="s">
        <v>250</v>
      </c>
      <c r="IC193">
        <v>0.49</v>
      </c>
      <c r="ID193">
        <v>0.92</v>
      </c>
      <c r="IE193">
        <v>1.4710000000000001</v>
      </c>
      <c r="IF193">
        <v>3.6779999999999999</v>
      </c>
      <c r="IG193" s="459" t="s">
        <v>451</v>
      </c>
      <c r="IH193" t="s">
        <v>267</v>
      </c>
    </row>
    <row r="194" spans="1:242" ht="159.5" x14ac:dyDescent="0.35">
      <c r="A194" s="310" t="s">
        <v>537</v>
      </c>
      <c r="B194" t="s">
        <v>1288</v>
      </c>
      <c r="C194" s="310" t="s">
        <v>1289</v>
      </c>
      <c r="D194" s="316"/>
      <c r="F194" t="s">
        <v>1290</v>
      </c>
      <c r="I194" s="310" t="s">
        <v>1291</v>
      </c>
      <c r="M194" s="313"/>
      <c r="O194"/>
      <c r="P194" s="381"/>
      <c r="Q194"/>
      <c r="T194" s="8"/>
      <c r="U194"/>
      <c r="V194" s="313"/>
      <c r="W194"/>
      <c r="X194"/>
      <c r="Z194"/>
      <c r="AB194"/>
      <c r="AD194" s="8" t="s">
        <v>230</v>
      </c>
      <c r="AF194" s="8" t="s">
        <v>230</v>
      </c>
      <c r="AG194"/>
      <c r="AH194"/>
      <c r="AI194"/>
      <c r="AJ194" t="s">
        <v>221</v>
      </c>
      <c r="AK194">
        <v>0</v>
      </c>
      <c r="AL194">
        <v>0.6</v>
      </c>
      <c r="AM194" t="s">
        <v>221</v>
      </c>
      <c r="AN194" t="s">
        <v>225</v>
      </c>
      <c r="AO194" t="s">
        <v>221</v>
      </c>
      <c r="AP194" t="s">
        <v>225</v>
      </c>
      <c r="AQ194" t="s">
        <v>221</v>
      </c>
      <c r="AR194" t="s">
        <v>225</v>
      </c>
      <c r="AS194" t="s">
        <v>221</v>
      </c>
      <c r="AT194" t="s">
        <v>225</v>
      </c>
      <c r="AU194" t="s">
        <v>220</v>
      </c>
      <c r="AV194"/>
      <c r="AW194" s="313" t="s">
        <v>220</v>
      </c>
      <c r="AX194" t="s">
        <v>226</v>
      </c>
      <c r="AY194" s="313" t="s">
        <v>220</v>
      </c>
      <c r="AZ194" s="313">
        <v>0.28000000000000003</v>
      </c>
      <c r="BB194" s="313" t="s">
        <v>220</v>
      </c>
      <c r="BC194">
        <v>0.15</v>
      </c>
      <c r="BD194" t="s">
        <v>220</v>
      </c>
      <c r="BE194">
        <v>0.182</v>
      </c>
      <c r="BF194" s="2" t="s">
        <v>220</v>
      </c>
      <c r="BG194" s="2" t="s">
        <v>273</v>
      </c>
      <c r="BH194" s="2" t="s">
        <v>274</v>
      </c>
      <c r="BI194" s="2" t="s">
        <v>275</v>
      </c>
      <c r="BM194"/>
      <c r="BP194" s="8"/>
      <c r="BQ194" t="s">
        <v>230</v>
      </c>
      <c r="BR194" t="s">
        <v>230</v>
      </c>
      <c r="BU194" t="s">
        <v>231</v>
      </c>
      <c r="BV194" t="s">
        <v>225</v>
      </c>
      <c r="BW194" t="s">
        <v>232</v>
      </c>
      <c r="BX194" t="s">
        <v>276</v>
      </c>
      <c r="BY194" t="s">
        <v>257</v>
      </c>
      <c r="BZ194">
        <v>0.56899999999999995</v>
      </c>
      <c r="CA194" t="s">
        <v>234</v>
      </c>
      <c r="CF194" t="s">
        <v>220</v>
      </c>
      <c r="CG194">
        <v>0.26900000000000002</v>
      </c>
      <c r="CH194" t="s">
        <v>220</v>
      </c>
      <c r="CI194">
        <v>0.432</v>
      </c>
      <c r="CK194"/>
      <c r="CL194"/>
      <c r="CM194"/>
      <c r="CS194" s="8"/>
      <c r="CW194" t="s">
        <v>227</v>
      </c>
      <c r="CX194" t="s">
        <v>257</v>
      </c>
      <c r="CY194" t="s">
        <v>231</v>
      </c>
      <c r="CZ194" t="s">
        <v>220</v>
      </c>
      <c r="DA194" t="s">
        <v>220</v>
      </c>
      <c r="DB194" t="s">
        <v>227</v>
      </c>
      <c r="DC194"/>
      <c r="DD194"/>
      <c r="DE194"/>
      <c r="DF194"/>
      <c r="DG194"/>
      <c r="DH194" s="323"/>
      <c r="DI194" s="323"/>
      <c r="DJ194" s="323"/>
      <c r="DL194" t="s">
        <v>257</v>
      </c>
      <c r="DM194" t="s">
        <v>220</v>
      </c>
      <c r="DN194" t="s">
        <v>227</v>
      </c>
      <c r="DO194" t="s">
        <v>220</v>
      </c>
      <c r="DP194" t="s">
        <v>220</v>
      </c>
      <c r="DS194" s="309">
        <v>141.048</v>
      </c>
      <c r="DU194" s="338">
        <v>1202.998</v>
      </c>
      <c r="DV194" s="8" t="s">
        <v>394</v>
      </c>
      <c r="DW194">
        <v>367</v>
      </c>
      <c r="DX194" t="s">
        <v>238</v>
      </c>
      <c r="DY194">
        <v>321</v>
      </c>
      <c r="DZ194" t="s">
        <v>238</v>
      </c>
      <c r="EA194"/>
      <c r="EB194"/>
      <c r="ED194" s="410"/>
      <c r="EE194" s="1"/>
      <c r="EG194" s="410"/>
      <c r="EI194" s="410"/>
      <c r="EK194" s="1"/>
      <c r="EM194"/>
      <c r="EQ194" s="344"/>
      <c r="EU194" s="344"/>
      <c r="EW194" s="409"/>
      <c r="EY194" s="1"/>
      <c r="FA194">
        <v>2514.69</v>
      </c>
      <c r="FB194" t="s">
        <v>225</v>
      </c>
      <c r="FC194" s="7">
        <v>477.08965542564891</v>
      </c>
      <c r="FD194" s="357" t="s">
        <v>236</v>
      </c>
      <c r="FE194" s="8">
        <v>20003.224078650401</v>
      </c>
      <c r="FF194" t="s">
        <v>237</v>
      </c>
      <c r="FH194" s="9">
        <v>425.40246294406825</v>
      </c>
      <c r="FI194" s="9" t="s">
        <v>225</v>
      </c>
      <c r="FJ194">
        <v>1870</v>
      </c>
      <c r="FK194" t="s">
        <v>238</v>
      </c>
      <c r="FL194">
        <v>326</v>
      </c>
      <c r="FM194">
        <v>91516.625928127687</v>
      </c>
      <c r="FN194" s="5" t="s">
        <v>237</v>
      </c>
      <c r="FP194" s="6">
        <v>32.6</v>
      </c>
      <c r="FQ194" t="s">
        <v>239</v>
      </c>
      <c r="FS194" t="s">
        <v>240</v>
      </c>
      <c r="FU194" s="8">
        <v>1</v>
      </c>
      <c r="FV194" s="8">
        <v>10</v>
      </c>
      <c r="FW194" s="8">
        <v>10</v>
      </c>
      <c r="FX194" s="8">
        <v>10</v>
      </c>
      <c r="FY194" s="8">
        <v>3</v>
      </c>
      <c r="FZ194">
        <f t="shared" si="3"/>
        <v>3000</v>
      </c>
      <c r="GA194" s="7" t="s">
        <v>241</v>
      </c>
      <c r="GB194" s="7" t="s">
        <v>241</v>
      </c>
      <c r="GC194" s="6">
        <v>30</v>
      </c>
      <c r="GD194" s="348" t="s">
        <v>242</v>
      </c>
      <c r="GF194" s="6">
        <v>0.10866666666666668</v>
      </c>
      <c r="GH194" s="7"/>
      <c r="GI194" s="441">
        <v>0.72399999999999998</v>
      </c>
      <c r="GJ194" s="441">
        <v>1.3580000000000001</v>
      </c>
      <c r="GK194" s="441">
        <v>2.173</v>
      </c>
      <c r="GL194" s="441">
        <v>5.4329999999999998</v>
      </c>
      <c r="GM194" s="461" t="s">
        <v>790</v>
      </c>
      <c r="GN194" s="6">
        <v>0.2</v>
      </c>
      <c r="GO194" s="6">
        <v>0.375</v>
      </c>
      <c r="GP194" s="6">
        <v>0.6</v>
      </c>
      <c r="GQ194" s="6">
        <v>1.5</v>
      </c>
      <c r="GR194" s="461" t="s">
        <v>790</v>
      </c>
      <c r="GU194" t="s">
        <v>365</v>
      </c>
      <c r="GV194" t="s">
        <v>236</v>
      </c>
      <c r="GW194" t="s">
        <v>244</v>
      </c>
      <c r="GX194" t="s">
        <v>236</v>
      </c>
      <c r="GY194" t="s">
        <v>245</v>
      </c>
      <c r="HE194" t="s">
        <v>247</v>
      </c>
      <c r="HF194" t="s">
        <v>223</v>
      </c>
      <c r="HG194" t="s">
        <v>231</v>
      </c>
      <c r="HH194" t="s">
        <v>223</v>
      </c>
      <c r="HI194" t="s">
        <v>247</v>
      </c>
      <c r="HJ194" t="s">
        <v>225</v>
      </c>
      <c r="HK194" t="s">
        <v>568</v>
      </c>
      <c r="HO194" t="s">
        <v>231</v>
      </c>
      <c r="HP194" t="s">
        <v>223</v>
      </c>
      <c r="HQ194" t="s">
        <v>231</v>
      </c>
      <c r="HR194" t="s">
        <v>223</v>
      </c>
      <c r="HU194" t="s">
        <v>231</v>
      </c>
      <c r="HV194" t="s">
        <v>225</v>
      </c>
      <c r="HW194" t="s">
        <v>563</v>
      </c>
      <c r="HX194" t="s">
        <v>236</v>
      </c>
      <c r="IA194" t="s">
        <v>231</v>
      </c>
      <c r="IB194" t="s">
        <v>250</v>
      </c>
      <c r="IC194">
        <v>0.72399999999999998</v>
      </c>
      <c r="ID194">
        <v>1.3580000000000001</v>
      </c>
      <c r="IE194">
        <v>2.173</v>
      </c>
      <c r="IF194">
        <v>5.4329999999999998</v>
      </c>
      <c r="IG194" s="459" t="s">
        <v>451</v>
      </c>
      <c r="IH194" t="s">
        <v>267</v>
      </c>
    </row>
    <row r="195" spans="1:242" ht="159.5" x14ac:dyDescent="0.35">
      <c r="A195" s="310" t="s">
        <v>537</v>
      </c>
      <c r="B195" t="s">
        <v>1292</v>
      </c>
      <c r="C195" s="310" t="s">
        <v>1293</v>
      </c>
      <c r="D195" s="316"/>
      <c r="F195" t="s">
        <v>1294</v>
      </c>
      <c r="I195" s="310" t="s">
        <v>1295</v>
      </c>
      <c r="M195" s="313"/>
      <c r="O195"/>
      <c r="P195" s="381"/>
      <c r="Q195"/>
      <c r="T195" s="8"/>
      <c r="U195"/>
      <c r="V195" s="313"/>
      <c r="W195"/>
      <c r="X195"/>
      <c r="Z195"/>
      <c r="AB195"/>
      <c r="AD195" s="8" t="s">
        <v>230</v>
      </c>
      <c r="AF195" s="8" t="s">
        <v>230</v>
      </c>
      <c r="AG195"/>
      <c r="AH195"/>
      <c r="AI195"/>
      <c r="AJ195" t="s">
        <v>221</v>
      </c>
      <c r="AK195">
        <v>0</v>
      </c>
      <c r="AL195">
        <v>0.6</v>
      </c>
      <c r="AM195" t="s">
        <v>221</v>
      </c>
      <c r="AN195" t="s">
        <v>225</v>
      </c>
      <c r="AO195" t="s">
        <v>221</v>
      </c>
      <c r="AP195" t="s">
        <v>225</v>
      </c>
      <c r="AQ195" t="s">
        <v>221</v>
      </c>
      <c r="AR195" t="s">
        <v>225</v>
      </c>
      <c r="AS195" t="s">
        <v>221</v>
      </c>
      <c r="AT195" t="s">
        <v>225</v>
      </c>
      <c r="AU195" t="s">
        <v>220</v>
      </c>
      <c r="AV195"/>
      <c r="AW195" s="313" t="s">
        <v>220</v>
      </c>
      <c r="AX195" t="s">
        <v>226</v>
      </c>
      <c r="AY195" s="313" t="s">
        <v>220</v>
      </c>
      <c r="AZ195" s="313">
        <v>0.153</v>
      </c>
      <c r="BB195" s="313" t="s">
        <v>220</v>
      </c>
      <c r="BC195">
        <v>8.1299999999999997E-2</v>
      </c>
      <c r="BD195" t="s">
        <v>220</v>
      </c>
      <c r="BE195">
        <v>0.13500000000000001</v>
      </c>
      <c r="BF195" s="2" t="s">
        <v>220</v>
      </c>
      <c r="BG195" s="2" t="s">
        <v>273</v>
      </c>
      <c r="BH195" s="2" t="s">
        <v>274</v>
      </c>
      <c r="BI195" s="2" t="s">
        <v>275</v>
      </c>
      <c r="BM195"/>
      <c r="BP195" s="8"/>
      <c r="BQ195" t="s">
        <v>230</v>
      </c>
      <c r="BR195" t="s">
        <v>230</v>
      </c>
      <c r="BU195" t="s">
        <v>231</v>
      </c>
      <c r="BV195" t="s">
        <v>225</v>
      </c>
      <c r="BW195" t="s">
        <v>321</v>
      </c>
      <c r="BX195" t="s">
        <v>233</v>
      </c>
      <c r="BY195" t="s">
        <v>257</v>
      </c>
      <c r="BZ195">
        <v>0.56399999999999995</v>
      </c>
      <c r="CA195" t="s">
        <v>234</v>
      </c>
      <c r="CF195" t="s">
        <v>220</v>
      </c>
      <c r="CG195">
        <v>0.25600000000000001</v>
      </c>
      <c r="CH195" t="s">
        <v>220</v>
      </c>
      <c r="CI195">
        <v>0.36899999999999999</v>
      </c>
      <c r="CK195"/>
      <c r="CL195"/>
      <c r="CM195"/>
      <c r="CS195" s="8"/>
      <c r="CW195" t="s">
        <v>220</v>
      </c>
      <c r="CX195" t="s">
        <v>220</v>
      </c>
      <c r="CY195" t="s">
        <v>317</v>
      </c>
      <c r="CZ195" t="s">
        <v>220</v>
      </c>
      <c r="DA195" t="s">
        <v>220</v>
      </c>
      <c r="DB195" t="s">
        <v>227</v>
      </c>
      <c r="DC195"/>
      <c r="DD195"/>
      <c r="DE195"/>
      <c r="DF195"/>
      <c r="DG195"/>
      <c r="DH195" s="323"/>
      <c r="DI195" s="323"/>
      <c r="DJ195" s="323"/>
      <c r="DL195" t="s">
        <v>257</v>
      </c>
      <c r="DM195" t="s">
        <v>220</v>
      </c>
      <c r="DN195" t="s">
        <v>227</v>
      </c>
      <c r="DO195" t="s">
        <v>257</v>
      </c>
      <c r="DP195" t="s">
        <v>257</v>
      </c>
      <c r="DS195" s="309">
        <v>144.28</v>
      </c>
      <c r="DU195" s="338">
        <v>1263.155</v>
      </c>
      <c r="DV195" s="8" t="s">
        <v>394</v>
      </c>
      <c r="DW195">
        <v>488</v>
      </c>
      <c r="DX195" t="s">
        <v>238</v>
      </c>
      <c r="DY195">
        <v>453</v>
      </c>
      <c r="DZ195" t="s">
        <v>238</v>
      </c>
      <c r="EA195"/>
      <c r="EB195"/>
      <c r="ED195" s="410"/>
      <c r="EE195" s="1"/>
      <c r="EG195" s="410"/>
      <c r="EI195" s="410"/>
      <c r="EK195" s="1"/>
      <c r="EM195"/>
      <c r="EQ195" s="344"/>
      <c r="EU195" s="344"/>
      <c r="EW195" s="409"/>
      <c r="EY195" s="1"/>
      <c r="FA195">
        <v>725.03</v>
      </c>
      <c r="FB195" t="s">
        <v>225</v>
      </c>
      <c r="FC195" s="7">
        <v>213.50104251272279</v>
      </c>
      <c r="FD195" s="357" t="s">
        <v>236</v>
      </c>
      <c r="FE195" s="8">
        <v>7022.6334373576392</v>
      </c>
      <c r="FF195" t="s">
        <v>237</v>
      </c>
      <c r="FH195" s="9">
        <v>10101.828705448354</v>
      </c>
      <c r="FI195" s="9" t="s">
        <v>236</v>
      </c>
      <c r="FJ195">
        <v>2100</v>
      </c>
      <c r="FK195" t="s">
        <v>238</v>
      </c>
      <c r="FL195">
        <v>301</v>
      </c>
      <c r="FM195">
        <v>69887.579613471113</v>
      </c>
      <c r="FN195" s="5" t="s">
        <v>237</v>
      </c>
      <c r="FP195" s="6">
        <v>30.1</v>
      </c>
      <c r="FQ195" t="s">
        <v>239</v>
      </c>
      <c r="FS195" t="s">
        <v>240</v>
      </c>
      <c r="FU195" s="8">
        <v>1</v>
      </c>
      <c r="FV195" s="8">
        <v>10</v>
      </c>
      <c r="FW195" s="8">
        <v>10</v>
      </c>
      <c r="FX195" s="8">
        <v>10</v>
      </c>
      <c r="FY195" s="8">
        <v>3</v>
      </c>
      <c r="FZ195">
        <f t="shared" si="3"/>
        <v>3000</v>
      </c>
      <c r="GA195" s="7" t="s">
        <v>326</v>
      </c>
      <c r="GB195" s="7" t="s">
        <v>326</v>
      </c>
      <c r="GC195" s="6">
        <v>1.5</v>
      </c>
      <c r="GD195" s="348" t="s">
        <v>242</v>
      </c>
      <c r="GF195" s="6">
        <v>0.10033333333333333</v>
      </c>
      <c r="GH195" s="7"/>
      <c r="GI195" s="441">
        <v>0.66900000000000004</v>
      </c>
      <c r="GJ195" s="441">
        <v>1.254</v>
      </c>
      <c r="GK195" s="441">
        <v>2.0070000000000001</v>
      </c>
      <c r="GL195" s="441">
        <v>5.0170000000000003</v>
      </c>
      <c r="GM195" s="461" t="s">
        <v>790</v>
      </c>
      <c r="GN195" s="6">
        <v>0.01</v>
      </c>
      <c r="GO195" s="6">
        <v>1.8749999999999999E-2</v>
      </c>
      <c r="GP195" s="6">
        <v>0.03</v>
      </c>
      <c r="GQ195" s="6">
        <v>7.4999999999999997E-2</v>
      </c>
      <c r="GR195" s="461" t="s">
        <v>790</v>
      </c>
      <c r="GU195" t="s">
        <v>243</v>
      </c>
      <c r="GV195" t="s">
        <v>236</v>
      </c>
      <c r="GW195" t="s">
        <v>244</v>
      </c>
      <c r="GX195" t="s">
        <v>236</v>
      </c>
      <c r="GY195" t="s">
        <v>245</v>
      </c>
      <c r="HE195" t="s">
        <v>247</v>
      </c>
      <c r="HF195" t="s">
        <v>225</v>
      </c>
      <c r="HG195" t="s">
        <v>231</v>
      </c>
      <c r="HH195" t="s">
        <v>223</v>
      </c>
      <c r="HI195" t="s">
        <v>247</v>
      </c>
      <c r="HJ195" t="s">
        <v>223</v>
      </c>
      <c r="HK195" t="s">
        <v>568</v>
      </c>
      <c r="HO195" t="s">
        <v>231</v>
      </c>
      <c r="HP195" t="s">
        <v>223</v>
      </c>
      <c r="HQ195" t="s">
        <v>231</v>
      </c>
      <c r="HR195" t="s">
        <v>223</v>
      </c>
      <c r="HU195" t="s">
        <v>231</v>
      </c>
      <c r="HV195" t="s">
        <v>223</v>
      </c>
      <c r="HW195" t="s">
        <v>563</v>
      </c>
      <c r="HX195" t="s">
        <v>236</v>
      </c>
      <c r="IA195" t="s">
        <v>231</v>
      </c>
      <c r="IB195" t="s">
        <v>250</v>
      </c>
      <c r="IC195">
        <v>0.66900000000000004</v>
      </c>
      <c r="ID195">
        <v>1.254</v>
      </c>
      <c r="IE195">
        <v>2.0070000000000001</v>
      </c>
      <c r="IF195">
        <v>5.0170000000000003</v>
      </c>
      <c r="IG195" s="459" t="s">
        <v>451</v>
      </c>
      <c r="IH195" t="s">
        <v>267</v>
      </c>
    </row>
    <row r="196" spans="1:242" ht="159.5" x14ac:dyDescent="0.35">
      <c r="A196" s="310" t="s">
        <v>537</v>
      </c>
      <c r="B196" t="s">
        <v>1296</v>
      </c>
      <c r="C196" s="310" t="s">
        <v>1297</v>
      </c>
      <c r="D196" s="316"/>
      <c r="F196" t="s">
        <v>1298</v>
      </c>
      <c r="I196" s="310" t="s">
        <v>1299</v>
      </c>
      <c r="M196" s="313"/>
      <c r="O196"/>
      <c r="P196" s="382"/>
      <c r="Q196"/>
      <c r="U196"/>
      <c r="V196" s="313"/>
      <c r="W196"/>
      <c r="X196"/>
      <c r="Z196"/>
      <c r="AB196"/>
      <c r="AD196" s="8" t="s">
        <v>230</v>
      </c>
      <c r="AF196" s="8" t="s">
        <v>230</v>
      </c>
      <c r="AG196"/>
      <c r="AH196"/>
      <c r="AI196"/>
      <c r="AJ196" t="s">
        <v>221</v>
      </c>
      <c r="AK196">
        <v>0.2</v>
      </c>
      <c r="AL196">
        <v>0.375</v>
      </c>
      <c r="AM196" t="s">
        <v>414</v>
      </c>
      <c r="AN196" t="s">
        <v>236</v>
      </c>
      <c r="AO196" t="s">
        <v>221</v>
      </c>
      <c r="AP196" t="s">
        <v>223</v>
      </c>
      <c r="AQ196" t="s">
        <v>414</v>
      </c>
      <c r="AR196" t="s">
        <v>225</v>
      </c>
      <c r="AS196" t="s">
        <v>221</v>
      </c>
      <c r="AT196" t="s">
        <v>225</v>
      </c>
      <c r="AU196" t="s">
        <v>220</v>
      </c>
      <c r="AV196"/>
      <c r="AW196" s="313" t="s">
        <v>220</v>
      </c>
      <c r="AX196" t="s">
        <v>226</v>
      </c>
      <c r="AY196" s="313" t="s">
        <v>220</v>
      </c>
      <c r="AZ196" s="313">
        <v>0.10199999999999999</v>
      </c>
      <c r="BB196" s="313" t="s">
        <v>220</v>
      </c>
      <c r="BC196">
        <v>3.9600000000000003E-2</v>
      </c>
      <c r="BD196" t="s">
        <v>220</v>
      </c>
      <c r="BE196">
        <v>0.15</v>
      </c>
      <c r="BF196" s="2" t="s">
        <v>220</v>
      </c>
      <c r="BG196" s="2" t="s">
        <v>653</v>
      </c>
      <c r="BH196" s="2" t="s">
        <v>274</v>
      </c>
      <c r="BI196" s="2" t="s">
        <v>275</v>
      </c>
      <c r="BM196"/>
      <c r="BP196" s="8"/>
      <c r="BQ196" t="s">
        <v>230</v>
      </c>
      <c r="BR196" t="s">
        <v>230</v>
      </c>
      <c r="BU196" t="s">
        <v>317</v>
      </c>
      <c r="BV196" t="s">
        <v>223</v>
      </c>
      <c r="BW196" t="s">
        <v>232</v>
      </c>
      <c r="BX196" t="s">
        <v>500</v>
      </c>
      <c r="BY196" t="s">
        <v>220</v>
      </c>
      <c r="BZ196">
        <v>0.435</v>
      </c>
      <c r="CA196" t="s">
        <v>372</v>
      </c>
      <c r="CF196" t="s">
        <v>220</v>
      </c>
      <c r="CG196">
        <v>0.28699999999999998</v>
      </c>
      <c r="CH196" t="s">
        <v>220</v>
      </c>
      <c r="CI196">
        <v>0.37</v>
      </c>
      <c r="CK196"/>
      <c r="CL196"/>
      <c r="CM196"/>
      <c r="CS196" s="8"/>
      <c r="CW196" t="s">
        <v>220</v>
      </c>
      <c r="CX196" t="s">
        <v>220</v>
      </c>
      <c r="CY196" t="s">
        <v>231</v>
      </c>
      <c r="CZ196" t="s">
        <v>220</v>
      </c>
      <c r="DA196" t="s">
        <v>220</v>
      </c>
      <c r="DB196" t="s">
        <v>227</v>
      </c>
      <c r="DC196"/>
      <c r="DD196"/>
      <c r="DE196"/>
      <c r="DF196"/>
      <c r="DG196"/>
      <c r="DH196" s="323"/>
      <c r="DI196" s="323"/>
      <c r="DJ196" s="323"/>
      <c r="DL196" t="s">
        <v>257</v>
      </c>
      <c r="DM196" t="s">
        <v>220</v>
      </c>
      <c r="DN196" t="s">
        <v>227</v>
      </c>
      <c r="DO196" t="s">
        <v>257</v>
      </c>
      <c r="DP196" t="s">
        <v>257</v>
      </c>
      <c r="DS196" s="309">
        <v>70.965999999999994</v>
      </c>
      <c r="DU196" s="338">
        <v>1835.0940000000001</v>
      </c>
      <c r="DV196" s="8" t="s">
        <v>394</v>
      </c>
      <c r="DW196">
        <v>2440</v>
      </c>
      <c r="DX196" t="s">
        <v>238</v>
      </c>
      <c r="DY196">
        <v>2210</v>
      </c>
      <c r="DZ196" t="s">
        <v>238</v>
      </c>
      <c r="EA196"/>
      <c r="EB196"/>
      <c r="ED196" s="410"/>
      <c r="EE196" s="1"/>
      <c r="EG196" s="410"/>
      <c r="EI196" s="410"/>
      <c r="EK196" s="1"/>
      <c r="EM196"/>
      <c r="EQ196" s="344"/>
      <c r="EU196" s="344"/>
      <c r="EW196" s="409"/>
      <c r="EY196" s="1"/>
      <c r="FA196">
        <v>33.14</v>
      </c>
      <c r="FB196" t="s">
        <v>225</v>
      </c>
      <c r="FC196" s="7">
        <v>142.00381105421548</v>
      </c>
      <c r="FD196" s="357" t="s">
        <v>225</v>
      </c>
      <c r="FE196" s="8">
        <v>851.92232642854788</v>
      </c>
      <c r="FF196" t="s">
        <v>337</v>
      </c>
      <c r="FH196" s="9">
        <v>41591.061049402262</v>
      </c>
      <c r="FI196" s="9" t="s">
        <v>236</v>
      </c>
      <c r="FJ196">
        <v>2380</v>
      </c>
      <c r="FK196" t="s">
        <v>238</v>
      </c>
      <c r="FL196">
        <v>634</v>
      </c>
      <c r="FM196">
        <v>1644.3717232149334</v>
      </c>
      <c r="FN196" s="5" t="s">
        <v>337</v>
      </c>
      <c r="FP196" s="6">
        <v>16.57</v>
      </c>
      <c r="FQ196" t="s">
        <v>275</v>
      </c>
      <c r="FS196" t="s">
        <v>240</v>
      </c>
      <c r="FU196" s="8">
        <v>2</v>
      </c>
      <c r="FV196" s="8">
        <v>10</v>
      </c>
      <c r="FW196" s="8">
        <v>10</v>
      </c>
      <c r="FX196" s="8">
        <v>1</v>
      </c>
      <c r="FY196" s="8">
        <v>3</v>
      </c>
      <c r="FZ196">
        <f t="shared" si="3"/>
        <v>600</v>
      </c>
      <c r="GA196" s="7" t="s">
        <v>326</v>
      </c>
      <c r="GB196" s="7" t="s">
        <v>326</v>
      </c>
      <c r="GC196" s="6">
        <v>1.5</v>
      </c>
      <c r="GD196" s="348" t="s">
        <v>242</v>
      </c>
      <c r="GF196" s="6">
        <v>5.5233333333333336E-2</v>
      </c>
      <c r="GH196" s="7"/>
      <c r="GI196" s="441">
        <v>0.36799999999999999</v>
      </c>
      <c r="GJ196" s="441">
        <v>0.69</v>
      </c>
      <c r="GK196" s="441">
        <v>1.105</v>
      </c>
      <c r="GL196" s="441">
        <v>2.762</v>
      </c>
      <c r="GM196" s="461" t="s">
        <v>790</v>
      </c>
      <c r="GN196" s="6">
        <v>0.01</v>
      </c>
      <c r="GO196" s="6">
        <v>1.8749999999999999E-2</v>
      </c>
      <c r="GP196" s="6">
        <v>0.03</v>
      </c>
      <c r="GQ196" s="6">
        <v>7.4999999999999997E-2</v>
      </c>
      <c r="GR196" s="461" t="s">
        <v>790</v>
      </c>
      <c r="GU196" t="s">
        <v>365</v>
      </c>
      <c r="GV196" t="s">
        <v>223</v>
      </c>
      <c r="GW196" t="s">
        <v>244</v>
      </c>
      <c r="GX196" t="s">
        <v>236</v>
      </c>
      <c r="GY196" t="s">
        <v>245</v>
      </c>
      <c r="HE196" t="s">
        <v>247</v>
      </c>
      <c r="HF196" t="s">
        <v>225</v>
      </c>
      <c r="HG196" t="s">
        <v>231</v>
      </c>
      <c r="HH196" t="s">
        <v>223</v>
      </c>
      <c r="HI196" t="s">
        <v>247</v>
      </c>
      <c r="HJ196" t="s">
        <v>225</v>
      </c>
      <c r="HK196" t="s">
        <v>568</v>
      </c>
      <c r="HO196" t="s">
        <v>231</v>
      </c>
      <c r="HP196" t="s">
        <v>223</v>
      </c>
      <c r="HQ196" t="s">
        <v>231</v>
      </c>
      <c r="HR196" t="s">
        <v>223</v>
      </c>
      <c r="HU196" t="s">
        <v>231</v>
      </c>
      <c r="HV196" t="s">
        <v>223</v>
      </c>
      <c r="HW196" t="s">
        <v>246</v>
      </c>
      <c r="HX196" t="s">
        <v>236</v>
      </c>
      <c r="IA196" t="s">
        <v>231</v>
      </c>
      <c r="IB196" t="s">
        <v>250</v>
      </c>
      <c r="IC196">
        <v>0.36799999999999999</v>
      </c>
      <c r="ID196">
        <v>0.69</v>
      </c>
      <c r="IE196">
        <v>1.105</v>
      </c>
      <c r="IF196">
        <v>2.762</v>
      </c>
      <c r="IG196" s="459" t="s">
        <v>451</v>
      </c>
      <c r="IH196" t="s">
        <v>267</v>
      </c>
    </row>
    <row r="197" spans="1:242" ht="159.5" x14ac:dyDescent="0.35">
      <c r="A197" s="310" t="s">
        <v>537</v>
      </c>
      <c r="B197" t="s">
        <v>1300</v>
      </c>
      <c r="C197" s="310" t="s">
        <v>1301</v>
      </c>
      <c r="D197" s="316"/>
      <c r="F197" t="s">
        <v>1302</v>
      </c>
      <c r="I197" s="310" t="s">
        <v>1303</v>
      </c>
      <c r="M197" s="313"/>
      <c r="O197"/>
      <c r="P197" s="381"/>
      <c r="Q197"/>
      <c r="T197" s="8"/>
      <c r="U197"/>
      <c r="V197" s="313"/>
      <c r="W197"/>
      <c r="X197"/>
      <c r="Z197"/>
      <c r="AB197"/>
      <c r="AD197" s="8" t="s">
        <v>230</v>
      </c>
      <c r="AF197" s="8" t="s">
        <v>230</v>
      </c>
      <c r="AG197"/>
      <c r="AH197"/>
      <c r="AI197"/>
      <c r="AJ197" t="s">
        <v>221</v>
      </c>
      <c r="AK197">
        <v>0</v>
      </c>
      <c r="AL197">
        <v>0.6</v>
      </c>
      <c r="AM197" t="s">
        <v>221</v>
      </c>
      <c r="AN197" t="s">
        <v>225</v>
      </c>
      <c r="AO197" t="s">
        <v>221</v>
      </c>
      <c r="AP197" t="s">
        <v>225</v>
      </c>
      <c r="AQ197" t="s">
        <v>221</v>
      </c>
      <c r="AR197" t="s">
        <v>225</v>
      </c>
      <c r="AS197" t="s">
        <v>221</v>
      </c>
      <c r="AT197" t="s">
        <v>225</v>
      </c>
      <c r="AU197" t="s">
        <v>220</v>
      </c>
      <c r="AV197"/>
      <c r="AW197" s="313" t="s">
        <v>220</v>
      </c>
      <c r="AX197" t="s">
        <v>226</v>
      </c>
      <c r="AY197" s="313" t="s">
        <v>220</v>
      </c>
      <c r="AZ197" s="313">
        <v>0.153</v>
      </c>
      <c r="BB197" s="313" t="s">
        <v>220</v>
      </c>
      <c r="BC197">
        <v>8.0399999999999999E-2</v>
      </c>
      <c r="BD197" t="s">
        <v>220</v>
      </c>
      <c r="BE197">
        <v>0.13</v>
      </c>
      <c r="BF197" s="2" t="s">
        <v>220</v>
      </c>
      <c r="BG197" s="2" t="s">
        <v>273</v>
      </c>
      <c r="BH197" s="2" t="s">
        <v>274</v>
      </c>
      <c r="BI197" s="2" t="s">
        <v>275</v>
      </c>
      <c r="BM197"/>
      <c r="BP197" s="8"/>
      <c r="BQ197" t="s">
        <v>230</v>
      </c>
      <c r="BR197" t="s">
        <v>230</v>
      </c>
      <c r="BU197" t="s">
        <v>231</v>
      </c>
      <c r="BV197" t="s">
        <v>236</v>
      </c>
      <c r="BW197" t="s">
        <v>321</v>
      </c>
      <c r="BX197" t="s">
        <v>233</v>
      </c>
      <c r="BY197" t="s">
        <v>257</v>
      </c>
      <c r="BZ197">
        <v>0.56299999999999994</v>
      </c>
      <c r="CA197" t="s">
        <v>234</v>
      </c>
      <c r="CF197" t="s">
        <v>220</v>
      </c>
      <c r="CG197">
        <v>0.24299999999999999</v>
      </c>
      <c r="CH197" t="s">
        <v>220</v>
      </c>
      <c r="CI197">
        <v>0.35299999999999998</v>
      </c>
      <c r="CK197"/>
      <c r="CL197"/>
      <c r="CM197"/>
      <c r="CS197" s="8"/>
      <c r="CW197" t="s">
        <v>220</v>
      </c>
      <c r="CX197" t="s">
        <v>220</v>
      </c>
      <c r="CY197" t="s">
        <v>317</v>
      </c>
      <c r="CZ197" t="s">
        <v>220</v>
      </c>
      <c r="DA197" t="s">
        <v>220</v>
      </c>
      <c r="DB197" t="s">
        <v>227</v>
      </c>
      <c r="DC197"/>
      <c r="DD197"/>
      <c r="DE197"/>
      <c r="DF197"/>
      <c r="DG197"/>
      <c r="DH197" s="323"/>
      <c r="DI197" s="323"/>
      <c r="DJ197" s="323"/>
      <c r="DL197" t="s">
        <v>220</v>
      </c>
      <c r="DM197" t="s">
        <v>220</v>
      </c>
      <c r="DN197" t="s">
        <v>227</v>
      </c>
      <c r="DO197" t="s">
        <v>257</v>
      </c>
      <c r="DP197" t="s">
        <v>257</v>
      </c>
      <c r="DS197" s="309">
        <v>166.95</v>
      </c>
      <c r="DU197" s="338">
        <v>1326.683</v>
      </c>
      <c r="DV197" s="8" t="s">
        <v>394</v>
      </c>
      <c r="DW197">
        <v>370</v>
      </c>
      <c r="DX197" t="s">
        <v>238</v>
      </c>
      <c r="DY197">
        <v>619</v>
      </c>
      <c r="DZ197" t="s">
        <v>238</v>
      </c>
      <c r="EA197"/>
      <c r="EB197"/>
      <c r="ED197" s="410"/>
      <c r="EE197" s="1"/>
      <c r="EG197" s="410"/>
      <c r="EI197" s="410"/>
      <c r="EK197" s="1"/>
      <c r="EM197"/>
      <c r="EQ197" s="344"/>
      <c r="EU197" s="344"/>
      <c r="EW197" s="409"/>
      <c r="EY197" s="1"/>
      <c r="FA197">
        <v>209.04</v>
      </c>
      <c r="FB197" t="s">
        <v>225</v>
      </c>
      <c r="FC197" s="7">
        <v>132.83117061069001</v>
      </c>
      <c r="FD197" s="357" t="s">
        <v>236</v>
      </c>
      <c r="FE197" s="8">
        <v>17554.96629621234</v>
      </c>
      <c r="FF197" t="s">
        <v>237</v>
      </c>
      <c r="FH197" s="9">
        <v>58857.254526120159</v>
      </c>
      <c r="FI197" s="9" t="s">
        <v>236</v>
      </c>
      <c r="FJ197">
        <v>2240</v>
      </c>
      <c r="FK197" t="s">
        <v>238</v>
      </c>
      <c r="FL197">
        <v>292</v>
      </c>
      <c r="FM197">
        <v>140831.56323665308</v>
      </c>
      <c r="FN197" s="5" t="s">
        <v>237</v>
      </c>
      <c r="FP197" s="6">
        <v>29.2</v>
      </c>
      <c r="FQ197" t="s">
        <v>239</v>
      </c>
      <c r="FS197" t="s">
        <v>240</v>
      </c>
      <c r="FU197" s="8">
        <v>1</v>
      </c>
      <c r="FV197" s="8">
        <v>10</v>
      </c>
      <c r="FW197" s="8">
        <v>10</v>
      </c>
      <c r="FX197" s="8">
        <v>10</v>
      </c>
      <c r="FY197" s="8">
        <v>3</v>
      </c>
      <c r="FZ197">
        <f t="shared" si="3"/>
        <v>3000</v>
      </c>
      <c r="GA197" s="7" t="s">
        <v>326</v>
      </c>
      <c r="GB197" s="7" t="s">
        <v>326</v>
      </c>
      <c r="GC197" s="6">
        <v>1.5</v>
      </c>
      <c r="GD197" s="348" t="s">
        <v>242</v>
      </c>
      <c r="GF197" s="6">
        <v>9.7333333333333327E-2</v>
      </c>
      <c r="GH197" s="7"/>
      <c r="GI197" s="441">
        <v>0.64900000000000002</v>
      </c>
      <c r="GJ197" s="441">
        <v>1.2170000000000001</v>
      </c>
      <c r="GK197" s="441">
        <v>1.9470000000000001</v>
      </c>
      <c r="GL197" s="441">
        <v>4.867</v>
      </c>
      <c r="GM197" s="461" t="s">
        <v>790</v>
      </c>
      <c r="GN197" s="6">
        <v>0.01</v>
      </c>
      <c r="GO197" s="6">
        <v>1.8749999999999999E-2</v>
      </c>
      <c r="GP197" s="6">
        <v>0.03</v>
      </c>
      <c r="GQ197" s="6">
        <v>7.4999999999999997E-2</v>
      </c>
      <c r="GR197" s="461" t="s">
        <v>790</v>
      </c>
      <c r="GU197" t="s">
        <v>243</v>
      </c>
      <c r="GV197" t="s">
        <v>236</v>
      </c>
      <c r="GW197" t="s">
        <v>244</v>
      </c>
      <c r="GX197" t="s">
        <v>236</v>
      </c>
      <c r="GY197" t="s">
        <v>245</v>
      </c>
      <c r="HE197" t="s">
        <v>247</v>
      </c>
      <c r="HF197" t="s">
        <v>225</v>
      </c>
      <c r="HG197" t="s">
        <v>231</v>
      </c>
      <c r="HH197" t="s">
        <v>223</v>
      </c>
      <c r="HI197" t="s">
        <v>247</v>
      </c>
      <c r="HJ197" t="s">
        <v>225</v>
      </c>
      <c r="HK197" t="s">
        <v>568</v>
      </c>
      <c r="HO197" t="s">
        <v>231</v>
      </c>
      <c r="HP197" t="s">
        <v>223</v>
      </c>
      <c r="HQ197" t="s">
        <v>231</v>
      </c>
      <c r="HR197" t="s">
        <v>223</v>
      </c>
      <c r="HU197" t="s">
        <v>231</v>
      </c>
      <c r="HV197" t="s">
        <v>223</v>
      </c>
      <c r="HW197" t="s">
        <v>563</v>
      </c>
      <c r="HX197" t="s">
        <v>236</v>
      </c>
      <c r="IA197" t="s">
        <v>231</v>
      </c>
      <c r="IB197" t="s">
        <v>250</v>
      </c>
      <c r="IC197">
        <v>0.64900000000000002</v>
      </c>
      <c r="ID197">
        <v>1.2170000000000001</v>
      </c>
      <c r="IE197">
        <v>1.9470000000000001</v>
      </c>
      <c r="IF197">
        <v>4.867</v>
      </c>
      <c r="IG197" s="459" t="s">
        <v>451</v>
      </c>
      <c r="IH197" t="s">
        <v>267</v>
      </c>
    </row>
    <row r="198" spans="1:242" ht="159.5" x14ac:dyDescent="0.35">
      <c r="A198" s="310" t="s">
        <v>537</v>
      </c>
      <c r="B198" t="s">
        <v>1304</v>
      </c>
      <c r="C198" s="310" t="s">
        <v>1305</v>
      </c>
      <c r="D198" s="316"/>
      <c r="F198" t="s">
        <v>1306</v>
      </c>
      <c r="I198" s="310" t="s">
        <v>1307</v>
      </c>
      <c r="M198" s="313"/>
      <c r="O198"/>
      <c r="P198" s="381"/>
      <c r="Q198"/>
      <c r="T198" s="8"/>
      <c r="U198"/>
      <c r="V198" s="313"/>
      <c r="W198"/>
      <c r="X198"/>
      <c r="Z198"/>
      <c r="AB198"/>
      <c r="AD198" s="8" t="s">
        <v>230</v>
      </c>
      <c r="AF198" s="8" t="s">
        <v>230</v>
      </c>
      <c r="AG198"/>
      <c r="AH198"/>
      <c r="AI198"/>
      <c r="AJ198" t="s">
        <v>221</v>
      </c>
      <c r="AK198">
        <v>0.1</v>
      </c>
      <c r="AL198">
        <v>0.375</v>
      </c>
      <c r="AM198" t="s">
        <v>414</v>
      </c>
      <c r="AN198" t="s">
        <v>236</v>
      </c>
      <c r="AO198" t="s">
        <v>221</v>
      </c>
      <c r="AP198" t="s">
        <v>223</v>
      </c>
      <c r="AQ198" t="s">
        <v>414</v>
      </c>
      <c r="AR198" t="s">
        <v>236</v>
      </c>
      <c r="AS198" t="s">
        <v>221</v>
      </c>
      <c r="AT198" t="s">
        <v>225</v>
      </c>
      <c r="AU198" t="s">
        <v>220</v>
      </c>
      <c r="AV198"/>
      <c r="AW198" s="313" t="s">
        <v>220</v>
      </c>
      <c r="AX198" t="s">
        <v>226</v>
      </c>
      <c r="AY198" s="313" t="s">
        <v>220</v>
      </c>
      <c r="AZ198" s="313">
        <v>0.10199999999999999</v>
      </c>
      <c r="BB198" s="313" t="s">
        <v>220</v>
      </c>
      <c r="BC198">
        <v>3.8800000000000001E-2</v>
      </c>
      <c r="BD198" t="s">
        <v>220</v>
      </c>
      <c r="BE198">
        <v>0.13900000000000001</v>
      </c>
      <c r="BF198" s="2" t="s">
        <v>220</v>
      </c>
      <c r="BG198" s="2" t="s">
        <v>653</v>
      </c>
      <c r="BH198" s="2" t="s">
        <v>274</v>
      </c>
      <c r="BI198" s="2" t="s">
        <v>275</v>
      </c>
      <c r="BM198"/>
      <c r="BP198" s="8"/>
      <c r="BQ198" t="s">
        <v>230</v>
      </c>
      <c r="BR198" t="s">
        <v>230</v>
      </c>
      <c r="BU198" t="s">
        <v>317</v>
      </c>
      <c r="BV198" t="s">
        <v>223</v>
      </c>
      <c r="BW198" t="s">
        <v>232</v>
      </c>
      <c r="BX198" t="s">
        <v>500</v>
      </c>
      <c r="BY198" t="s">
        <v>220</v>
      </c>
      <c r="BZ198">
        <v>0.43</v>
      </c>
      <c r="CA198" t="s">
        <v>372</v>
      </c>
      <c r="CF198" t="s">
        <v>220</v>
      </c>
      <c r="CG198">
        <v>0.25700000000000001</v>
      </c>
      <c r="CH198" t="s">
        <v>220</v>
      </c>
      <c r="CI198">
        <v>0.33200000000000002</v>
      </c>
      <c r="CK198"/>
      <c r="CL198"/>
      <c r="CM198"/>
      <c r="CS198" s="8"/>
      <c r="CW198" t="s">
        <v>220</v>
      </c>
      <c r="CX198" t="s">
        <v>220</v>
      </c>
      <c r="CY198" t="s">
        <v>231</v>
      </c>
      <c r="CZ198" t="s">
        <v>220</v>
      </c>
      <c r="DA198" t="s">
        <v>220</v>
      </c>
      <c r="DB198" t="s">
        <v>227</v>
      </c>
      <c r="DC198"/>
      <c r="DD198"/>
      <c r="DE198"/>
      <c r="DF198"/>
      <c r="DG198"/>
      <c r="DH198" s="323"/>
      <c r="DI198" s="323"/>
      <c r="DJ198" s="323"/>
      <c r="DL198" t="s">
        <v>257</v>
      </c>
      <c r="DM198" t="s">
        <v>220</v>
      </c>
      <c r="DN198" t="s">
        <v>227</v>
      </c>
      <c r="DO198" t="s">
        <v>257</v>
      </c>
      <c r="DP198" t="s">
        <v>257</v>
      </c>
      <c r="DS198" s="309">
        <v>45.796999999999997</v>
      </c>
      <c r="DU198" s="338">
        <v>679.48299999999995</v>
      </c>
      <c r="DV198" s="8" t="s">
        <v>394</v>
      </c>
      <c r="DW198">
        <v>1600</v>
      </c>
      <c r="DX198" t="s">
        <v>238</v>
      </c>
      <c r="DY198"/>
      <c r="DZ198" t="s">
        <v>235</v>
      </c>
      <c r="EA198"/>
      <c r="EB198"/>
      <c r="ED198" s="410"/>
      <c r="EE198" s="1"/>
      <c r="EG198" s="410"/>
      <c r="EI198" s="410"/>
      <c r="EK198" s="1"/>
      <c r="EM198"/>
      <c r="EQ198" s="344"/>
      <c r="EU198" s="344"/>
      <c r="EW198" s="409"/>
      <c r="EY198" s="1"/>
      <c r="FA198">
        <v>24.88</v>
      </c>
      <c r="FB198" t="s">
        <v>225</v>
      </c>
      <c r="FC198" s="7">
        <v>58.076441752131217</v>
      </c>
      <c r="FD198" s="357" t="s">
        <v>225</v>
      </c>
      <c r="FE198" s="8">
        <v>336.82165076063131</v>
      </c>
      <c r="FF198" t="s">
        <v>337</v>
      </c>
      <c r="FH198" s="9">
        <v>72276.980360217087</v>
      </c>
      <c r="FI198" s="9" t="s">
        <v>236</v>
      </c>
      <c r="FJ198">
        <v>2360</v>
      </c>
      <c r="FK198" t="s">
        <v>238</v>
      </c>
      <c r="FL198">
        <v>574</v>
      </c>
      <c r="FM198">
        <v>628.20299124555663</v>
      </c>
      <c r="FN198" s="5" t="s">
        <v>337</v>
      </c>
      <c r="FP198" s="6">
        <v>12.44</v>
      </c>
      <c r="FQ198" t="s">
        <v>275</v>
      </c>
      <c r="FS198" t="s">
        <v>240</v>
      </c>
      <c r="FU198" s="8">
        <v>2</v>
      </c>
      <c r="FV198" s="8">
        <v>10</v>
      </c>
      <c r="FW198" s="8">
        <v>10</v>
      </c>
      <c r="FX198" s="8">
        <v>1</v>
      </c>
      <c r="FY198" s="8">
        <v>3</v>
      </c>
      <c r="FZ198">
        <f t="shared" si="3"/>
        <v>600</v>
      </c>
      <c r="GA198" s="7" t="s">
        <v>326</v>
      </c>
      <c r="GB198" s="7" t="s">
        <v>326</v>
      </c>
      <c r="GC198" s="6">
        <v>1.5</v>
      </c>
      <c r="GD198" s="348" t="s">
        <v>242</v>
      </c>
      <c r="GF198" s="6">
        <v>4.1466666666666666E-2</v>
      </c>
      <c r="GH198" s="7"/>
      <c r="GI198" s="441">
        <v>0.27600000000000002</v>
      </c>
      <c r="GJ198" s="441">
        <v>0.51800000000000002</v>
      </c>
      <c r="GK198" s="441">
        <v>0.82899999999999996</v>
      </c>
      <c r="GL198" s="441">
        <v>2.073</v>
      </c>
      <c r="GM198" s="461" t="s">
        <v>790</v>
      </c>
      <c r="GN198" s="6">
        <v>0.01</v>
      </c>
      <c r="GO198" s="6">
        <v>1.8749999999999999E-2</v>
      </c>
      <c r="GP198" s="6">
        <v>0.03</v>
      </c>
      <c r="GQ198" s="6">
        <v>7.4999999999999997E-2</v>
      </c>
      <c r="GR198" s="461" t="s">
        <v>790</v>
      </c>
      <c r="GU198" t="s">
        <v>365</v>
      </c>
      <c r="GV198" t="s">
        <v>223</v>
      </c>
      <c r="GW198" t="s">
        <v>244</v>
      </c>
      <c r="GX198" t="s">
        <v>236</v>
      </c>
      <c r="GY198" t="s">
        <v>245</v>
      </c>
      <c r="HE198" t="s">
        <v>247</v>
      </c>
      <c r="HF198" t="s">
        <v>225</v>
      </c>
      <c r="HG198" t="s">
        <v>231</v>
      </c>
      <c r="HH198" t="s">
        <v>223</v>
      </c>
      <c r="HI198" t="s">
        <v>247</v>
      </c>
      <c r="HJ198" t="s">
        <v>225</v>
      </c>
      <c r="HK198" t="s">
        <v>568</v>
      </c>
      <c r="HO198" t="s">
        <v>231</v>
      </c>
      <c r="HP198" t="s">
        <v>223</v>
      </c>
      <c r="HQ198" t="s">
        <v>231</v>
      </c>
      <c r="HR198" t="s">
        <v>223</v>
      </c>
      <c r="HU198" t="s">
        <v>231</v>
      </c>
      <c r="HV198" t="s">
        <v>223</v>
      </c>
      <c r="HW198" t="s">
        <v>246</v>
      </c>
      <c r="HX198" t="s">
        <v>236</v>
      </c>
      <c r="IA198" t="s">
        <v>231</v>
      </c>
      <c r="IB198" t="s">
        <v>250</v>
      </c>
      <c r="IC198">
        <v>0.27600000000000002</v>
      </c>
      <c r="ID198">
        <v>0.51800000000000002</v>
      </c>
      <c r="IE198">
        <v>0.82899999999999996</v>
      </c>
      <c r="IF198">
        <v>2.073</v>
      </c>
      <c r="IG198" s="459" t="s">
        <v>451</v>
      </c>
      <c r="IH198" t="s">
        <v>267</v>
      </c>
    </row>
    <row r="199" spans="1:242" ht="159.5" x14ac:dyDescent="0.35">
      <c r="A199" s="310" t="s">
        <v>537</v>
      </c>
      <c r="B199" t="s">
        <v>1308</v>
      </c>
      <c r="C199" s="310" t="s">
        <v>1309</v>
      </c>
      <c r="D199" s="316"/>
      <c r="F199" t="s">
        <v>1310</v>
      </c>
      <c r="I199" s="310" t="s">
        <v>1307</v>
      </c>
      <c r="M199" s="313"/>
      <c r="O199"/>
      <c r="P199" s="382"/>
      <c r="Q199"/>
      <c r="U199"/>
      <c r="V199" s="313"/>
      <c r="W199"/>
      <c r="X199"/>
      <c r="Z199"/>
      <c r="AB199"/>
      <c r="AD199" s="8" t="s">
        <v>230</v>
      </c>
      <c r="AF199" s="8" t="s">
        <v>230</v>
      </c>
      <c r="AG199"/>
      <c r="AH199"/>
      <c r="AI199"/>
      <c r="AJ199" t="s">
        <v>221</v>
      </c>
      <c r="AK199">
        <v>0.1</v>
      </c>
      <c r="AL199">
        <v>0.375</v>
      </c>
      <c r="AM199" t="s">
        <v>414</v>
      </c>
      <c r="AN199" t="s">
        <v>236</v>
      </c>
      <c r="AO199" t="s">
        <v>221</v>
      </c>
      <c r="AP199" t="s">
        <v>223</v>
      </c>
      <c r="AQ199" t="s">
        <v>414</v>
      </c>
      <c r="AR199" t="s">
        <v>236</v>
      </c>
      <c r="AS199" t="s">
        <v>221</v>
      </c>
      <c r="AT199" t="s">
        <v>225</v>
      </c>
      <c r="AU199" t="s">
        <v>220</v>
      </c>
      <c r="AV199"/>
      <c r="AW199" s="313" t="s">
        <v>220</v>
      </c>
      <c r="AX199" t="s">
        <v>226</v>
      </c>
      <c r="AY199" s="313" t="s">
        <v>220</v>
      </c>
      <c r="AZ199" s="313">
        <v>0.10199999999999999</v>
      </c>
      <c r="BB199" s="313" t="s">
        <v>220</v>
      </c>
      <c r="BC199">
        <v>3.8800000000000001E-2</v>
      </c>
      <c r="BD199" t="s">
        <v>220</v>
      </c>
      <c r="BE199">
        <v>0.13900000000000001</v>
      </c>
      <c r="BF199" s="2" t="s">
        <v>220</v>
      </c>
      <c r="BG199" s="2" t="s">
        <v>653</v>
      </c>
      <c r="BH199" s="2" t="s">
        <v>274</v>
      </c>
      <c r="BI199" s="2" t="s">
        <v>275</v>
      </c>
      <c r="BM199"/>
      <c r="BP199" s="8"/>
      <c r="BQ199" t="s">
        <v>230</v>
      </c>
      <c r="BR199" t="s">
        <v>230</v>
      </c>
      <c r="BU199" t="s">
        <v>317</v>
      </c>
      <c r="BV199" t="s">
        <v>223</v>
      </c>
      <c r="BW199" t="s">
        <v>232</v>
      </c>
      <c r="BX199" t="s">
        <v>474</v>
      </c>
      <c r="BY199" t="s">
        <v>220</v>
      </c>
      <c r="BZ199">
        <v>0.43</v>
      </c>
      <c r="CA199" t="s">
        <v>372</v>
      </c>
      <c r="CF199" t="s">
        <v>220</v>
      </c>
      <c r="CG199">
        <v>0.25700000000000001</v>
      </c>
      <c r="CH199" t="s">
        <v>220</v>
      </c>
      <c r="CI199">
        <v>0.33200000000000002</v>
      </c>
      <c r="CK199"/>
      <c r="CL199"/>
      <c r="CM199"/>
      <c r="CS199" s="8"/>
      <c r="CW199" t="s">
        <v>220</v>
      </c>
      <c r="CX199" t="s">
        <v>220</v>
      </c>
      <c r="CY199" t="s">
        <v>231</v>
      </c>
      <c r="CZ199" t="s">
        <v>220</v>
      </c>
      <c r="DA199" t="s">
        <v>220</v>
      </c>
      <c r="DB199" t="s">
        <v>227</v>
      </c>
      <c r="DC199"/>
      <c r="DD199"/>
      <c r="DE199"/>
      <c r="DF199"/>
      <c r="DG199"/>
      <c r="DH199" s="323"/>
      <c r="DI199" s="323"/>
      <c r="DJ199" s="323"/>
      <c r="DL199" t="s">
        <v>257</v>
      </c>
      <c r="DM199" t="s">
        <v>220</v>
      </c>
      <c r="DN199" t="s">
        <v>227</v>
      </c>
      <c r="DO199" t="s">
        <v>257</v>
      </c>
      <c r="DP199" t="s">
        <v>257</v>
      </c>
      <c r="DS199" s="309">
        <v>46.392000000000003</v>
      </c>
      <c r="DU199" s="338">
        <v>869.45600000000002</v>
      </c>
      <c r="DV199" s="8" t="s">
        <v>394</v>
      </c>
      <c r="DW199">
        <v>2640</v>
      </c>
      <c r="DX199" t="s">
        <v>238</v>
      </c>
      <c r="DY199">
        <v>2360</v>
      </c>
      <c r="DZ199" t="s">
        <v>238</v>
      </c>
      <c r="EA199"/>
      <c r="EB199"/>
      <c r="ED199" s="410"/>
      <c r="EE199" s="1"/>
      <c r="EG199" s="410"/>
      <c r="EI199" s="410"/>
      <c r="EK199" s="1"/>
      <c r="EM199"/>
      <c r="EQ199" s="344"/>
      <c r="EU199" s="344"/>
      <c r="EW199" s="409"/>
      <c r="EY199" s="1"/>
      <c r="FA199">
        <v>24.88</v>
      </c>
      <c r="FB199" t="s">
        <v>225</v>
      </c>
      <c r="FC199" s="7">
        <v>78.758964948684692</v>
      </c>
      <c r="FD199" s="357" t="s">
        <v>225</v>
      </c>
      <c r="FE199" s="8">
        <v>336.82165076063131</v>
      </c>
      <c r="FF199" t="s">
        <v>337</v>
      </c>
      <c r="FH199" s="9">
        <v>49636.368488455912</v>
      </c>
      <c r="FI199" s="9" t="s">
        <v>236</v>
      </c>
      <c r="FJ199">
        <v>2590</v>
      </c>
      <c r="FK199" t="s">
        <v>238</v>
      </c>
      <c r="FL199">
        <v>574</v>
      </c>
      <c r="FM199">
        <v>628.20299124555663</v>
      </c>
      <c r="FN199" s="5" t="s">
        <v>337</v>
      </c>
      <c r="FP199" s="6">
        <v>12.44</v>
      </c>
      <c r="FQ199" t="s">
        <v>275</v>
      </c>
      <c r="FS199" t="s">
        <v>240</v>
      </c>
      <c r="FU199" s="8">
        <v>2</v>
      </c>
      <c r="FV199" s="8">
        <v>10</v>
      </c>
      <c r="FW199" s="8">
        <v>10</v>
      </c>
      <c r="FX199" s="8">
        <v>1</v>
      </c>
      <c r="FY199" s="8">
        <v>3</v>
      </c>
      <c r="FZ199">
        <f t="shared" si="3"/>
        <v>600</v>
      </c>
      <c r="GA199" s="7" t="s">
        <v>326</v>
      </c>
      <c r="GB199" s="7" t="s">
        <v>326</v>
      </c>
      <c r="GC199" s="6">
        <v>1.5</v>
      </c>
      <c r="GD199" s="348" t="s">
        <v>242</v>
      </c>
      <c r="GF199" s="6">
        <v>4.1466666666666666E-2</v>
      </c>
      <c r="GH199" s="7"/>
      <c r="GI199" s="441">
        <v>0.27600000000000002</v>
      </c>
      <c r="GJ199" s="441">
        <v>0.51800000000000002</v>
      </c>
      <c r="GK199" s="441">
        <v>0.82899999999999996</v>
      </c>
      <c r="GL199" s="441">
        <v>2.073</v>
      </c>
      <c r="GM199" s="461" t="s">
        <v>790</v>
      </c>
      <c r="GN199" s="6">
        <v>0.01</v>
      </c>
      <c r="GO199" s="6">
        <v>1.8749999999999999E-2</v>
      </c>
      <c r="GP199" s="6">
        <v>0.03</v>
      </c>
      <c r="GQ199" s="6">
        <v>7.4999999999999997E-2</v>
      </c>
      <c r="GR199" s="461" t="s">
        <v>790</v>
      </c>
      <c r="GU199" t="s">
        <v>365</v>
      </c>
      <c r="GV199" t="s">
        <v>223</v>
      </c>
      <c r="GW199" t="s">
        <v>244</v>
      </c>
      <c r="GX199" t="s">
        <v>236</v>
      </c>
      <c r="GY199" t="s">
        <v>245</v>
      </c>
      <c r="HE199" t="s">
        <v>247</v>
      </c>
      <c r="HF199" t="s">
        <v>225</v>
      </c>
      <c r="HG199" t="s">
        <v>231</v>
      </c>
      <c r="HH199" t="s">
        <v>223</v>
      </c>
      <c r="HI199" t="s">
        <v>247</v>
      </c>
      <c r="HJ199" t="s">
        <v>225</v>
      </c>
      <c r="HK199" t="s">
        <v>568</v>
      </c>
      <c r="HO199" t="s">
        <v>231</v>
      </c>
      <c r="HP199" t="s">
        <v>223</v>
      </c>
      <c r="HQ199" t="s">
        <v>231</v>
      </c>
      <c r="HR199" t="s">
        <v>223</v>
      </c>
      <c r="HU199" t="s">
        <v>231</v>
      </c>
      <c r="HV199" t="s">
        <v>223</v>
      </c>
      <c r="HW199" t="s">
        <v>246</v>
      </c>
      <c r="HX199" t="s">
        <v>236</v>
      </c>
      <c r="IA199" t="s">
        <v>231</v>
      </c>
      <c r="IB199" t="s">
        <v>250</v>
      </c>
      <c r="IC199">
        <v>0.27600000000000002</v>
      </c>
      <c r="ID199">
        <v>0.51800000000000002</v>
      </c>
      <c r="IE199">
        <v>0.82899999999999996</v>
      </c>
      <c r="IF199">
        <v>2.073</v>
      </c>
      <c r="IG199" s="459" t="s">
        <v>451</v>
      </c>
      <c r="IH199" t="s">
        <v>267</v>
      </c>
    </row>
    <row r="200" spans="1:242" ht="159.5" x14ac:dyDescent="0.35">
      <c r="A200" s="310" t="s">
        <v>537</v>
      </c>
      <c r="B200" t="s">
        <v>1311</v>
      </c>
      <c r="C200" s="310" t="s">
        <v>1312</v>
      </c>
      <c r="D200" s="316"/>
      <c r="F200" t="s">
        <v>1313</v>
      </c>
      <c r="I200" s="310" t="s">
        <v>1307</v>
      </c>
      <c r="M200" s="313"/>
      <c r="O200"/>
      <c r="P200" s="382"/>
      <c r="Q200"/>
      <c r="U200"/>
      <c r="V200" s="313"/>
      <c r="W200"/>
      <c r="X200"/>
      <c r="Z200"/>
      <c r="AB200"/>
      <c r="AD200" s="8" t="s">
        <v>230</v>
      </c>
      <c r="AF200" s="8" t="s">
        <v>230</v>
      </c>
      <c r="AG200"/>
      <c r="AH200"/>
      <c r="AI200"/>
      <c r="AJ200" t="s">
        <v>221</v>
      </c>
      <c r="AK200">
        <v>0.1</v>
      </c>
      <c r="AL200">
        <v>0.375</v>
      </c>
      <c r="AM200" t="s">
        <v>414</v>
      </c>
      <c r="AN200" t="s">
        <v>236</v>
      </c>
      <c r="AO200" t="s">
        <v>221</v>
      </c>
      <c r="AP200" t="s">
        <v>223</v>
      </c>
      <c r="AQ200" t="s">
        <v>414</v>
      </c>
      <c r="AR200" t="s">
        <v>236</v>
      </c>
      <c r="AS200" t="s">
        <v>221</v>
      </c>
      <c r="AT200" t="s">
        <v>225</v>
      </c>
      <c r="AU200" t="s">
        <v>220</v>
      </c>
      <c r="AV200"/>
      <c r="AW200" s="313" t="s">
        <v>220</v>
      </c>
      <c r="AX200" t="s">
        <v>226</v>
      </c>
      <c r="AY200" s="313" t="s">
        <v>220</v>
      </c>
      <c r="AZ200" s="313">
        <v>0.10199999999999999</v>
      </c>
      <c r="BB200" s="313" t="s">
        <v>220</v>
      </c>
      <c r="BC200">
        <v>3.8800000000000001E-2</v>
      </c>
      <c r="BD200" t="s">
        <v>220</v>
      </c>
      <c r="BE200">
        <v>0.13900000000000001</v>
      </c>
      <c r="BF200" s="2" t="s">
        <v>220</v>
      </c>
      <c r="BG200" s="2" t="s">
        <v>653</v>
      </c>
      <c r="BH200" s="2" t="s">
        <v>274</v>
      </c>
      <c r="BI200" s="2" t="s">
        <v>275</v>
      </c>
      <c r="BM200"/>
      <c r="BP200" s="8"/>
      <c r="BQ200" t="s">
        <v>230</v>
      </c>
      <c r="BR200" t="s">
        <v>230</v>
      </c>
      <c r="BU200" t="s">
        <v>317</v>
      </c>
      <c r="BV200" t="s">
        <v>223</v>
      </c>
      <c r="BW200" t="s">
        <v>232</v>
      </c>
      <c r="BX200" t="s">
        <v>474</v>
      </c>
      <c r="BY200" t="s">
        <v>220</v>
      </c>
      <c r="BZ200">
        <v>0.43</v>
      </c>
      <c r="CA200" t="s">
        <v>372</v>
      </c>
      <c r="CF200" t="s">
        <v>220</v>
      </c>
      <c r="CG200">
        <v>0.25700000000000001</v>
      </c>
      <c r="CH200" t="s">
        <v>220</v>
      </c>
      <c r="CI200">
        <v>0.33200000000000002</v>
      </c>
      <c r="CK200"/>
      <c r="CL200"/>
      <c r="CM200"/>
      <c r="CS200" s="8"/>
      <c r="CW200" t="s">
        <v>220</v>
      </c>
      <c r="CX200" t="s">
        <v>220</v>
      </c>
      <c r="CY200" t="s">
        <v>231</v>
      </c>
      <c r="CZ200" t="s">
        <v>220</v>
      </c>
      <c r="DA200" t="s">
        <v>220</v>
      </c>
      <c r="DB200" t="s">
        <v>227</v>
      </c>
      <c r="DC200"/>
      <c r="DD200"/>
      <c r="DE200"/>
      <c r="DF200"/>
      <c r="DG200"/>
      <c r="DH200" s="323"/>
      <c r="DI200" s="323"/>
      <c r="DJ200" s="323"/>
      <c r="DL200" t="s">
        <v>257</v>
      </c>
      <c r="DM200" t="s">
        <v>220</v>
      </c>
      <c r="DN200" t="s">
        <v>227</v>
      </c>
      <c r="DO200" t="s">
        <v>257</v>
      </c>
      <c r="DP200" t="s">
        <v>257</v>
      </c>
      <c r="DS200" s="309">
        <v>49.755000000000003</v>
      </c>
      <c r="DU200" s="338">
        <v>1104.606</v>
      </c>
      <c r="DV200" s="8" t="s">
        <v>394</v>
      </c>
      <c r="DW200">
        <v>2560</v>
      </c>
      <c r="DX200" t="s">
        <v>238</v>
      </c>
      <c r="DY200">
        <v>2350</v>
      </c>
      <c r="DZ200" t="s">
        <v>238</v>
      </c>
      <c r="EA200"/>
      <c r="EB200"/>
      <c r="ED200" s="410"/>
      <c r="EE200" s="1"/>
      <c r="EG200" s="410"/>
      <c r="EI200" s="410"/>
      <c r="EK200" s="1"/>
      <c r="EM200"/>
      <c r="EQ200" s="344"/>
      <c r="EU200" s="344"/>
      <c r="EW200" s="409"/>
      <c r="EY200" s="1"/>
      <c r="FA200">
        <v>24.88</v>
      </c>
      <c r="FB200" t="s">
        <v>225</v>
      </c>
      <c r="FC200" s="7">
        <v>113.65799747501526</v>
      </c>
      <c r="FD200" s="357" t="s">
        <v>225</v>
      </c>
      <c r="FE200" s="8">
        <v>336.82165076063131</v>
      </c>
      <c r="FF200" t="s">
        <v>337</v>
      </c>
      <c r="FH200" s="9">
        <v>34395.371138064053</v>
      </c>
      <c r="FI200" s="9" t="s">
        <v>236</v>
      </c>
      <c r="FJ200">
        <v>2500</v>
      </c>
      <c r="FK200" t="s">
        <v>238</v>
      </c>
      <c r="FL200">
        <v>574</v>
      </c>
      <c r="FM200">
        <v>628.20299124555663</v>
      </c>
      <c r="FN200" s="5" t="s">
        <v>337</v>
      </c>
      <c r="FP200" s="6">
        <v>12.44</v>
      </c>
      <c r="FQ200" t="s">
        <v>275</v>
      </c>
      <c r="FS200" t="s">
        <v>240</v>
      </c>
      <c r="FU200" s="8">
        <v>2</v>
      </c>
      <c r="FV200" s="8">
        <v>10</v>
      </c>
      <c r="FW200" s="8">
        <v>10</v>
      </c>
      <c r="FX200" s="8">
        <v>1</v>
      </c>
      <c r="FY200" s="8">
        <v>3</v>
      </c>
      <c r="FZ200">
        <f t="shared" si="3"/>
        <v>600</v>
      </c>
      <c r="GA200" s="7" t="s">
        <v>326</v>
      </c>
      <c r="GB200" s="7" t="s">
        <v>326</v>
      </c>
      <c r="GC200" s="6">
        <v>1.5</v>
      </c>
      <c r="GD200" s="348" t="s">
        <v>242</v>
      </c>
      <c r="GF200" s="6">
        <v>4.1466666666666666E-2</v>
      </c>
      <c r="GH200" s="7"/>
      <c r="GI200" s="441">
        <v>0.27600000000000002</v>
      </c>
      <c r="GJ200" s="441">
        <v>0.51800000000000002</v>
      </c>
      <c r="GK200" s="441">
        <v>0.82899999999999996</v>
      </c>
      <c r="GL200" s="441">
        <v>2.073</v>
      </c>
      <c r="GM200" s="461" t="s">
        <v>790</v>
      </c>
      <c r="GN200" s="6">
        <v>0.01</v>
      </c>
      <c r="GO200" s="6">
        <v>1.8749999999999999E-2</v>
      </c>
      <c r="GP200" s="6">
        <v>0.03</v>
      </c>
      <c r="GQ200" s="6">
        <v>7.4999999999999997E-2</v>
      </c>
      <c r="GR200" s="461" t="s">
        <v>790</v>
      </c>
      <c r="GU200" t="s">
        <v>365</v>
      </c>
      <c r="GV200" t="s">
        <v>223</v>
      </c>
      <c r="GW200" t="s">
        <v>244</v>
      </c>
      <c r="GX200" t="s">
        <v>236</v>
      </c>
      <c r="GY200" t="s">
        <v>245</v>
      </c>
      <c r="HE200" t="s">
        <v>247</v>
      </c>
      <c r="HF200" t="s">
        <v>225</v>
      </c>
      <c r="HG200" t="s">
        <v>231</v>
      </c>
      <c r="HH200" t="s">
        <v>223</v>
      </c>
      <c r="HI200" t="s">
        <v>247</v>
      </c>
      <c r="HJ200" t="s">
        <v>225</v>
      </c>
      <c r="HK200" t="s">
        <v>568</v>
      </c>
      <c r="HO200" t="s">
        <v>231</v>
      </c>
      <c r="HP200" t="s">
        <v>223</v>
      </c>
      <c r="HQ200" t="s">
        <v>231</v>
      </c>
      <c r="HR200" t="s">
        <v>223</v>
      </c>
      <c r="HU200" t="s">
        <v>231</v>
      </c>
      <c r="HV200" t="s">
        <v>223</v>
      </c>
      <c r="HW200" t="s">
        <v>246</v>
      </c>
      <c r="HX200" t="s">
        <v>236</v>
      </c>
      <c r="IA200" t="s">
        <v>231</v>
      </c>
      <c r="IB200" t="s">
        <v>250</v>
      </c>
      <c r="IC200">
        <v>0.27600000000000002</v>
      </c>
      <c r="ID200">
        <v>0.51800000000000002</v>
      </c>
      <c r="IE200">
        <v>0.82899999999999996</v>
      </c>
      <c r="IF200">
        <v>2.073</v>
      </c>
      <c r="IG200" s="459" t="s">
        <v>451</v>
      </c>
      <c r="IH200" t="s">
        <v>267</v>
      </c>
    </row>
    <row r="201" spans="1:242" ht="159.5" x14ac:dyDescent="0.35">
      <c r="A201" s="310" t="s">
        <v>537</v>
      </c>
      <c r="B201" t="s">
        <v>1314</v>
      </c>
      <c r="C201" s="310" t="s">
        <v>1315</v>
      </c>
      <c r="D201" s="316"/>
      <c r="F201" t="s">
        <v>1316</v>
      </c>
      <c r="I201" s="310" t="s">
        <v>1307</v>
      </c>
      <c r="M201" s="313"/>
      <c r="O201"/>
      <c r="P201" s="382"/>
      <c r="Q201"/>
      <c r="U201"/>
      <c r="V201" s="313"/>
      <c r="W201"/>
      <c r="X201"/>
      <c r="Z201"/>
      <c r="AB201"/>
      <c r="AD201" s="8" t="s">
        <v>230</v>
      </c>
      <c r="AF201" s="8" t="s">
        <v>230</v>
      </c>
      <c r="AG201"/>
      <c r="AH201"/>
      <c r="AI201"/>
      <c r="AJ201" t="s">
        <v>221</v>
      </c>
      <c r="AK201">
        <v>0.1</v>
      </c>
      <c r="AL201">
        <v>0.375</v>
      </c>
      <c r="AM201" t="s">
        <v>414</v>
      </c>
      <c r="AN201" t="s">
        <v>236</v>
      </c>
      <c r="AO201" t="s">
        <v>221</v>
      </c>
      <c r="AP201" t="s">
        <v>223</v>
      </c>
      <c r="AQ201" t="s">
        <v>414</v>
      </c>
      <c r="AR201" t="s">
        <v>236</v>
      </c>
      <c r="AS201" t="s">
        <v>221</v>
      </c>
      <c r="AT201" t="s">
        <v>225</v>
      </c>
      <c r="AU201" t="s">
        <v>220</v>
      </c>
      <c r="AV201"/>
      <c r="AW201" s="313" t="s">
        <v>220</v>
      </c>
      <c r="AX201" t="s">
        <v>226</v>
      </c>
      <c r="AY201" s="313" t="s">
        <v>220</v>
      </c>
      <c r="AZ201" s="313">
        <v>0.10199999999999999</v>
      </c>
      <c r="BB201" s="313" t="s">
        <v>220</v>
      </c>
      <c r="BC201">
        <v>3.8800000000000001E-2</v>
      </c>
      <c r="BD201" t="s">
        <v>220</v>
      </c>
      <c r="BE201">
        <v>0.13900000000000001</v>
      </c>
      <c r="BF201" s="2" t="s">
        <v>220</v>
      </c>
      <c r="BG201" s="2" t="s">
        <v>653</v>
      </c>
      <c r="BH201" s="2" t="s">
        <v>274</v>
      </c>
      <c r="BI201" s="2" t="s">
        <v>275</v>
      </c>
      <c r="BM201"/>
      <c r="BP201" s="8"/>
      <c r="BQ201" t="s">
        <v>230</v>
      </c>
      <c r="BR201" t="s">
        <v>230</v>
      </c>
      <c r="BU201" t="s">
        <v>317</v>
      </c>
      <c r="BV201" t="s">
        <v>223</v>
      </c>
      <c r="BW201" t="s">
        <v>232</v>
      </c>
      <c r="BX201" t="s">
        <v>500</v>
      </c>
      <c r="BY201" t="s">
        <v>220</v>
      </c>
      <c r="BZ201">
        <v>0.43</v>
      </c>
      <c r="CA201" t="s">
        <v>372</v>
      </c>
      <c r="CF201" t="s">
        <v>220</v>
      </c>
      <c r="CG201">
        <v>0.25700000000000001</v>
      </c>
      <c r="CH201" t="s">
        <v>220</v>
      </c>
      <c r="CI201">
        <v>0.33200000000000002</v>
      </c>
      <c r="CK201"/>
      <c r="CL201"/>
      <c r="CM201"/>
      <c r="CS201" s="8"/>
      <c r="CW201" t="s">
        <v>220</v>
      </c>
      <c r="CX201" t="s">
        <v>220</v>
      </c>
      <c r="CY201" t="s">
        <v>231</v>
      </c>
      <c r="CZ201" t="s">
        <v>220</v>
      </c>
      <c r="DA201" t="s">
        <v>220</v>
      </c>
      <c r="DB201" t="s">
        <v>227</v>
      </c>
      <c r="DC201"/>
      <c r="DD201"/>
      <c r="DE201"/>
      <c r="DF201"/>
      <c r="DG201"/>
      <c r="DH201" s="323"/>
      <c r="DI201" s="323"/>
      <c r="DJ201" s="323"/>
      <c r="DL201" t="s">
        <v>257</v>
      </c>
      <c r="DM201" t="s">
        <v>220</v>
      </c>
      <c r="DN201" t="s">
        <v>227</v>
      </c>
      <c r="DO201" t="s">
        <v>257</v>
      </c>
      <c r="DP201" t="s">
        <v>257</v>
      </c>
      <c r="DS201" s="309">
        <v>58.436</v>
      </c>
      <c r="DU201" s="338">
        <v>1370.5070000000001</v>
      </c>
      <c r="DV201" s="8" t="s">
        <v>394</v>
      </c>
      <c r="DW201">
        <v>2590</v>
      </c>
      <c r="DX201" t="s">
        <v>238</v>
      </c>
      <c r="DY201">
        <v>2340</v>
      </c>
      <c r="DZ201" t="s">
        <v>238</v>
      </c>
      <c r="EA201"/>
      <c r="EB201"/>
      <c r="ED201" s="410"/>
      <c r="EE201" s="1"/>
      <c r="EG201" s="410"/>
      <c r="EI201" s="410"/>
      <c r="EK201" s="1"/>
      <c r="EM201"/>
      <c r="EQ201" s="344"/>
      <c r="EU201" s="344"/>
      <c r="EW201" s="409"/>
      <c r="EY201" s="1"/>
      <c r="FA201">
        <v>24.88</v>
      </c>
      <c r="FB201" t="s">
        <v>225</v>
      </c>
      <c r="FC201" s="7">
        <v>146.31875596007725</v>
      </c>
      <c r="FD201" s="357" t="s">
        <v>225</v>
      </c>
      <c r="FE201" s="8">
        <v>336.82165076063131</v>
      </c>
      <c r="FF201" t="s">
        <v>337</v>
      </c>
      <c r="FH201" s="9">
        <v>26785.51494532335</v>
      </c>
      <c r="FI201" s="9" t="s">
        <v>236</v>
      </c>
      <c r="FJ201">
        <v>2520</v>
      </c>
      <c r="FK201" t="s">
        <v>238</v>
      </c>
      <c r="FL201">
        <v>574</v>
      </c>
      <c r="FM201">
        <v>628.20299124555663</v>
      </c>
      <c r="FN201" s="5" t="s">
        <v>337</v>
      </c>
      <c r="FP201" s="6">
        <v>12.44</v>
      </c>
      <c r="FQ201" t="s">
        <v>275</v>
      </c>
      <c r="FS201" t="s">
        <v>240</v>
      </c>
      <c r="FU201" s="8">
        <v>2</v>
      </c>
      <c r="FV201" s="8">
        <v>10</v>
      </c>
      <c r="FW201" s="8">
        <v>10</v>
      </c>
      <c r="FX201" s="8">
        <v>1</v>
      </c>
      <c r="FY201" s="8">
        <v>3</v>
      </c>
      <c r="FZ201">
        <f t="shared" si="3"/>
        <v>600</v>
      </c>
      <c r="GA201" s="7" t="s">
        <v>326</v>
      </c>
      <c r="GB201" s="7" t="s">
        <v>326</v>
      </c>
      <c r="GC201" s="6">
        <v>1.5</v>
      </c>
      <c r="GD201" s="348" t="s">
        <v>242</v>
      </c>
      <c r="GF201" s="6">
        <v>4.1466666666666666E-2</v>
      </c>
      <c r="GH201" s="7"/>
      <c r="GI201" s="441">
        <v>0.27600000000000002</v>
      </c>
      <c r="GJ201" s="441">
        <v>0.51800000000000002</v>
      </c>
      <c r="GK201" s="441">
        <v>0.82899999999999996</v>
      </c>
      <c r="GL201" s="441">
        <v>2.073</v>
      </c>
      <c r="GM201" s="461" t="s">
        <v>790</v>
      </c>
      <c r="GN201" s="6">
        <v>0.01</v>
      </c>
      <c r="GO201" s="6">
        <v>1.8749999999999999E-2</v>
      </c>
      <c r="GP201" s="6">
        <v>0.03</v>
      </c>
      <c r="GQ201" s="6">
        <v>7.4999999999999997E-2</v>
      </c>
      <c r="GR201" s="461" t="s">
        <v>790</v>
      </c>
      <c r="GU201" t="s">
        <v>365</v>
      </c>
      <c r="GV201" t="s">
        <v>223</v>
      </c>
      <c r="GW201" t="s">
        <v>244</v>
      </c>
      <c r="GX201" t="s">
        <v>236</v>
      </c>
      <c r="GY201" t="s">
        <v>245</v>
      </c>
      <c r="HE201" t="s">
        <v>247</v>
      </c>
      <c r="HF201" t="s">
        <v>225</v>
      </c>
      <c r="HG201" t="s">
        <v>231</v>
      </c>
      <c r="HH201" t="s">
        <v>223</v>
      </c>
      <c r="HI201" t="s">
        <v>247</v>
      </c>
      <c r="HJ201" t="s">
        <v>225</v>
      </c>
      <c r="HK201" t="s">
        <v>568</v>
      </c>
      <c r="HO201" t="s">
        <v>231</v>
      </c>
      <c r="HP201" t="s">
        <v>223</v>
      </c>
      <c r="HQ201" t="s">
        <v>231</v>
      </c>
      <c r="HR201" t="s">
        <v>223</v>
      </c>
      <c r="HU201" t="s">
        <v>231</v>
      </c>
      <c r="HV201" t="s">
        <v>223</v>
      </c>
      <c r="HW201" t="s">
        <v>246</v>
      </c>
      <c r="HX201" t="s">
        <v>236</v>
      </c>
      <c r="IA201" t="s">
        <v>231</v>
      </c>
      <c r="IB201" t="s">
        <v>250</v>
      </c>
      <c r="IC201">
        <v>0.27600000000000002</v>
      </c>
      <c r="ID201">
        <v>0.51800000000000002</v>
      </c>
      <c r="IE201">
        <v>0.82899999999999996</v>
      </c>
      <c r="IF201">
        <v>2.073</v>
      </c>
      <c r="IG201" s="459" t="s">
        <v>451</v>
      </c>
      <c r="IH201" t="s">
        <v>267</v>
      </c>
    </row>
    <row r="202" spans="1:242" ht="159.5" x14ac:dyDescent="0.35">
      <c r="A202" s="310" t="s">
        <v>537</v>
      </c>
      <c r="B202" t="s">
        <v>1317</v>
      </c>
      <c r="C202" s="310" t="s">
        <v>1318</v>
      </c>
      <c r="D202" s="316"/>
      <c r="F202" t="s">
        <v>1319</v>
      </c>
      <c r="I202" s="310" t="s">
        <v>1320</v>
      </c>
      <c r="M202" s="313"/>
      <c r="O202"/>
      <c r="P202" s="381"/>
      <c r="Q202"/>
      <c r="T202" s="8"/>
      <c r="U202"/>
      <c r="V202" s="313"/>
      <c r="W202"/>
      <c r="X202"/>
      <c r="Z202"/>
      <c r="AB202"/>
      <c r="AD202" s="8" t="s">
        <v>230</v>
      </c>
      <c r="AF202" s="8" t="s">
        <v>230</v>
      </c>
      <c r="AG202"/>
      <c r="AH202"/>
      <c r="AI202"/>
      <c r="AJ202" t="s">
        <v>221</v>
      </c>
      <c r="AK202">
        <v>0</v>
      </c>
      <c r="AL202">
        <v>0.5</v>
      </c>
      <c r="AM202" t="s">
        <v>221</v>
      </c>
      <c r="AN202" t="s">
        <v>225</v>
      </c>
      <c r="AO202" t="s">
        <v>221</v>
      </c>
      <c r="AP202" t="s">
        <v>236</v>
      </c>
      <c r="AQ202" t="s">
        <v>221</v>
      </c>
      <c r="AR202" t="s">
        <v>225</v>
      </c>
      <c r="AS202" t="s">
        <v>221</v>
      </c>
      <c r="AT202" t="s">
        <v>225</v>
      </c>
      <c r="AU202" t="s">
        <v>220</v>
      </c>
      <c r="AV202"/>
      <c r="AW202" s="313" t="s">
        <v>220</v>
      </c>
      <c r="AX202" t="s">
        <v>226</v>
      </c>
      <c r="AY202" s="313" t="s">
        <v>220</v>
      </c>
      <c r="AZ202" s="313">
        <v>0.152</v>
      </c>
      <c r="BB202" s="313" t="s">
        <v>220</v>
      </c>
      <c r="BC202">
        <v>8.0600000000000005E-2</v>
      </c>
      <c r="BD202" t="s">
        <v>220</v>
      </c>
      <c r="BE202">
        <v>0.11899999999999999</v>
      </c>
      <c r="BF202" s="2" t="s">
        <v>220</v>
      </c>
      <c r="BG202" s="2" t="s">
        <v>273</v>
      </c>
      <c r="BH202" s="2" t="s">
        <v>274</v>
      </c>
      <c r="BI202" s="2" t="s">
        <v>275</v>
      </c>
      <c r="BM202"/>
      <c r="BP202" s="8"/>
      <c r="BQ202" t="s">
        <v>230</v>
      </c>
      <c r="BR202" t="s">
        <v>230</v>
      </c>
      <c r="BU202" t="s">
        <v>231</v>
      </c>
      <c r="BV202" t="s">
        <v>236</v>
      </c>
      <c r="BW202" t="s">
        <v>232</v>
      </c>
      <c r="BX202" t="s">
        <v>276</v>
      </c>
      <c r="BY202" t="s">
        <v>257</v>
      </c>
      <c r="BZ202">
        <v>0.54600000000000004</v>
      </c>
      <c r="CA202" t="s">
        <v>234</v>
      </c>
      <c r="CF202" t="s">
        <v>220</v>
      </c>
      <c r="CG202">
        <v>0.17899999999999999</v>
      </c>
      <c r="CH202" t="s">
        <v>220</v>
      </c>
      <c r="CI202">
        <v>0.30499999999999999</v>
      </c>
      <c r="CK202"/>
      <c r="CL202"/>
      <c r="CM202"/>
      <c r="CS202" s="8"/>
      <c r="CW202" t="s">
        <v>220</v>
      </c>
      <c r="CX202" t="s">
        <v>220</v>
      </c>
      <c r="CY202" t="s">
        <v>317</v>
      </c>
      <c r="CZ202" t="s">
        <v>220</v>
      </c>
      <c r="DA202" t="s">
        <v>220</v>
      </c>
      <c r="DB202" t="s">
        <v>227</v>
      </c>
      <c r="DC202"/>
      <c r="DD202"/>
      <c r="DE202"/>
      <c r="DF202"/>
      <c r="DG202"/>
      <c r="DH202" s="323"/>
      <c r="DI202" s="323"/>
      <c r="DJ202" s="323"/>
      <c r="DL202" t="s">
        <v>220</v>
      </c>
      <c r="DM202" t="s">
        <v>220</v>
      </c>
      <c r="DN202" t="s">
        <v>227</v>
      </c>
      <c r="DO202" t="s">
        <v>257</v>
      </c>
      <c r="DP202" t="s">
        <v>257</v>
      </c>
      <c r="DS202" s="309">
        <v>119.15</v>
      </c>
      <c r="DU202" s="338">
        <v>1644.2380000000001</v>
      </c>
      <c r="DV202" s="8" t="s">
        <v>394</v>
      </c>
      <c r="DW202">
        <v>499</v>
      </c>
      <c r="DX202" t="s">
        <v>238</v>
      </c>
      <c r="DY202">
        <v>403</v>
      </c>
      <c r="DZ202" t="s">
        <v>238</v>
      </c>
      <c r="EA202"/>
      <c r="EB202"/>
      <c r="ED202" s="410"/>
      <c r="EE202" s="1"/>
      <c r="EG202" s="410"/>
      <c r="EI202" s="410"/>
      <c r="EK202" s="1"/>
      <c r="EM202"/>
      <c r="EQ202" s="344"/>
      <c r="EU202" s="344"/>
      <c r="EW202" s="409"/>
      <c r="EY202" s="1"/>
      <c r="FA202">
        <v>3031.6</v>
      </c>
      <c r="FB202" t="s">
        <v>236</v>
      </c>
      <c r="FC202" s="7">
        <v>436.01356400039901</v>
      </c>
      <c r="FD202" s="357" t="s">
        <v>236</v>
      </c>
      <c r="FE202" s="8">
        <v>50640.734952385232</v>
      </c>
      <c r="FF202" t="s">
        <v>237</v>
      </c>
      <c r="FH202" s="9">
        <v>23966.245294086395</v>
      </c>
      <c r="FI202" s="9" t="s">
        <v>236</v>
      </c>
      <c r="FJ202">
        <v>2750</v>
      </c>
      <c r="FK202" t="s">
        <v>238</v>
      </c>
      <c r="FL202">
        <v>499</v>
      </c>
      <c r="FM202">
        <v>749031.35851075884</v>
      </c>
      <c r="FN202" s="5" t="s">
        <v>237</v>
      </c>
      <c r="FP202" s="6">
        <v>49.9</v>
      </c>
      <c r="FQ202" t="s">
        <v>239</v>
      </c>
      <c r="FS202" t="s">
        <v>240</v>
      </c>
      <c r="FU202" s="8">
        <v>1</v>
      </c>
      <c r="FV202" s="8">
        <v>10</v>
      </c>
      <c r="FW202" s="8">
        <v>10</v>
      </c>
      <c r="FX202" s="8">
        <v>10</v>
      </c>
      <c r="FY202" s="8">
        <v>3</v>
      </c>
      <c r="FZ202">
        <f t="shared" si="3"/>
        <v>3000</v>
      </c>
      <c r="GA202" s="7" t="s">
        <v>326</v>
      </c>
      <c r="GB202" s="7" t="s">
        <v>326</v>
      </c>
      <c r="GC202" s="6">
        <v>1.5</v>
      </c>
      <c r="GD202" s="348" t="s">
        <v>242</v>
      </c>
      <c r="GF202" s="6">
        <v>0.16633333333333333</v>
      </c>
      <c r="GH202" s="7"/>
      <c r="GI202" s="441" t="s">
        <v>395</v>
      </c>
      <c r="GJ202" s="441" t="s">
        <v>395</v>
      </c>
      <c r="GK202" s="441" t="s">
        <v>395</v>
      </c>
      <c r="GL202" s="441" t="s">
        <v>395</v>
      </c>
      <c r="GM202" s="461" t="s">
        <v>790</v>
      </c>
      <c r="GN202" s="6">
        <v>0.01</v>
      </c>
      <c r="GO202" s="6">
        <v>1.8749999999999999E-2</v>
      </c>
      <c r="GP202" s="6">
        <v>0.03</v>
      </c>
      <c r="GQ202" s="6">
        <v>7.4999999999999997E-2</v>
      </c>
      <c r="GR202" s="461" t="s">
        <v>790</v>
      </c>
      <c r="GU202" t="s">
        <v>243</v>
      </c>
      <c r="GV202" t="s">
        <v>236</v>
      </c>
      <c r="GW202" t="s">
        <v>244</v>
      </c>
      <c r="GX202" t="s">
        <v>236</v>
      </c>
      <c r="GY202" t="s">
        <v>245</v>
      </c>
      <c r="HE202" t="s">
        <v>247</v>
      </c>
      <c r="HF202" t="s">
        <v>223</v>
      </c>
      <c r="HG202" t="s">
        <v>231</v>
      </c>
      <c r="HH202" t="s">
        <v>223</v>
      </c>
      <c r="HI202" t="s">
        <v>247</v>
      </c>
      <c r="HJ202" t="s">
        <v>225</v>
      </c>
      <c r="HK202" t="s">
        <v>568</v>
      </c>
      <c r="HO202" t="s">
        <v>231</v>
      </c>
      <c r="HP202" t="s">
        <v>223</v>
      </c>
      <c r="HQ202" t="s">
        <v>231</v>
      </c>
      <c r="HR202" t="s">
        <v>223</v>
      </c>
      <c r="HU202" t="s">
        <v>231</v>
      </c>
      <c r="HV202" t="s">
        <v>225</v>
      </c>
      <c r="HW202" t="s">
        <v>563</v>
      </c>
      <c r="HX202" t="s">
        <v>236</v>
      </c>
      <c r="IA202" t="s">
        <v>231</v>
      </c>
      <c r="IB202" t="s">
        <v>250</v>
      </c>
      <c r="IC202" t="s">
        <v>395</v>
      </c>
      <c r="ID202" t="s">
        <v>395</v>
      </c>
      <c r="IE202" t="s">
        <v>395</v>
      </c>
      <c r="IF202" t="s">
        <v>395</v>
      </c>
      <c r="IG202" s="459" t="s">
        <v>451</v>
      </c>
      <c r="IH202" t="s">
        <v>235</v>
      </c>
    </row>
    <row r="203" spans="1:242" ht="159.5" x14ac:dyDescent="0.35">
      <c r="A203" s="310" t="s">
        <v>537</v>
      </c>
      <c r="B203" t="s">
        <v>1321</v>
      </c>
      <c r="C203" s="310" t="s">
        <v>1322</v>
      </c>
      <c r="D203" s="316"/>
      <c r="F203" t="s">
        <v>1323</v>
      </c>
      <c r="I203" s="310" t="s">
        <v>1324</v>
      </c>
      <c r="M203" s="313"/>
      <c r="O203"/>
      <c r="P203" s="381"/>
      <c r="Q203"/>
      <c r="T203" s="8"/>
      <c r="U203"/>
      <c r="V203" s="313"/>
      <c r="W203"/>
      <c r="X203"/>
      <c r="Z203"/>
      <c r="AB203"/>
      <c r="AD203" s="8" t="s">
        <v>230</v>
      </c>
      <c r="AF203" s="8" t="s">
        <v>230</v>
      </c>
      <c r="AG203"/>
      <c r="AH203"/>
      <c r="AI203"/>
      <c r="AJ203" t="s">
        <v>221</v>
      </c>
      <c r="AK203">
        <v>0.2</v>
      </c>
      <c r="AL203">
        <v>0.3</v>
      </c>
      <c r="AM203" t="s">
        <v>414</v>
      </c>
      <c r="AN203" t="s">
        <v>236</v>
      </c>
      <c r="AO203" t="s">
        <v>221</v>
      </c>
      <c r="AP203" t="s">
        <v>225</v>
      </c>
      <c r="AQ203" t="s">
        <v>414</v>
      </c>
      <c r="AR203" t="s">
        <v>225</v>
      </c>
      <c r="AS203" t="s">
        <v>221</v>
      </c>
      <c r="AT203" t="s">
        <v>225</v>
      </c>
      <c r="AU203" t="s">
        <v>220</v>
      </c>
      <c r="AV203"/>
      <c r="AW203" s="313" t="s">
        <v>220</v>
      </c>
      <c r="AX203" t="s">
        <v>226</v>
      </c>
      <c r="AY203" s="313" t="s">
        <v>220</v>
      </c>
      <c r="AZ203" s="313">
        <v>0.10100000000000001</v>
      </c>
      <c r="BB203" s="313" t="s">
        <v>220</v>
      </c>
      <c r="BC203">
        <v>3.9399999999999998E-2</v>
      </c>
      <c r="BD203" t="s">
        <v>220</v>
      </c>
      <c r="BE203">
        <v>0.124</v>
      </c>
      <c r="BF203" s="2" t="s">
        <v>220</v>
      </c>
      <c r="BG203" s="2" t="s">
        <v>653</v>
      </c>
      <c r="BH203" s="2" t="s">
        <v>274</v>
      </c>
      <c r="BI203" s="2" t="s">
        <v>275</v>
      </c>
      <c r="BM203"/>
      <c r="BP203" s="8"/>
      <c r="BQ203" t="s">
        <v>230</v>
      </c>
      <c r="BR203" t="s">
        <v>230</v>
      </c>
      <c r="BU203" t="s">
        <v>317</v>
      </c>
      <c r="BV203" t="s">
        <v>225</v>
      </c>
      <c r="BW203" t="s">
        <v>232</v>
      </c>
      <c r="BX203" t="s">
        <v>500</v>
      </c>
      <c r="BY203" t="s">
        <v>220</v>
      </c>
      <c r="BZ203">
        <v>0.41399999999999998</v>
      </c>
      <c r="CA203" t="s">
        <v>372</v>
      </c>
      <c r="CF203" t="s">
        <v>220</v>
      </c>
      <c r="CG203">
        <v>0.14899999999999999</v>
      </c>
      <c r="CH203" t="s">
        <v>220</v>
      </c>
      <c r="CI203">
        <v>0.26900000000000002</v>
      </c>
      <c r="CK203"/>
      <c r="CL203"/>
      <c r="CM203"/>
      <c r="CS203" s="8"/>
      <c r="CW203" t="s">
        <v>220</v>
      </c>
      <c r="CX203" t="s">
        <v>220</v>
      </c>
      <c r="CY203" t="s">
        <v>317</v>
      </c>
      <c r="CZ203" t="s">
        <v>220</v>
      </c>
      <c r="DA203" t="s">
        <v>220</v>
      </c>
      <c r="DB203" t="s">
        <v>227</v>
      </c>
      <c r="DC203"/>
      <c r="DD203"/>
      <c r="DE203"/>
      <c r="DF203"/>
      <c r="DG203"/>
      <c r="DH203" s="323"/>
      <c r="DI203" s="323"/>
      <c r="DJ203" s="323"/>
      <c r="DL203" t="s">
        <v>220</v>
      </c>
      <c r="DM203" t="s">
        <v>220</v>
      </c>
      <c r="DN203" t="s">
        <v>227</v>
      </c>
      <c r="DO203" t="s">
        <v>257</v>
      </c>
      <c r="DP203" t="s">
        <v>257</v>
      </c>
      <c r="DS203" s="338">
        <v>15.314</v>
      </c>
      <c r="DT203" s="8" t="s">
        <v>394</v>
      </c>
      <c r="DU203" s="338">
        <v>1728.4760000000001</v>
      </c>
      <c r="DV203" s="8" t="s">
        <v>394</v>
      </c>
      <c r="DW203">
        <v>2430</v>
      </c>
      <c r="DX203" t="s">
        <v>238</v>
      </c>
      <c r="DY203"/>
      <c r="DZ203" t="s">
        <v>235</v>
      </c>
      <c r="EA203"/>
      <c r="EB203"/>
      <c r="ED203" s="410"/>
      <c r="EE203" s="1"/>
      <c r="EG203" s="410"/>
      <c r="EI203" s="410"/>
      <c r="EK203" s="1"/>
      <c r="EM203"/>
      <c r="EQ203" s="344"/>
      <c r="EU203" s="344"/>
      <c r="EW203" s="409"/>
      <c r="EY203" s="1"/>
      <c r="FA203">
        <v>39.130000000000003</v>
      </c>
      <c r="FB203" t="s">
        <v>236</v>
      </c>
      <c r="FC203" s="7">
        <v>58.938625024058112</v>
      </c>
      <c r="FD203" s="357" t="s">
        <v>236</v>
      </c>
      <c r="FE203" s="8">
        <v>19929665.061647236</v>
      </c>
      <c r="FF203" t="s">
        <v>337</v>
      </c>
      <c r="FH203" s="9">
        <v>7968929.7807424664</v>
      </c>
      <c r="FI203" s="9" t="s">
        <v>236</v>
      </c>
      <c r="FJ203">
        <v>3700</v>
      </c>
      <c r="FK203" t="s">
        <v>238</v>
      </c>
      <c r="FL203">
        <v>3080</v>
      </c>
      <c r="FM203">
        <v>2405470.3049880965</v>
      </c>
      <c r="FN203" s="5" t="s">
        <v>337</v>
      </c>
      <c r="FP203" s="6">
        <v>19.565000000000001</v>
      </c>
      <c r="FQ203" t="s">
        <v>275</v>
      </c>
      <c r="FS203" t="s">
        <v>240</v>
      </c>
      <c r="FU203" s="8">
        <v>2</v>
      </c>
      <c r="FV203" s="8">
        <v>10</v>
      </c>
      <c r="FW203" s="8">
        <v>10</v>
      </c>
      <c r="FX203" s="8">
        <v>1</v>
      </c>
      <c r="FY203" s="8">
        <v>3</v>
      </c>
      <c r="FZ203">
        <f t="shared" si="3"/>
        <v>600</v>
      </c>
      <c r="GA203" s="7" t="s">
        <v>326</v>
      </c>
      <c r="GB203" s="7" t="s">
        <v>326</v>
      </c>
      <c r="GC203" s="6">
        <v>1.5</v>
      </c>
      <c r="GD203" s="348" t="s">
        <v>242</v>
      </c>
      <c r="GF203" s="6">
        <v>1.0266666666666666</v>
      </c>
      <c r="GH203" s="7"/>
      <c r="GI203" s="441" t="s">
        <v>395</v>
      </c>
      <c r="GJ203" s="441" t="s">
        <v>395</v>
      </c>
      <c r="GK203" s="441" t="s">
        <v>395</v>
      </c>
      <c r="GL203" s="441" t="s">
        <v>395</v>
      </c>
      <c r="GM203" s="461" t="s">
        <v>790</v>
      </c>
      <c r="GN203" s="6">
        <v>0.01</v>
      </c>
      <c r="GO203" s="6">
        <v>1.8749999999999999E-2</v>
      </c>
      <c r="GP203" s="6">
        <v>0.03</v>
      </c>
      <c r="GQ203" s="6">
        <v>7.4999999999999997E-2</v>
      </c>
      <c r="GR203" s="461" t="s">
        <v>790</v>
      </c>
      <c r="GU203" t="s">
        <v>243</v>
      </c>
      <c r="GV203" t="s">
        <v>236</v>
      </c>
      <c r="GW203" t="s">
        <v>244</v>
      </c>
      <c r="GX203" t="s">
        <v>236</v>
      </c>
      <c r="GY203" t="s">
        <v>245</v>
      </c>
      <c r="HE203" t="s">
        <v>247</v>
      </c>
      <c r="HF203" t="s">
        <v>223</v>
      </c>
      <c r="HG203" t="s">
        <v>231</v>
      </c>
      <c r="HH203" t="s">
        <v>225</v>
      </c>
      <c r="HI203" t="s">
        <v>247</v>
      </c>
      <c r="HJ203" t="s">
        <v>236</v>
      </c>
      <c r="HK203" t="s">
        <v>568</v>
      </c>
      <c r="HO203" t="s">
        <v>231</v>
      </c>
      <c r="HP203" t="s">
        <v>223</v>
      </c>
      <c r="HQ203" t="s">
        <v>231</v>
      </c>
      <c r="HR203" t="s">
        <v>223</v>
      </c>
      <c r="HU203" t="s">
        <v>231</v>
      </c>
      <c r="HV203" t="s">
        <v>223</v>
      </c>
      <c r="HW203" t="s">
        <v>246</v>
      </c>
      <c r="HX203" t="s">
        <v>236</v>
      </c>
      <c r="IA203" t="s">
        <v>231</v>
      </c>
      <c r="IB203" t="s">
        <v>250</v>
      </c>
      <c r="IC203" t="s">
        <v>395</v>
      </c>
      <c r="ID203" t="s">
        <v>395</v>
      </c>
      <c r="IE203" t="s">
        <v>395</v>
      </c>
      <c r="IF203" t="s">
        <v>395</v>
      </c>
      <c r="IG203" s="459" t="s">
        <v>451</v>
      </c>
      <c r="IH203" t="s">
        <v>235</v>
      </c>
    </row>
    <row r="204" spans="1:242" ht="159.5" x14ac:dyDescent="0.35">
      <c r="A204" s="310" t="s">
        <v>537</v>
      </c>
      <c r="B204" t="s">
        <v>1325</v>
      </c>
      <c r="C204" s="310" t="s">
        <v>1326</v>
      </c>
      <c r="D204" s="316"/>
      <c r="F204" t="s">
        <v>1327</v>
      </c>
      <c r="I204" s="310" t="s">
        <v>1324</v>
      </c>
      <c r="M204" s="313"/>
      <c r="O204"/>
      <c r="P204" s="382"/>
      <c r="Q204"/>
      <c r="U204"/>
      <c r="V204" s="313"/>
      <c r="W204"/>
      <c r="X204"/>
      <c r="Z204"/>
      <c r="AB204"/>
      <c r="AD204" s="8" t="s">
        <v>230</v>
      </c>
      <c r="AF204" s="8" t="s">
        <v>230</v>
      </c>
      <c r="AG204"/>
      <c r="AH204"/>
      <c r="AI204"/>
      <c r="AJ204" t="s">
        <v>221</v>
      </c>
      <c r="AK204">
        <v>0.2</v>
      </c>
      <c r="AL204">
        <v>0.3</v>
      </c>
      <c r="AM204" t="s">
        <v>414</v>
      </c>
      <c r="AN204" t="s">
        <v>236</v>
      </c>
      <c r="AO204" t="s">
        <v>221</v>
      </c>
      <c r="AP204" t="s">
        <v>225</v>
      </c>
      <c r="AQ204" t="s">
        <v>414</v>
      </c>
      <c r="AR204" t="s">
        <v>225</v>
      </c>
      <c r="AS204" t="s">
        <v>221</v>
      </c>
      <c r="AT204" t="s">
        <v>225</v>
      </c>
      <c r="AU204" t="s">
        <v>220</v>
      </c>
      <c r="AV204"/>
      <c r="AW204" s="313" t="s">
        <v>220</v>
      </c>
      <c r="AX204" t="s">
        <v>226</v>
      </c>
      <c r="AY204" s="313" t="s">
        <v>220</v>
      </c>
      <c r="AZ204" s="313">
        <v>0.10100000000000001</v>
      </c>
      <c r="BB204" s="313" t="s">
        <v>220</v>
      </c>
      <c r="BC204">
        <v>3.9399999999999998E-2</v>
      </c>
      <c r="BD204" t="s">
        <v>220</v>
      </c>
      <c r="BE204">
        <v>0.124</v>
      </c>
      <c r="BF204" s="2" t="s">
        <v>220</v>
      </c>
      <c r="BG204" s="2" t="s">
        <v>653</v>
      </c>
      <c r="BH204" s="2" t="s">
        <v>274</v>
      </c>
      <c r="BI204" s="2" t="s">
        <v>275</v>
      </c>
      <c r="BM204"/>
      <c r="BP204" s="8"/>
      <c r="BQ204" t="s">
        <v>230</v>
      </c>
      <c r="BR204" t="s">
        <v>230</v>
      </c>
      <c r="BU204" t="s">
        <v>317</v>
      </c>
      <c r="BV204" t="s">
        <v>225</v>
      </c>
      <c r="BW204" t="s">
        <v>232</v>
      </c>
      <c r="BX204" t="s">
        <v>500</v>
      </c>
      <c r="BY204" t="s">
        <v>220</v>
      </c>
      <c r="BZ204">
        <v>0.41399999999999998</v>
      </c>
      <c r="CA204" t="s">
        <v>372</v>
      </c>
      <c r="CF204" t="s">
        <v>220</v>
      </c>
      <c r="CG204">
        <v>0.14899999999999999</v>
      </c>
      <c r="CH204" t="s">
        <v>220</v>
      </c>
      <c r="CI204">
        <v>0.26900000000000002</v>
      </c>
      <c r="CK204"/>
      <c r="CL204"/>
      <c r="CM204"/>
      <c r="CS204" s="8"/>
      <c r="CW204" t="s">
        <v>220</v>
      </c>
      <c r="CX204" t="s">
        <v>220</v>
      </c>
      <c r="CY204" t="s">
        <v>317</v>
      </c>
      <c r="CZ204" t="s">
        <v>220</v>
      </c>
      <c r="DA204" t="s">
        <v>220</v>
      </c>
      <c r="DB204" t="s">
        <v>227</v>
      </c>
      <c r="DC204"/>
      <c r="DD204"/>
      <c r="DE204"/>
      <c r="DF204"/>
      <c r="DG204"/>
      <c r="DH204" s="323"/>
      <c r="DI204" s="323"/>
      <c r="DJ204" s="323"/>
      <c r="DL204" t="s">
        <v>220</v>
      </c>
      <c r="DM204" t="s">
        <v>220</v>
      </c>
      <c r="DN204" t="s">
        <v>227</v>
      </c>
      <c r="DO204" t="s">
        <v>257</v>
      </c>
      <c r="DP204" t="s">
        <v>257</v>
      </c>
      <c r="DS204" s="338">
        <v>15.587999999999999</v>
      </c>
      <c r="DT204" s="8" t="s">
        <v>394</v>
      </c>
      <c r="DU204" s="338">
        <v>2075.1889999999999</v>
      </c>
      <c r="DV204" s="8" t="s">
        <v>394</v>
      </c>
      <c r="DW204">
        <v>3790</v>
      </c>
      <c r="DX204" t="s">
        <v>238</v>
      </c>
      <c r="DY204">
        <v>3780</v>
      </c>
      <c r="DZ204" t="s">
        <v>238</v>
      </c>
      <c r="EA204"/>
      <c r="EB204"/>
      <c r="ED204" s="410"/>
      <c r="EE204" s="1"/>
      <c r="EG204" s="410"/>
      <c r="EI204" s="410"/>
      <c r="EK204" s="1"/>
      <c r="EM204"/>
      <c r="EQ204" s="344"/>
      <c r="EU204" s="344"/>
      <c r="EW204" s="409"/>
      <c r="EY204" s="1"/>
      <c r="FA204">
        <v>39.130000000000003</v>
      </c>
      <c r="FB204" t="s">
        <v>236</v>
      </c>
      <c r="FC204" s="7">
        <v>85.035447199980169</v>
      </c>
      <c r="FD204" s="357" t="s">
        <v>236</v>
      </c>
      <c r="FE204" s="8">
        <v>19929665.061647236</v>
      </c>
      <c r="FF204" t="s">
        <v>337</v>
      </c>
      <c r="FH204" s="9">
        <v>5520774.3928075787</v>
      </c>
      <c r="FI204" s="9" t="s">
        <v>236</v>
      </c>
      <c r="FJ204">
        <v>3840</v>
      </c>
      <c r="FK204" t="s">
        <v>238</v>
      </c>
      <c r="FL204">
        <v>3080</v>
      </c>
      <c r="FM204">
        <v>2405470.3049880965</v>
      </c>
      <c r="FN204" s="5" t="s">
        <v>337</v>
      </c>
      <c r="FP204" s="6">
        <v>19.565000000000001</v>
      </c>
      <c r="FQ204" t="s">
        <v>275</v>
      </c>
      <c r="FS204" t="s">
        <v>240</v>
      </c>
      <c r="FU204" s="8">
        <v>2</v>
      </c>
      <c r="FV204" s="8">
        <v>10</v>
      </c>
      <c r="FW204" s="8">
        <v>10</v>
      </c>
      <c r="FX204" s="8">
        <v>1</v>
      </c>
      <c r="FY204" s="8">
        <v>3</v>
      </c>
      <c r="FZ204">
        <f t="shared" si="3"/>
        <v>600</v>
      </c>
      <c r="GA204" s="7" t="s">
        <v>326</v>
      </c>
      <c r="GB204" s="7" t="s">
        <v>326</v>
      </c>
      <c r="GC204" s="6">
        <v>1.5</v>
      </c>
      <c r="GD204" s="348" t="s">
        <v>242</v>
      </c>
      <c r="GF204" s="6">
        <v>1.0266666666666666</v>
      </c>
      <c r="GH204" s="7"/>
      <c r="GI204" s="441" t="s">
        <v>395</v>
      </c>
      <c r="GJ204" s="441" t="s">
        <v>395</v>
      </c>
      <c r="GK204" s="441" t="s">
        <v>395</v>
      </c>
      <c r="GL204" s="441" t="s">
        <v>395</v>
      </c>
      <c r="GM204" s="461" t="s">
        <v>790</v>
      </c>
      <c r="GN204" s="6">
        <v>0.01</v>
      </c>
      <c r="GO204" s="6">
        <v>1.8749999999999999E-2</v>
      </c>
      <c r="GP204" s="6">
        <v>0.03</v>
      </c>
      <c r="GQ204" s="6">
        <v>7.4999999999999997E-2</v>
      </c>
      <c r="GR204" s="461" t="s">
        <v>790</v>
      </c>
      <c r="GU204" t="s">
        <v>243</v>
      </c>
      <c r="GV204" t="s">
        <v>236</v>
      </c>
      <c r="GW204" t="s">
        <v>244</v>
      </c>
      <c r="GX204" t="s">
        <v>236</v>
      </c>
      <c r="GY204" t="s">
        <v>245</v>
      </c>
      <c r="HE204" t="s">
        <v>247</v>
      </c>
      <c r="HF204" t="s">
        <v>223</v>
      </c>
      <c r="HG204" t="s">
        <v>231</v>
      </c>
      <c r="HH204" t="s">
        <v>225</v>
      </c>
      <c r="HI204" t="s">
        <v>247</v>
      </c>
      <c r="HJ204" t="s">
        <v>236</v>
      </c>
      <c r="HK204" t="s">
        <v>568</v>
      </c>
      <c r="HO204" t="s">
        <v>231</v>
      </c>
      <c r="HP204" t="s">
        <v>223</v>
      </c>
      <c r="HQ204" t="s">
        <v>231</v>
      </c>
      <c r="HR204" t="s">
        <v>223</v>
      </c>
      <c r="HU204" t="s">
        <v>231</v>
      </c>
      <c r="HV204" t="s">
        <v>223</v>
      </c>
      <c r="HW204" t="s">
        <v>246</v>
      </c>
      <c r="HX204" t="s">
        <v>236</v>
      </c>
      <c r="IA204" t="s">
        <v>231</v>
      </c>
      <c r="IB204" t="s">
        <v>250</v>
      </c>
      <c r="IC204" t="s">
        <v>395</v>
      </c>
      <c r="ID204" t="s">
        <v>395</v>
      </c>
      <c r="IE204" t="s">
        <v>395</v>
      </c>
      <c r="IF204" t="s">
        <v>395</v>
      </c>
      <c r="IG204" s="459" t="s">
        <v>451</v>
      </c>
      <c r="IH204" t="s">
        <v>235</v>
      </c>
    </row>
    <row r="205" spans="1:242" ht="159.5" x14ac:dyDescent="0.35">
      <c r="A205" s="310" t="s">
        <v>537</v>
      </c>
      <c r="B205" t="s">
        <v>1328</v>
      </c>
      <c r="C205" s="310" t="s">
        <v>1329</v>
      </c>
      <c r="D205" s="316"/>
      <c r="F205" t="s">
        <v>1330</v>
      </c>
      <c r="I205" s="310" t="s">
        <v>1324</v>
      </c>
      <c r="M205" s="313"/>
      <c r="O205"/>
      <c r="P205" s="382"/>
      <c r="Q205"/>
      <c r="U205"/>
      <c r="V205" s="313"/>
      <c r="W205"/>
      <c r="X205"/>
      <c r="Z205"/>
      <c r="AB205"/>
      <c r="AD205" s="8" t="s">
        <v>230</v>
      </c>
      <c r="AF205" s="8" t="s">
        <v>230</v>
      </c>
      <c r="AG205"/>
      <c r="AH205"/>
      <c r="AI205"/>
      <c r="AJ205" t="s">
        <v>221</v>
      </c>
      <c r="AK205">
        <v>0.2</v>
      </c>
      <c r="AL205">
        <v>0.3</v>
      </c>
      <c r="AM205" t="s">
        <v>414</v>
      </c>
      <c r="AN205" t="s">
        <v>236</v>
      </c>
      <c r="AO205" t="s">
        <v>221</v>
      </c>
      <c r="AP205" t="s">
        <v>225</v>
      </c>
      <c r="AQ205" t="s">
        <v>414</v>
      </c>
      <c r="AR205" t="s">
        <v>225</v>
      </c>
      <c r="AS205" t="s">
        <v>221</v>
      </c>
      <c r="AT205" t="s">
        <v>225</v>
      </c>
      <c r="AU205" t="s">
        <v>220</v>
      </c>
      <c r="AV205"/>
      <c r="AW205" s="313" t="s">
        <v>220</v>
      </c>
      <c r="AX205" t="s">
        <v>226</v>
      </c>
      <c r="AY205" s="313" t="s">
        <v>220</v>
      </c>
      <c r="AZ205" s="313">
        <v>0.10100000000000001</v>
      </c>
      <c r="BB205" s="313" t="s">
        <v>220</v>
      </c>
      <c r="BC205">
        <v>3.9399999999999998E-2</v>
      </c>
      <c r="BD205" t="s">
        <v>220</v>
      </c>
      <c r="BE205">
        <v>0.124</v>
      </c>
      <c r="BF205" s="2" t="s">
        <v>220</v>
      </c>
      <c r="BG205" s="2" t="s">
        <v>653</v>
      </c>
      <c r="BH205" s="2" t="s">
        <v>274</v>
      </c>
      <c r="BI205" s="2" t="s">
        <v>275</v>
      </c>
      <c r="BM205"/>
      <c r="BP205" s="8"/>
      <c r="BQ205" t="s">
        <v>230</v>
      </c>
      <c r="BR205" t="s">
        <v>230</v>
      </c>
      <c r="BU205" t="s">
        <v>317</v>
      </c>
      <c r="BV205" t="s">
        <v>225</v>
      </c>
      <c r="BW205" t="s">
        <v>232</v>
      </c>
      <c r="BX205" t="s">
        <v>500</v>
      </c>
      <c r="BY205" t="s">
        <v>220</v>
      </c>
      <c r="BZ205">
        <v>0.41399999999999998</v>
      </c>
      <c r="CA205" t="s">
        <v>372</v>
      </c>
      <c r="CF205" t="s">
        <v>220</v>
      </c>
      <c r="CG205">
        <v>0.14899999999999999</v>
      </c>
      <c r="CH205" t="s">
        <v>220</v>
      </c>
      <c r="CI205">
        <v>0.26900000000000002</v>
      </c>
      <c r="CK205"/>
      <c r="CL205"/>
      <c r="CM205"/>
      <c r="CS205" s="8"/>
      <c r="CW205" t="s">
        <v>220</v>
      </c>
      <c r="CX205" t="s">
        <v>220</v>
      </c>
      <c r="CY205" t="s">
        <v>317</v>
      </c>
      <c r="CZ205" t="s">
        <v>220</v>
      </c>
      <c r="DA205" t="s">
        <v>220</v>
      </c>
      <c r="DB205" t="s">
        <v>227</v>
      </c>
      <c r="DC205"/>
      <c r="DD205"/>
      <c r="DE205"/>
      <c r="DF205"/>
      <c r="DG205"/>
      <c r="DH205" s="323"/>
      <c r="DI205" s="323"/>
      <c r="DJ205" s="323"/>
      <c r="DL205" t="s">
        <v>220</v>
      </c>
      <c r="DM205" t="s">
        <v>220</v>
      </c>
      <c r="DN205" t="s">
        <v>227</v>
      </c>
      <c r="DO205" t="s">
        <v>257</v>
      </c>
      <c r="DP205" t="s">
        <v>257</v>
      </c>
      <c r="DS205" s="338">
        <v>17.472000000000001</v>
      </c>
      <c r="DT205" s="8" t="s">
        <v>394</v>
      </c>
      <c r="DU205" s="338">
        <v>2525.3879999999999</v>
      </c>
      <c r="DV205" s="8" t="s">
        <v>394</v>
      </c>
      <c r="DW205">
        <v>4010</v>
      </c>
      <c r="DX205" t="s">
        <v>238</v>
      </c>
      <c r="DY205">
        <v>3740</v>
      </c>
      <c r="DZ205" t="s">
        <v>238</v>
      </c>
      <c r="EA205"/>
      <c r="EB205"/>
      <c r="ED205" s="410"/>
      <c r="EE205" s="1"/>
      <c r="EG205" s="410"/>
      <c r="EI205" s="410"/>
      <c r="EK205" s="1"/>
      <c r="EM205"/>
      <c r="EQ205" s="344"/>
      <c r="EU205" s="344"/>
      <c r="EW205" s="409"/>
      <c r="EY205" s="1"/>
      <c r="FA205">
        <v>39.130000000000003</v>
      </c>
      <c r="FB205" t="s">
        <v>236</v>
      </c>
      <c r="FC205" s="7">
        <v>117.78771585369437</v>
      </c>
      <c r="FD205" s="357" t="s">
        <v>236</v>
      </c>
      <c r="FE205" s="8">
        <v>19929665.061647236</v>
      </c>
      <c r="FF205" t="s">
        <v>337</v>
      </c>
      <c r="FH205" s="9">
        <v>4567725.5330886766</v>
      </c>
      <c r="FI205" s="9" t="s">
        <v>236</v>
      </c>
      <c r="FJ205">
        <v>3930</v>
      </c>
      <c r="FK205" t="s">
        <v>238</v>
      </c>
      <c r="FL205">
        <v>3080</v>
      </c>
      <c r="FM205">
        <v>2405470.3049880965</v>
      </c>
      <c r="FN205" s="5" t="s">
        <v>337</v>
      </c>
      <c r="FP205" s="6">
        <v>19.565000000000001</v>
      </c>
      <c r="FQ205" t="s">
        <v>275</v>
      </c>
      <c r="FS205" t="s">
        <v>240</v>
      </c>
      <c r="FU205" s="8">
        <v>2</v>
      </c>
      <c r="FV205" s="8">
        <v>10</v>
      </c>
      <c r="FW205" s="8">
        <v>10</v>
      </c>
      <c r="FX205" s="8">
        <v>1</v>
      </c>
      <c r="FY205" s="8">
        <v>3</v>
      </c>
      <c r="FZ205">
        <f t="shared" si="3"/>
        <v>600</v>
      </c>
      <c r="GA205" s="7" t="s">
        <v>326</v>
      </c>
      <c r="GB205" s="7" t="s">
        <v>326</v>
      </c>
      <c r="GC205" s="6">
        <v>1.5</v>
      </c>
      <c r="GD205" s="348" t="s">
        <v>242</v>
      </c>
      <c r="GF205" s="6">
        <v>1.0266666666666666</v>
      </c>
      <c r="GH205" s="7"/>
      <c r="GI205" s="441" t="s">
        <v>395</v>
      </c>
      <c r="GJ205" s="441" t="s">
        <v>395</v>
      </c>
      <c r="GK205" s="441" t="s">
        <v>395</v>
      </c>
      <c r="GL205" s="441" t="s">
        <v>395</v>
      </c>
      <c r="GM205" s="461" t="s">
        <v>790</v>
      </c>
      <c r="GN205" s="6">
        <v>0.01</v>
      </c>
      <c r="GO205" s="6">
        <v>1.8749999999999999E-2</v>
      </c>
      <c r="GP205" s="6">
        <v>0.03</v>
      </c>
      <c r="GQ205" s="6">
        <v>7.4999999999999997E-2</v>
      </c>
      <c r="GR205" s="461" t="s">
        <v>790</v>
      </c>
      <c r="GU205" t="s">
        <v>243</v>
      </c>
      <c r="GV205" t="s">
        <v>236</v>
      </c>
      <c r="GW205" t="s">
        <v>244</v>
      </c>
      <c r="GX205" t="s">
        <v>236</v>
      </c>
      <c r="GY205" t="s">
        <v>245</v>
      </c>
      <c r="HE205" t="s">
        <v>247</v>
      </c>
      <c r="HF205" t="s">
        <v>223</v>
      </c>
      <c r="HG205" t="s">
        <v>231</v>
      </c>
      <c r="HH205" t="s">
        <v>225</v>
      </c>
      <c r="HI205" t="s">
        <v>247</v>
      </c>
      <c r="HJ205" t="s">
        <v>236</v>
      </c>
      <c r="HK205" t="s">
        <v>568</v>
      </c>
      <c r="HO205" t="s">
        <v>231</v>
      </c>
      <c r="HP205" t="s">
        <v>223</v>
      </c>
      <c r="HQ205" t="s">
        <v>231</v>
      </c>
      <c r="HR205" t="s">
        <v>223</v>
      </c>
      <c r="HU205" t="s">
        <v>231</v>
      </c>
      <c r="HV205" t="s">
        <v>223</v>
      </c>
      <c r="HW205" t="s">
        <v>246</v>
      </c>
      <c r="HX205" t="s">
        <v>236</v>
      </c>
      <c r="IA205" t="s">
        <v>231</v>
      </c>
      <c r="IB205" t="s">
        <v>250</v>
      </c>
      <c r="IC205" t="s">
        <v>395</v>
      </c>
      <c r="ID205" t="s">
        <v>395</v>
      </c>
      <c r="IE205" t="s">
        <v>395</v>
      </c>
      <c r="IF205" t="s">
        <v>395</v>
      </c>
      <c r="IG205" s="459" t="s">
        <v>451</v>
      </c>
      <c r="IH205" t="s">
        <v>235</v>
      </c>
    </row>
    <row r="206" spans="1:242" ht="159.5" x14ac:dyDescent="0.35">
      <c r="A206" s="310" t="s">
        <v>537</v>
      </c>
      <c r="B206" t="s">
        <v>1331</v>
      </c>
      <c r="C206" s="310" t="s">
        <v>1332</v>
      </c>
      <c r="D206" s="316"/>
      <c r="F206" t="s">
        <v>1333</v>
      </c>
      <c r="I206" s="310" t="s">
        <v>1324</v>
      </c>
      <c r="M206" s="313"/>
      <c r="O206"/>
      <c r="P206" s="382"/>
      <c r="Q206"/>
      <c r="U206"/>
      <c r="V206" s="313"/>
      <c r="W206"/>
      <c r="X206"/>
      <c r="Z206"/>
      <c r="AB206"/>
      <c r="AD206" s="8" t="s">
        <v>230</v>
      </c>
      <c r="AF206" s="8" t="s">
        <v>230</v>
      </c>
      <c r="AG206"/>
      <c r="AH206"/>
      <c r="AI206"/>
      <c r="AJ206" t="s">
        <v>221</v>
      </c>
      <c r="AK206">
        <v>0.2</v>
      </c>
      <c r="AL206">
        <v>0.3</v>
      </c>
      <c r="AM206" t="s">
        <v>414</v>
      </c>
      <c r="AN206" t="s">
        <v>236</v>
      </c>
      <c r="AO206" t="s">
        <v>221</v>
      </c>
      <c r="AP206" t="s">
        <v>225</v>
      </c>
      <c r="AQ206" t="s">
        <v>414</v>
      </c>
      <c r="AR206" t="s">
        <v>225</v>
      </c>
      <c r="AS206" t="s">
        <v>221</v>
      </c>
      <c r="AT206" t="s">
        <v>225</v>
      </c>
      <c r="AU206" t="s">
        <v>220</v>
      </c>
      <c r="AV206"/>
      <c r="AW206" s="313" t="s">
        <v>220</v>
      </c>
      <c r="AX206" t="s">
        <v>226</v>
      </c>
      <c r="AY206" s="313" t="s">
        <v>220</v>
      </c>
      <c r="AZ206" s="313">
        <v>0.10100000000000001</v>
      </c>
      <c r="BB206" s="313" t="s">
        <v>220</v>
      </c>
      <c r="BC206">
        <v>3.9399999999999998E-2</v>
      </c>
      <c r="BD206" t="s">
        <v>220</v>
      </c>
      <c r="BE206">
        <v>0.124</v>
      </c>
      <c r="BF206" s="2" t="s">
        <v>220</v>
      </c>
      <c r="BG206" s="2" t="s">
        <v>653</v>
      </c>
      <c r="BH206" s="2" t="s">
        <v>274</v>
      </c>
      <c r="BI206" s="2" t="s">
        <v>275</v>
      </c>
      <c r="BM206"/>
      <c r="BP206" s="8"/>
      <c r="BQ206" t="s">
        <v>230</v>
      </c>
      <c r="BR206" t="s">
        <v>230</v>
      </c>
      <c r="BU206" t="s">
        <v>317</v>
      </c>
      <c r="BV206" t="s">
        <v>225</v>
      </c>
      <c r="BW206" t="s">
        <v>232</v>
      </c>
      <c r="BX206" t="s">
        <v>500</v>
      </c>
      <c r="BY206" t="s">
        <v>220</v>
      </c>
      <c r="BZ206">
        <v>0.41399999999999998</v>
      </c>
      <c r="CA206" t="s">
        <v>372</v>
      </c>
      <c r="CF206" t="s">
        <v>220</v>
      </c>
      <c r="CG206">
        <v>0.14899999999999999</v>
      </c>
      <c r="CH206" t="s">
        <v>220</v>
      </c>
      <c r="CI206">
        <v>0.26900000000000002</v>
      </c>
      <c r="CK206"/>
      <c r="CL206"/>
      <c r="CM206"/>
      <c r="CS206" s="8"/>
      <c r="CW206" t="s">
        <v>220</v>
      </c>
      <c r="CX206" t="s">
        <v>220</v>
      </c>
      <c r="CY206" t="s">
        <v>317</v>
      </c>
      <c r="CZ206" t="s">
        <v>220</v>
      </c>
      <c r="DA206" t="s">
        <v>220</v>
      </c>
      <c r="DB206" t="s">
        <v>227</v>
      </c>
      <c r="DC206"/>
      <c r="DD206"/>
      <c r="DE206"/>
      <c r="DF206"/>
      <c r="DG206"/>
      <c r="DH206" s="323"/>
      <c r="DI206" s="323"/>
      <c r="DJ206" s="323"/>
      <c r="DL206" t="s">
        <v>220</v>
      </c>
      <c r="DM206" t="s">
        <v>220</v>
      </c>
      <c r="DN206" t="s">
        <v>227</v>
      </c>
      <c r="DO206" t="s">
        <v>257</v>
      </c>
      <c r="DP206" t="s">
        <v>257</v>
      </c>
      <c r="DS206" s="338">
        <v>17.829999999999998</v>
      </c>
      <c r="DT206" s="8" t="s">
        <v>394</v>
      </c>
      <c r="DU206" s="338">
        <v>3073.6030000000001</v>
      </c>
      <c r="DV206" s="8" t="s">
        <v>394</v>
      </c>
      <c r="DW206">
        <v>4300</v>
      </c>
      <c r="DX206" t="s">
        <v>238</v>
      </c>
      <c r="DY206">
        <v>3300</v>
      </c>
      <c r="DZ206" t="s">
        <v>238</v>
      </c>
      <c r="EA206"/>
      <c r="EB206"/>
      <c r="ED206" s="410"/>
      <c r="EE206" s="1"/>
      <c r="EG206" s="410"/>
      <c r="EI206" s="410"/>
      <c r="EK206" s="1"/>
      <c r="EM206"/>
      <c r="EQ206" s="344"/>
      <c r="EU206" s="344"/>
      <c r="EW206" s="409"/>
      <c r="EY206" s="1"/>
      <c r="FA206">
        <v>39.130000000000003</v>
      </c>
      <c r="FB206" t="s">
        <v>236</v>
      </c>
      <c r="FC206" s="7">
        <v>172.94181001318984</v>
      </c>
      <c r="FD206" s="357" t="s">
        <v>236</v>
      </c>
      <c r="FE206" s="8">
        <v>19929665.061647236</v>
      </c>
      <c r="FF206" t="s">
        <v>337</v>
      </c>
      <c r="FH206" s="9">
        <v>4103930.5246101674</v>
      </c>
      <c r="FI206" s="9" t="s">
        <v>236</v>
      </c>
      <c r="FJ206">
        <v>3910</v>
      </c>
      <c r="FK206" t="s">
        <v>238</v>
      </c>
      <c r="FL206">
        <v>3080</v>
      </c>
      <c r="FM206">
        <v>2405470.3049880965</v>
      </c>
      <c r="FN206" s="5" t="s">
        <v>337</v>
      </c>
      <c r="FP206" s="6">
        <v>19.565000000000001</v>
      </c>
      <c r="FQ206" t="s">
        <v>275</v>
      </c>
      <c r="FS206" t="s">
        <v>240</v>
      </c>
      <c r="FU206" s="8">
        <v>2</v>
      </c>
      <c r="FV206" s="8">
        <v>10</v>
      </c>
      <c r="FW206" s="8">
        <v>10</v>
      </c>
      <c r="FX206" s="8">
        <v>1</v>
      </c>
      <c r="FY206" s="8">
        <v>3</v>
      </c>
      <c r="FZ206">
        <f t="shared" si="3"/>
        <v>600</v>
      </c>
      <c r="GA206" s="7" t="s">
        <v>326</v>
      </c>
      <c r="GB206" s="7" t="s">
        <v>326</v>
      </c>
      <c r="GC206" s="6">
        <v>1.5</v>
      </c>
      <c r="GD206" s="348" t="s">
        <v>242</v>
      </c>
      <c r="GF206" s="6">
        <v>1.0266666666666666</v>
      </c>
      <c r="GH206" s="7"/>
      <c r="GI206" s="441" t="s">
        <v>395</v>
      </c>
      <c r="GJ206" s="441" t="s">
        <v>395</v>
      </c>
      <c r="GK206" s="441" t="s">
        <v>395</v>
      </c>
      <c r="GL206" s="441" t="s">
        <v>395</v>
      </c>
      <c r="GM206" s="461" t="s">
        <v>790</v>
      </c>
      <c r="GN206" s="6">
        <v>0.01</v>
      </c>
      <c r="GO206" s="6">
        <v>1.8749999999999999E-2</v>
      </c>
      <c r="GP206" s="6">
        <v>0.03</v>
      </c>
      <c r="GQ206" s="6">
        <v>7.4999999999999997E-2</v>
      </c>
      <c r="GR206" s="461" t="s">
        <v>790</v>
      </c>
      <c r="GU206" t="s">
        <v>243</v>
      </c>
      <c r="GV206" t="s">
        <v>236</v>
      </c>
      <c r="GW206" t="s">
        <v>244</v>
      </c>
      <c r="GX206" t="s">
        <v>236</v>
      </c>
      <c r="GY206" t="s">
        <v>245</v>
      </c>
      <c r="HE206" t="s">
        <v>247</v>
      </c>
      <c r="HF206" t="s">
        <v>223</v>
      </c>
      <c r="HG206" t="s">
        <v>231</v>
      </c>
      <c r="HH206" t="s">
        <v>225</v>
      </c>
      <c r="HI206" t="s">
        <v>247</v>
      </c>
      <c r="HJ206" t="s">
        <v>236</v>
      </c>
      <c r="HK206" t="s">
        <v>568</v>
      </c>
      <c r="HO206" t="s">
        <v>231</v>
      </c>
      <c r="HP206" t="s">
        <v>223</v>
      </c>
      <c r="HQ206" t="s">
        <v>231</v>
      </c>
      <c r="HR206" t="s">
        <v>223</v>
      </c>
      <c r="HU206" t="s">
        <v>231</v>
      </c>
      <c r="HV206" t="s">
        <v>223</v>
      </c>
      <c r="HW206" t="s">
        <v>246</v>
      </c>
      <c r="HX206" t="s">
        <v>236</v>
      </c>
      <c r="IA206" t="s">
        <v>231</v>
      </c>
      <c r="IB206" t="s">
        <v>250</v>
      </c>
      <c r="IC206" t="s">
        <v>395</v>
      </c>
      <c r="ID206" t="s">
        <v>395</v>
      </c>
      <c r="IE206" t="s">
        <v>395</v>
      </c>
      <c r="IF206" t="s">
        <v>395</v>
      </c>
      <c r="IG206" s="459" t="s">
        <v>451</v>
      </c>
      <c r="IH206" t="s">
        <v>235</v>
      </c>
    </row>
    <row r="207" spans="1:242" ht="159.5" x14ac:dyDescent="0.35">
      <c r="A207" s="310" t="s">
        <v>537</v>
      </c>
      <c r="B207" t="s">
        <v>1334</v>
      </c>
      <c r="C207" s="310" t="s">
        <v>1335</v>
      </c>
      <c r="D207" s="316"/>
      <c r="F207" t="s">
        <v>1336</v>
      </c>
      <c r="I207" s="310" t="s">
        <v>1324</v>
      </c>
      <c r="M207" s="313"/>
      <c r="O207"/>
      <c r="P207" s="382"/>
      <c r="Q207"/>
      <c r="U207"/>
      <c r="V207" s="313"/>
      <c r="W207"/>
      <c r="X207"/>
      <c r="Z207"/>
      <c r="AB207"/>
      <c r="AD207" s="8" t="s">
        <v>230</v>
      </c>
      <c r="AF207" s="8" t="s">
        <v>230</v>
      </c>
      <c r="AG207"/>
      <c r="AH207"/>
      <c r="AI207"/>
      <c r="AJ207" t="s">
        <v>221</v>
      </c>
      <c r="AK207">
        <v>0.2</v>
      </c>
      <c r="AL207">
        <v>0.3</v>
      </c>
      <c r="AM207" t="s">
        <v>414</v>
      </c>
      <c r="AN207" t="s">
        <v>236</v>
      </c>
      <c r="AO207" t="s">
        <v>221</v>
      </c>
      <c r="AP207" t="s">
        <v>225</v>
      </c>
      <c r="AQ207" t="s">
        <v>414</v>
      </c>
      <c r="AR207" t="s">
        <v>225</v>
      </c>
      <c r="AS207" t="s">
        <v>221</v>
      </c>
      <c r="AT207" t="s">
        <v>225</v>
      </c>
      <c r="AU207" t="s">
        <v>220</v>
      </c>
      <c r="AV207"/>
      <c r="AW207" s="313" t="s">
        <v>220</v>
      </c>
      <c r="AX207" t="s">
        <v>226</v>
      </c>
      <c r="AY207" s="313" t="s">
        <v>220</v>
      </c>
      <c r="AZ207" s="313">
        <v>0.10100000000000001</v>
      </c>
      <c r="BB207" s="313" t="s">
        <v>220</v>
      </c>
      <c r="BC207">
        <v>3.9399999999999998E-2</v>
      </c>
      <c r="BD207" t="s">
        <v>220</v>
      </c>
      <c r="BE207">
        <v>0.124</v>
      </c>
      <c r="BF207" s="2" t="s">
        <v>220</v>
      </c>
      <c r="BG207" s="2" t="s">
        <v>653</v>
      </c>
      <c r="BH207" s="2" t="s">
        <v>274</v>
      </c>
      <c r="BI207" s="2" t="s">
        <v>275</v>
      </c>
      <c r="BM207"/>
      <c r="BP207" s="8"/>
      <c r="BQ207" t="s">
        <v>230</v>
      </c>
      <c r="BR207" t="s">
        <v>230</v>
      </c>
      <c r="BU207" t="s">
        <v>317</v>
      </c>
      <c r="BV207" t="s">
        <v>225</v>
      </c>
      <c r="BW207" t="s">
        <v>232</v>
      </c>
      <c r="BX207" t="s">
        <v>500</v>
      </c>
      <c r="BY207" t="s">
        <v>220</v>
      </c>
      <c r="BZ207">
        <v>0.41399999999999998</v>
      </c>
      <c r="CA207" t="s">
        <v>372</v>
      </c>
      <c r="CF207" t="s">
        <v>220</v>
      </c>
      <c r="CG207">
        <v>0.14899999999999999</v>
      </c>
      <c r="CH207" t="s">
        <v>220</v>
      </c>
      <c r="CI207">
        <v>0.26900000000000002</v>
      </c>
      <c r="CK207"/>
      <c r="CL207"/>
      <c r="CM207"/>
      <c r="CS207" s="8"/>
      <c r="CW207" t="s">
        <v>220</v>
      </c>
      <c r="CX207" t="s">
        <v>220</v>
      </c>
      <c r="CY207" t="s">
        <v>317</v>
      </c>
      <c r="CZ207" t="s">
        <v>220</v>
      </c>
      <c r="DA207" t="s">
        <v>220</v>
      </c>
      <c r="DB207" t="s">
        <v>227</v>
      </c>
      <c r="DC207"/>
      <c r="DD207"/>
      <c r="DE207"/>
      <c r="DF207"/>
      <c r="DG207"/>
      <c r="DH207" s="323"/>
      <c r="DI207" s="323"/>
      <c r="DJ207" s="323"/>
      <c r="DL207" t="s">
        <v>220</v>
      </c>
      <c r="DM207" t="s">
        <v>220</v>
      </c>
      <c r="DN207" t="s">
        <v>227</v>
      </c>
      <c r="DO207" t="s">
        <v>257</v>
      </c>
      <c r="DP207" t="s">
        <v>257</v>
      </c>
      <c r="DS207" s="338">
        <v>19.488</v>
      </c>
      <c r="DT207" s="8" t="s">
        <v>394</v>
      </c>
      <c r="DU207" s="338">
        <v>3768.7089999999998</v>
      </c>
      <c r="DV207" s="8" t="s">
        <v>394</v>
      </c>
      <c r="DW207">
        <v>3710</v>
      </c>
      <c r="DX207" t="s">
        <v>238</v>
      </c>
      <c r="DY207">
        <v>3460</v>
      </c>
      <c r="DZ207" t="s">
        <v>238</v>
      </c>
      <c r="EA207"/>
      <c r="EB207"/>
      <c r="ED207" s="410"/>
      <c r="EE207" s="1"/>
      <c r="EG207" s="410"/>
      <c r="EI207" s="410"/>
      <c r="EK207" s="1"/>
      <c r="EM207"/>
      <c r="EQ207" s="344"/>
      <c r="EU207" s="344"/>
      <c r="EW207" s="409"/>
      <c r="EY207" s="1"/>
      <c r="FA207">
        <v>39.130000000000003</v>
      </c>
      <c r="FB207" t="s">
        <v>236</v>
      </c>
      <c r="FC207" s="7">
        <v>243.27641092246952</v>
      </c>
      <c r="FD207" s="357" t="s">
        <v>236</v>
      </c>
      <c r="FE207" s="8">
        <v>19929665.061647236</v>
      </c>
      <c r="FF207" t="s">
        <v>337</v>
      </c>
      <c r="FH207" s="9">
        <v>2904691.4073819118</v>
      </c>
      <c r="FI207" s="9" t="s">
        <v>236</v>
      </c>
      <c r="FJ207">
        <v>3780</v>
      </c>
      <c r="FK207" t="s">
        <v>238</v>
      </c>
      <c r="FL207">
        <v>3080</v>
      </c>
      <c r="FM207">
        <v>2405470.3049880965</v>
      </c>
      <c r="FN207" s="5" t="s">
        <v>337</v>
      </c>
      <c r="FP207" s="6">
        <v>19.565000000000001</v>
      </c>
      <c r="FQ207" t="s">
        <v>275</v>
      </c>
      <c r="FS207" t="s">
        <v>240</v>
      </c>
      <c r="FU207" s="8">
        <v>2</v>
      </c>
      <c r="FV207" s="8">
        <v>10</v>
      </c>
      <c r="FW207" s="8">
        <v>10</v>
      </c>
      <c r="FX207" s="8">
        <v>1</v>
      </c>
      <c r="FY207" s="8">
        <v>3</v>
      </c>
      <c r="FZ207">
        <f t="shared" si="3"/>
        <v>600</v>
      </c>
      <c r="GA207" s="7" t="s">
        <v>326</v>
      </c>
      <c r="GB207" s="7" t="s">
        <v>326</v>
      </c>
      <c r="GC207" s="6">
        <v>1.5</v>
      </c>
      <c r="GD207" s="348" t="s">
        <v>242</v>
      </c>
      <c r="GF207" s="6">
        <v>1.0266666666666666</v>
      </c>
      <c r="GH207" s="7"/>
      <c r="GI207" s="441" t="s">
        <v>395</v>
      </c>
      <c r="GJ207" s="441" t="s">
        <v>395</v>
      </c>
      <c r="GK207" s="441" t="s">
        <v>395</v>
      </c>
      <c r="GL207" s="441" t="s">
        <v>395</v>
      </c>
      <c r="GM207" s="461" t="s">
        <v>790</v>
      </c>
      <c r="GN207" s="6">
        <v>0.01</v>
      </c>
      <c r="GO207" s="6">
        <v>1.8749999999999999E-2</v>
      </c>
      <c r="GP207" s="6">
        <v>0.03</v>
      </c>
      <c r="GQ207" s="6">
        <v>7.4999999999999997E-2</v>
      </c>
      <c r="GR207" s="461" t="s">
        <v>790</v>
      </c>
      <c r="GU207" t="s">
        <v>243</v>
      </c>
      <c r="GV207" t="s">
        <v>236</v>
      </c>
      <c r="GW207" t="s">
        <v>244</v>
      </c>
      <c r="GX207" t="s">
        <v>236</v>
      </c>
      <c r="GY207" t="s">
        <v>245</v>
      </c>
      <c r="HE207" t="s">
        <v>247</v>
      </c>
      <c r="HF207" t="s">
        <v>223</v>
      </c>
      <c r="HG207" t="s">
        <v>231</v>
      </c>
      <c r="HH207" t="s">
        <v>225</v>
      </c>
      <c r="HI207" t="s">
        <v>247</v>
      </c>
      <c r="HJ207" t="s">
        <v>236</v>
      </c>
      <c r="HK207" t="s">
        <v>568</v>
      </c>
      <c r="HO207" t="s">
        <v>231</v>
      </c>
      <c r="HP207" t="s">
        <v>223</v>
      </c>
      <c r="HQ207" t="s">
        <v>231</v>
      </c>
      <c r="HR207" t="s">
        <v>223</v>
      </c>
      <c r="HU207" t="s">
        <v>231</v>
      </c>
      <c r="HV207" t="s">
        <v>223</v>
      </c>
      <c r="HW207" t="s">
        <v>246</v>
      </c>
      <c r="HX207" t="s">
        <v>236</v>
      </c>
      <c r="IA207" t="s">
        <v>231</v>
      </c>
      <c r="IB207" t="s">
        <v>250</v>
      </c>
      <c r="IC207" t="s">
        <v>395</v>
      </c>
      <c r="ID207" t="s">
        <v>395</v>
      </c>
      <c r="IE207" t="s">
        <v>395</v>
      </c>
      <c r="IF207" t="s">
        <v>395</v>
      </c>
      <c r="IG207" s="459" t="s">
        <v>451</v>
      </c>
      <c r="IH207" t="s">
        <v>235</v>
      </c>
    </row>
    <row r="208" spans="1:242" ht="159.5" x14ac:dyDescent="0.35">
      <c r="A208" s="310" t="s">
        <v>537</v>
      </c>
      <c r="B208" t="s">
        <v>1337</v>
      </c>
      <c r="C208" s="310" t="s">
        <v>1338</v>
      </c>
      <c r="D208" s="316"/>
      <c r="F208" t="s">
        <v>1339</v>
      </c>
      <c r="I208" s="310" t="s">
        <v>1324</v>
      </c>
      <c r="M208" s="313"/>
      <c r="O208"/>
      <c r="P208" s="382"/>
      <c r="Q208"/>
      <c r="U208"/>
      <c r="V208" s="313"/>
      <c r="W208"/>
      <c r="X208"/>
      <c r="Z208"/>
      <c r="AB208"/>
      <c r="AD208" s="8" t="s">
        <v>230</v>
      </c>
      <c r="AF208" s="8" t="s">
        <v>230</v>
      </c>
      <c r="AG208"/>
      <c r="AH208"/>
      <c r="AI208"/>
      <c r="AJ208" t="s">
        <v>221</v>
      </c>
      <c r="AK208">
        <v>0.2</v>
      </c>
      <c r="AL208">
        <v>0.3</v>
      </c>
      <c r="AM208" t="s">
        <v>414</v>
      </c>
      <c r="AN208" t="s">
        <v>236</v>
      </c>
      <c r="AO208" t="s">
        <v>221</v>
      </c>
      <c r="AP208" t="s">
        <v>225</v>
      </c>
      <c r="AQ208" t="s">
        <v>414</v>
      </c>
      <c r="AR208" t="s">
        <v>225</v>
      </c>
      <c r="AS208" t="s">
        <v>221</v>
      </c>
      <c r="AT208" t="s">
        <v>225</v>
      </c>
      <c r="AU208" t="s">
        <v>220</v>
      </c>
      <c r="AV208"/>
      <c r="AW208" s="313" t="s">
        <v>220</v>
      </c>
      <c r="AX208" t="s">
        <v>226</v>
      </c>
      <c r="AY208" s="313" t="s">
        <v>220</v>
      </c>
      <c r="AZ208" s="313">
        <v>0.10100000000000001</v>
      </c>
      <c r="BB208" s="313" t="s">
        <v>220</v>
      </c>
      <c r="BC208">
        <v>3.9399999999999998E-2</v>
      </c>
      <c r="BD208" t="s">
        <v>220</v>
      </c>
      <c r="BE208">
        <v>0.124</v>
      </c>
      <c r="BF208" s="2" t="s">
        <v>220</v>
      </c>
      <c r="BG208" s="2" t="s">
        <v>653</v>
      </c>
      <c r="BH208" s="2" t="s">
        <v>274</v>
      </c>
      <c r="BI208" s="2" t="s">
        <v>275</v>
      </c>
      <c r="BM208"/>
      <c r="BP208" s="8"/>
      <c r="BQ208" t="s">
        <v>230</v>
      </c>
      <c r="BR208" t="s">
        <v>230</v>
      </c>
      <c r="BU208" t="s">
        <v>317</v>
      </c>
      <c r="BV208" t="s">
        <v>225</v>
      </c>
      <c r="BW208" t="s">
        <v>232</v>
      </c>
      <c r="BX208" t="s">
        <v>500</v>
      </c>
      <c r="BY208" t="s">
        <v>220</v>
      </c>
      <c r="BZ208">
        <v>0.41399999999999998</v>
      </c>
      <c r="CA208" t="s">
        <v>372</v>
      </c>
      <c r="CF208" t="s">
        <v>220</v>
      </c>
      <c r="CG208">
        <v>0.14899999999999999</v>
      </c>
      <c r="CH208" t="s">
        <v>220</v>
      </c>
      <c r="CI208">
        <v>0.26900000000000002</v>
      </c>
      <c r="CK208"/>
      <c r="CL208"/>
      <c r="CM208"/>
      <c r="CS208" s="8"/>
      <c r="CW208" t="s">
        <v>220</v>
      </c>
      <c r="CX208" t="s">
        <v>220</v>
      </c>
      <c r="CY208" t="s">
        <v>317</v>
      </c>
      <c r="CZ208" t="s">
        <v>220</v>
      </c>
      <c r="DA208" t="s">
        <v>220</v>
      </c>
      <c r="DB208" t="s">
        <v>227</v>
      </c>
      <c r="DC208"/>
      <c r="DD208"/>
      <c r="DE208"/>
      <c r="DF208"/>
      <c r="DG208"/>
      <c r="DH208" s="323"/>
      <c r="DI208" s="323"/>
      <c r="DJ208" s="323"/>
      <c r="DL208" t="s">
        <v>220</v>
      </c>
      <c r="DM208" t="s">
        <v>220</v>
      </c>
      <c r="DN208" t="s">
        <v>227</v>
      </c>
      <c r="DO208" t="s">
        <v>257</v>
      </c>
      <c r="DP208" t="s">
        <v>257</v>
      </c>
      <c r="DS208" s="338">
        <v>18.844999999999999</v>
      </c>
      <c r="DT208" s="8" t="s">
        <v>394</v>
      </c>
      <c r="DU208" s="338">
        <v>3721.2510000000002</v>
      </c>
      <c r="DV208" s="8" t="s">
        <v>394</v>
      </c>
      <c r="DW208">
        <v>3800</v>
      </c>
      <c r="DX208" t="s">
        <v>238</v>
      </c>
      <c r="DY208">
        <v>3530</v>
      </c>
      <c r="DZ208" t="s">
        <v>238</v>
      </c>
      <c r="EA208"/>
      <c r="EB208"/>
      <c r="ED208" s="410"/>
      <c r="EE208" s="1"/>
      <c r="EG208" s="410"/>
      <c r="EI208" s="410"/>
      <c r="EK208" s="1"/>
      <c r="EM208"/>
      <c r="EQ208" s="344"/>
      <c r="EU208" s="344"/>
      <c r="EW208" s="409"/>
      <c r="EY208" s="1"/>
      <c r="FA208">
        <v>39.130000000000003</v>
      </c>
      <c r="FB208" t="s">
        <v>236</v>
      </c>
      <c r="FC208" s="7">
        <v>234.53086212002771</v>
      </c>
      <c r="FD208" s="357" t="s">
        <v>236</v>
      </c>
      <c r="FE208" s="8">
        <v>19929665.061647236</v>
      </c>
      <c r="FF208" t="s">
        <v>337</v>
      </c>
      <c r="FH208" s="9">
        <v>2818382.9312644606</v>
      </c>
      <c r="FI208" s="9" t="s">
        <v>236</v>
      </c>
      <c r="FJ208">
        <v>3840</v>
      </c>
      <c r="FK208" t="s">
        <v>238</v>
      </c>
      <c r="FL208">
        <v>3080</v>
      </c>
      <c r="FM208">
        <v>2405470.3049880965</v>
      </c>
      <c r="FN208" s="5" t="s">
        <v>337</v>
      </c>
      <c r="FP208" s="6">
        <v>19.565000000000001</v>
      </c>
      <c r="FQ208" t="s">
        <v>275</v>
      </c>
      <c r="FS208" t="s">
        <v>240</v>
      </c>
      <c r="FU208" s="8">
        <v>2</v>
      </c>
      <c r="FV208" s="8">
        <v>10</v>
      </c>
      <c r="FW208" s="8">
        <v>10</v>
      </c>
      <c r="FX208" s="8">
        <v>1</v>
      </c>
      <c r="FY208" s="8">
        <v>3</v>
      </c>
      <c r="FZ208">
        <f t="shared" si="3"/>
        <v>600</v>
      </c>
      <c r="GA208" s="7" t="s">
        <v>326</v>
      </c>
      <c r="GB208" s="7" t="s">
        <v>326</v>
      </c>
      <c r="GC208" s="6">
        <v>1.5</v>
      </c>
      <c r="GD208" s="348" t="s">
        <v>242</v>
      </c>
      <c r="GF208" s="6">
        <v>1.0266666666666666</v>
      </c>
      <c r="GH208" s="7"/>
      <c r="GI208" s="441" t="s">
        <v>395</v>
      </c>
      <c r="GJ208" s="441" t="s">
        <v>395</v>
      </c>
      <c r="GK208" s="441" t="s">
        <v>395</v>
      </c>
      <c r="GL208" s="441" t="s">
        <v>395</v>
      </c>
      <c r="GM208" s="461" t="s">
        <v>790</v>
      </c>
      <c r="GN208" s="6">
        <v>0.01</v>
      </c>
      <c r="GO208" s="6">
        <v>1.8749999999999999E-2</v>
      </c>
      <c r="GP208" s="6">
        <v>0.03</v>
      </c>
      <c r="GQ208" s="6">
        <v>7.4999999999999997E-2</v>
      </c>
      <c r="GR208" s="461" t="s">
        <v>790</v>
      </c>
      <c r="GU208" t="s">
        <v>243</v>
      </c>
      <c r="GV208" t="s">
        <v>236</v>
      </c>
      <c r="GW208" t="s">
        <v>244</v>
      </c>
      <c r="GX208" t="s">
        <v>236</v>
      </c>
      <c r="GY208" t="s">
        <v>245</v>
      </c>
      <c r="HE208" t="s">
        <v>247</v>
      </c>
      <c r="HF208" t="s">
        <v>223</v>
      </c>
      <c r="HG208" t="s">
        <v>231</v>
      </c>
      <c r="HH208" t="s">
        <v>225</v>
      </c>
      <c r="HI208" t="s">
        <v>247</v>
      </c>
      <c r="HJ208" t="s">
        <v>236</v>
      </c>
      <c r="HK208" t="s">
        <v>568</v>
      </c>
      <c r="HO208" t="s">
        <v>231</v>
      </c>
      <c r="HP208" t="s">
        <v>223</v>
      </c>
      <c r="HQ208" t="s">
        <v>231</v>
      </c>
      <c r="HR208" t="s">
        <v>223</v>
      </c>
      <c r="HU208" t="s">
        <v>231</v>
      </c>
      <c r="HV208" t="s">
        <v>223</v>
      </c>
      <c r="HW208" t="s">
        <v>246</v>
      </c>
      <c r="HX208" t="s">
        <v>236</v>
      </c>
      <c r="IA208" t="s">
        <v>231</v>
      </c>
      <c r="IB208" t="s">
        <v>250</v>
      </c>
      <c r="IC208" t="s">
        <v>395</v>
      </c>
      <c r="ID208" t="s">
        <v>395</v>
      </c>
      <c r="IE208" t="s">
        <v>395</v>
      </c>
      <c r="IF208" t="s">
        <v>395</v>
      </c>
      <c r="IG208" s="459" t="s">
        <v>451</v>
      </c>
      <c r="IH208" t="s">
        <v>235</v>
      </c>
    </row>
    <row r="209" spans="1:242" ht="159.5" x14ac:dyDescent="0.35">
      <c r="A209" s="310" t="s">
        <v>537</v>
      </c>
      <c r="B209" t="s">
        <v>1340</v>
      </c>
      <c r="C209" s="310" t="s">
        <v>1341</v>
      </c>
      <c r="D209" s="316"/>
      <c r="F209" t="s">
        <v>1342</v>
      </c>
      <c r="I209" s="310" t="s">
        <v>1343</v>
      </c>
      <c r="M209" s="313"/>
      <c r="O209"/>
      <c r="P209" s="382"/>
      <c r="Q209"/>
      <c r="U209"/>
      <c r="V209" s="313"/>
      <c r="W209"/>
      <c r="X209"/>
      <c r="Z209"/>
      <c r="AB209"/>
      <c r="AD209" s="8" t="s">
        <v>230</v>
      </c>
      <c r="AF209" s="8" t="s">
        <v>230</v>
      </c>
      <c r="AG209"/>
      <c r="AH209"/>
      <c r="AI209"/>
      <c r="AJ209" t="s">
        <v>221</v>
      </c>
      <c r="AK209">
        <v>0.1</v>
      </c>
      <c r="AL209">
        <v>0.375</v>
      </c>
      <c r="AM209" t="s">
        <v>414</v>
      </c>
      <c r="AN209" t="s">
        <v>236</v>
      </c>
      <c r="AO209" t="s">
        <v>221</v>
      </c>
      <c r="AP209" t="s">
        <v>223</v>
      </c>
      <c r="AQ209" t="s">
        <v>414</v>
      </c>
      <c r="AR209" t="s">
        <v>236</v>
      </c>
      <c r="AS209" t="s">
        <v>221</v>
      </c>
      <c r="AT209" t="s">
        <v>225</v>
      </c>
      <c r="AU209" t="s">
        <v>220</v>
      </c>
      <c r="AV209"/>
      <c r="AW209" s="313" t="s">
        <v>220</v>
      </c>
      <c r="AX209" t="s">
        <v>226</v>
      </c>
      <c r="AY209" s="313" t="s">
        <v>220</v>
      </c>
      <c r="AZ209" s="313">
        <v>0.10100000000000001</v>
      </c>
      <c r="BB209" s="313" t="s">
        <v>220</v>
      </c>
      <c r="BC209">
        <v>3.7900000000000003E-2</v>
      </c>
      <c r="BD209" t="s">
        <v>220</v>
      </c>
      <c r="BE209">
        <v>0.129</v>
      </c>
      <c r="BF209" s="2" t="s">
        <v>220</v>
      </c>
      <c r="BG209" s="2" t="s">
        <v>653</v>
      </c>
      <c r="BH209" s="2" t="s">
        <v>274</v>
      </c>
      <c r="BI209" s="2" t="s">
        <v>275</v>
      </c>
      <c r="BM209"/>
      <c r="BP209" s="8"/>
      <c r="BQ209" t="s">
        <v>230</v>
      </c>
      <c r="BR209" t="s">
        <v>230</v>
      </c>
      <c r="BU209" t="s">
        <v>317</v>
      </c>
      <c r="BV209" t="s">
        <v>223</v>
      </c>
      <c r="BW209" t="s">
        <v>232</v>
      </c>
      <c r="BX209" t="s">
        <v>474</v>
      </c>
      <c r="BY209" t="s">
        <v>220</v>
      </c>
      <c r="BZ209">
        <v>0.41699999999999998</v>
      </c>
      <c r="CA209" t="s">
        <v>372</v>
      </c>
      <c r="CF209" t="s">
        <v>220</v>
      </c>
      <c r="CG209">
        <v>0.22900000000000001</v>
      </c>
      <c r="CH209" t="s">
        <v>220</v>
      </c>
      <c r="CI209">
        <v>0.29699999999999999</v>
      </c>
      <c r="CK209"/>
      <c r="CL209"/>
      <c r="CM209"/>
      <c r="CS209" s="8"/>
      <c r="CW209" t="s">
        <v>220</v>
      </c>
      <c r="CX209" t="s">
        <v>220</v>
      </c>
      <c r="CY209" t="s">
        <v>231</v>
      </c>
      <c r="CZ209" t="s">
        <v>220</v>
      </c>
      <c r="DA209" t="s">
        <v>220</v>
      </c>
      <c r="DB209" t="s">
        <v>227</v>
      </c>
      <c r="DC209"/>
      <c r="DD209"/>
      <c r="DE209"/>
      <c r="DF209"/>
      <c r="DG209"/>
      <c r="DH209" s="323"/>
      <c r="DI209" s="323"/>
      <c r="DJ209" s="323"/>
      <c r="DL209" t="s">
        <v>220</v>
      </c>
      <c r="DM209" t="s">
        <v>220</v>
      </c>
      <c r="DN209" t="s">
        <v>227</v>
      </c>
      <c r="DO209" t="s">
        <v>257</v>
      </c>
      <c r="DP209" t="s">
        <v>257</v>
      </c>
      <c r="DS209" s="309">
        <v>52.036000000000001</v>
      </c>
      <c r="DU209" s="338">
        <v>1009.912</v>
      </c>
      <c r="DV209" s="8" t="s">
        <v>394</v>
      </c>
      <c r="DW209">
        <v>2720</v>
      </c>
      <c r="DX209" t="s">
        <v>238</v>
      </c>
      <c r="DY209">
        <v>2670</v>
      </c>
      <c r="DZ209" t="s">
        <v>238</v>
      </c>
      <c r="EA209"/>
      <c r="EB209"/>
      <c r="ED209" s="410"/>
      <c r="EE209" s="1"/>
      <c r="EG209" s="410"/>
      <c r="EI209" s="410"/>
      <c r="EK209" s="1"/>
      <c r="EM209"/>
      <c r="EQ209" s="344"/>
      <c r="EU209" s="344"/>
      <c r="EW209" s="409"/>
      <c r="EY209" s="1"/>
      <c r="FA209">
        <v>18.68</v>
      </c>
      <c r="FB209" t="s">
        <v>225</v>
      </c>
      <c r="FC209" s="7">
        <v>150.76481530154777</v>
      </c>
      <c r="FD209" s="357" t="s">
        <v>236</v>
      </c>
      <c r="FE209" s="8">
        <v>133.16803762699817</v>
      </c>
      <c r="FF209" t="s">
        <v>337</v>
      </c>
      <c r="FH209" s="9">
        <v>17254.405488774766</v>
      </c>
      <c r="FI209" s="9" t="s">
        <v>236</v>
      </c>
      <c r="FJ209">
        <v>2810</v>
      </c>
      <c r="FK209" t="s">
        <v>238</v>
      </c>
      <c r="FL209">
        <v>507</v>
      </c>
      <c r="FM209">
        <v>239.99378768098811</v>
      </c>
      <c r="FN209" s="5" t="s">
        <v>337</v>
      </c>
      <c r="FP209" s="6">
        <v>9.34</v>
      </c>
      <c r="FQ209" t="s">
        <v>275</v>
      </c>
      <c r="FS209" t="s">
        <v>240</v>
      </c>
      <c r="FU209" s="8">
        <v>2</v>
      </c>
      <c r="FV209" s="8">
        <v>10</v>
      </c>
      <c r="FW209" s="8">
        <v>10</v>
      </c>
      <c r="FX209" s="8">
        <v>1</v>
      </c>
      <c r="FY209" s="8">
        <v>3</v>
      </c>
      <c r="FZ209">
        <f t="shared" si="3"/>
        <v>600</v>
      </c>
      <c r="GA209" s="7" t="s">
        <v>326</v>
      </c>
      <c r="GB209" s="7" t="s">
        <v>326</v>
      </c>
      <c r="GC209" s="6">
        <v>1.5</v>
      </c>
      <c r="GD209" s="348" t="s">
        <v>242</v>
      </c>
      <c r="GF209" s="6">
        <v>3.1133333333333332E-2</v>
      </c>
      <c r="GH209" s="7"/>
      <c r="GI209" s="441">
        <v>0.20799999999999999</v>
      </c>
      <c r="GJ209" s="441">
        <v>0.38900000000000001</v>
      </c>
      <c r="GK209" s="441">
        <v>0.623</v>
      </c>
      <c r="GL209" s="441">
        <v>1.5569999999999999</v>
      </c>
      <c r="GM209" s="461" t="s">
        <v>790</v>
      </c>
      <c r="GN209" s="6">
        <v>0.01</v>
      </c>
      <c r="GO209" s="6">
        <v>1.8749999999999999E-2</v>
      </c>
      <c r="GP209" s="6">
        <v>0.03</v>
      </c>
      <c r="GQ209" s="6">
        <v>7.4999999999999997E-2</v>
      </c>
      <c r="GR209" s="461" t="s">
        <v>790</v>
      </c>
      <c r="GU209" t="s">
        <v>243</v>
      </c>
      <c r="GV209" t="s">
        <v>236</v>
      </c>
      <c r="GW209" t="s">
        <v>244</v>
      </c>
      <c r="GX209" t="s">
        <v>236</v>
      </c>
      <c r="GY209" t="s">
        <v>245</v>
      </c>
      <c r="HE209" t="s">
        <v>247</v>
      </c>
      <c r="HF209" t="s">
        <v>225</v>
      </c>
      <c r="HG209" t="s">
        <v>231</v>
      </c>
      <c r="HH209" t="s">
        <v>223</v>
      </c>
      <c r="HI209" t="s">
        <v>247</v>
      </c>
      <c r="HJ209" t="s">
        <v>225</v>
      </c>
      <c r="HK209" t="s">
        <v>568</v>
      </c>
      <c r="HO209" t="s">
        <v>231</v>
      </c>
      <c r="HP209" t="s">
        <v>223</v>
      </c>
      <c r="HQ209" t="s">
        <v>231</v>
      </c>
      <c r="HR209" t="s">
        <v>223</v>
      </c>
      <c r="HU209" t="s">
        <v>231</v>
      </c>
      <c r="HV209" t="s">
        <v>223</v>
      </c>
      <c r="HW209" t="s">
        <v>246</v>
      </c>
      <c r="HX209" t="s">
        <v>236</v>
      </c>
      <c r="IA209" t="s">
        <v>231</v>
      </c>
      <c r="IB209" t="s">
        <v>250</v>
      </c>
      <c r="IC209">
        <v>0.20799999999999999</v>
      </c>
      <c r="ID209">
        <v>0.38900000000000001</v>
      </c>
      <c r="IE209">
        <v>0.623</v>
      </c>
      <c r="IF209">
        <v>1.5569999999999999</v>
      </c>
      <c r="IG209" s="459" t="s">
        <v>451</v>
      </c>
      <c r="IH209" t="s">
        <v>267</v>
      </c>
    </row>
    <row r="210" spans="1:242" x14ac:dyDescent="0.35">
      <c r="A210" s="310" t="s">
        <v>1344</v>
      </c>
      <c r="B210" s="313" t="s">
        <v>1345</v>
      </c>
      <c r="C210" s="310" t="s">
        <v>1346</v>
      </c>
      <c r="D210" s="316"/>
      <c r="F210" t="s">
        <v>1347</v>
      </c>
      <c r="I210" s="310" t="s">
        <v>1348</v>
      </c>
      <c r="M210" s="313"/>
      <c r="O210"/>
      <c r="P210" s="381"/>
      <c r="Q210"/>
      <c r="T210" s="8"/>
      <c r="U210"/>
      <c r="V210" s="313"/>
      <c r="W210" t="s">
        <v>301</v>
      </c>
      <c r="X210"/>
      <c r="Z210"/>
      <c r="AB210"/>
      <c r="AD210" s="8" t="s">
        <v>230</v>
      </c>
      <c r="AF210" s="8" t="s">
        <v>230</v>
      </c>
      <c r="AG210"/>
      <c r="AH210"/>
      <c r="AI210"/>
      <c r="AJ210" t="s">
        <v>221</v>
      </c>
      <c r="AK210">
        <v>0</v>
      </c>
      <c r="AL210">
        <v>0.9</v>
      </c>
      <c r="AM210" t="s">
        <v>221</v>
      </c>
      <c r="AN210" t="s">
        <v>223</v>
      </c>
      <c r="AO210" t="s">
        <v>224</v>
      </c>
      <c r="AP210" t="s">
        <v>223</v>
      </c>
      <c r="AQ210" t="s">
        <v>221</v>
      </c>
      <c r="AR210" t="s">
        <v>223</v>
      </c>
      <c r="AS210" t="s">
        <v>221</v>
      </c>
      <c r="AT210" t="s">
        <v>223</v>
      </c>
      <c r="AU210" t="s">
        <v>220</v>
      </c>
      <c r="AV210"/>
      <c r="AW210" s="313" t="s">
        <v>220</v>
      </c>
      <c r="AX210" t="s">
        <v>226</v>
      </c>
      <c r="AY210" s="313" t="s">
        <v>220</v>
      </c>
      <c r="AZ210" s="313">
        <v>0.155</v>
      </c>
      <c r="BB210" s="313" t="s">
        <v>220</v>
      </c>
      <c r="BC210">
        <v>9.3299999999999994E-2</v>
      </c>
      <c r="BD210" t="s">
        <v>220</v>
      </c>
      <c r="BE210">
        <v>0.123</v>
      </c>
      <c r="BF210" s="2" t="s">
        <v>220</v>
      </c>
      <c r="BG210" s="2" t="s">
        <v>273</v>
      </c>
      <c r="BH210" s="2" t="s">
        <v>274</v>
      </c>
      <c r="BI210" s="2" t="s">
        <v>275</v>
      </c>
      <c r="BM210"/>
      <c r="BP210" s="8"/>
      <c r="BQ210" t="s">
        <v>230</v>
      </c>
      <c r="BR210" t="s">
        <v>230</v>
      </c>
      <c r="BU210" t="s">
        <v>231</v>
      </c>
      <c r="BV210" t="s">
        <v>223</v>
      </c>
      <c r="BW210" t="s">
        <v>232</v>
      </c>
      <c r="BX210" t="s">
        <v>284</v>
      </c>
      <c r="BY210" t="s">
        <v>220</v>
      </c>
      <c r="BZ210">
        <v>0.36199999999999999</v>
      </c>
      <c r="CA210" t="s">
        <v>234</v>
      </c>
      <c r="CF210" t="s">
        <v>220</v>
      </c>
      <c r="CG210">
        <v>0.253</v>
      </c>
      <c r="CH210" t="s">
        <v>220</v>
      </c>
      <c r="CI210">
        <v>0.23</v>
      </c>
      <c r="CK210"/>
      <c r="CL210"/>
      <c r="CM210"/>
      <c r="CS210" s="8"/>
      <c r="CW210" t="s">
        <v>220</v>
      </c>
      <c r="CX210" t="s">
        <v>220</v>
      </c>
      <c r="CY210" t="s">
        <v>231</v>
      </c>
      <c r="CZ210" t="s">
        <v>220</v>
      </c>
      <c r="DA210" t="s">
        <v>220</v>
      </c>
      <c r="DB210" t="s">
        <v>227</v>
      </c>
      <c r="DC210"/>
      <c r="DD210"/>
      <c r="DE210"/>
      <c r="DF210"/>
      <c r="DG210"/>
      <c r="DH210" s="323"/>
      <c r="DI210" s="323"/>
      <c r="DJ210" s="323"/>
      <c r="DL210" t="s">
        <v>257</v>
      </c>
      <c r="DM210" t="s">
        <v>220</v>
      </c>
      <c r="DN210" t="s">
        <v>257</v>
      </c>
      <c r="DO210" t="s">
        <v>227</v>
      </c>
      <c r="DP210" t="s">
        <v>227</v>
      </c>
      <c r="DS210" s="309">
        <v>119.364</v>
      </c>
      <c r="DU210" s="309">
        <v>184.66</v>
      </c>
      <c r="DW210">
        <v>10.9</v>
      </c>
      <c r="DX210" t="s">
        <v>238</v>
      </c>
      <c r="DY210">
        <v>412</v>
      </c>
      <c r="DZ210" t="s">
        <v>238</v>
      </c>
      <c r="EA210"/>
      <c r="EB210"/>
      <c r="ED210" s="410"/>
      <c r="EE210" s="1"/>
      <c r="EG210" s="410"/>
      <c r="EI210" s="410"/>
      <c r="EK210" s="1"/>
      <c r="EM210"/>
      <c r="EQ210" s="344"/>
      <c r="EU210" s="344"/>
      <c r="EW210" s="409"/>
      <c r="EY210" s="1"/>
      <c r="FA210">
        <v>26.74</v>
      </c>
      <c r="FB210" t="s">
        <v>225</v>
      </c>
      <c r="FC210" s="7">
        <v>118.9597382701993</v>
      </c>
      <c r="FD210" s="357" t="s">
        <v>236</v>
      </c>
      <c r="FE210" s="8">
        <v>52.40829125640294</v>
      </c>
      <c r="FF210" t="s">
        <v>237</v>
      </c>
      <c r="FH210" s="9">
        <v>54.212570508795707</v>
      </c>
      <c r="FI210" s="9" t="s">
        <v>236</v>
      </c>
      <c r="FJ210">
        <v>294</v>
      </c>
      <c r="FK210" t="s">
        <v>238</v>
      </c>
      <c r="FL210">
        <v>81.400000000000006</v>
      </c>
      <c r="FM210">
        <v>182.97847342954151</v>
      </c>
      <c r="FN210" s="5" t="s">
        <v>237</v>
      </c>
      <c r="FP210" s="6">
        <v>8.14</v>
      </c>
      <c r="FQ210" t="s">
        <v>239</v>
      </c>
      <c r="FS210" t="s">
        <v>240</v>
      </c>
      <c r="FU210" s="8">
        <v>1</v>
      </c>
      <c r="FV210" s="8">
        <v>10</v>
      </c>
      <c r="FW210" s="8">
        <v>10</v>
      </c>
      <c r="FX210" s="8">
        <v>10</v>
      </c>
      <c r="FY210" s="8">
        <v>3</v>
      </c>
      <c r="FZ210">
        <f t="shared" si="3"/>
        <v>3000</v>
      </c>
      <c r="GA210" s="7" t="s">
        <v>241</v>
      </c>
      <c r="GB210" s="7" t="s">
        <v>241</v>
      </c>
      <c r="GC210" s="6">
        <v>30</v>
      </c>
      <c r="GD210" s="348" t="s">
        <v>242</v>
      </c>
      <c r="GF210" s="6">
        <v>2.7133333333333332E-2</v>
      </c>
      <c r="GH210" s="7"/>
      <c r="GI210" s="441">
        <v>0.18099999999999999</v>
      </c>
      <c r="GJ210" s="441">
        <v>0.33900000000000002</v>
      </c>
      <c r="GK210" s="441">
        <v>0.54300000000000004</v>
      </c>
      <c r="GL210" s="441">
        <v>1.357</v>
      </c>
      <c r="GM210" s="452" t="s">
        <v>262</v>
      </c>
      <c r="GN210" s="6">
        <v>0.2</v>
      </c>
      <c r="GO210" s="6">
        <v>0.375</v>
      </c>
      <c r="GP210" s="6">
        <v>0.6</v>
      </c>
      <c r="GQ210" s="6">
        <v>1.5</v>
      </c>
      <c r="GR210" s="6" t="s">
        <v>230</v>
      </c>
      <c r="GU210" t="s">
        <v>243</v>
      </c>
      <c r="GV210" t="s">
        <v>236</v>
      </c>
      <c r="GW210" t="s">
        <v>244</v>
      </c>
      <c r="GX210" t="s">
        <v>236</v>
      </c>
      <c r="GY210" t="s">
        <v>245</v>
      </c>
      <c r="HE210" t="s">
        <v>246</v>
      </c>
      <c r="HF210" t="s">
        <v>236</v>
      </c>
      <c r="HG210" t="s">
        <v>231</v>
      </c>
      <c r="HH210" t="s">
        <v>223</v>
      </c>
      <c r="HI210" t="s">
        <v>247</v>
      </c>
      <c r="HJ210" t="s">
        <v>223</v>
      </c>
      <c r="HK210" t="s">
        <v>266</v>
      </c>
      <c r="HO210" t="s">
        <v>231</v>
      </c>
      <c r="HP210" t="s">
        <v>223</v>
      </c>
      <c r="HQ210" t="s">
        <v>231</v>
      </c>
      <c r="HR210" t="s">
        <v>223</v>
      </c>
      <c r="HU210" t="s">
        <v>231</v>
      </c>
      <c r="HV210" t="s">
        <v>223</v>
      </c>
      <c r="HW210" t="s">
        <v>246</v>
      </c>
      <c r="HX210" t="s">
        <v>236</v>
      </c>
      <c r="IA210" t="s">
        <v>231</v>
      </c>
      <c r="IB210" t="s">
        <v>250</v>
      </c>
      <c r="IC210">
        <v>0.18099999999999999</v>
      </c>
      <c r="ID210">
        <v>0.33900000000000002</v>
      </c>
      <c r="IE210">
        <v>0.54300000000000004</v>
      </c>
      <c r="IF210">
        <v>1.357</v>
      </c>
      <c r="IH210" t="s">
        <v>267</v>
      </c>
    </row>
    <row r="211" spans="1:242" ht="18" hidden="1" x14ac:dyDescent="0.35">
      <c r="A211" s="310" t="s">
        <v>1349</v>
      </c>
      <c r="B211" s="313" t="s">
        <v>1350</v>
      </c>
      <c r="C211" s="310" t="s">
        <v>1351</v>
      </c>
      <c r="D211" s="316"/>
      <c r="F211" t="s">
        <v>1352</v>
      </c>
      <c r="I211" s="310" t="s">
        <v>1353</v>
      </c>
      <c r="M211" s="313"/>
      <c r="O211"/>
      <c r="P211" s="381"/>
      <c r="Q211"/>
      <c r="S211" t="s">
        <v>221</v>
      </c>
      <c r="T211" s="8"/>
      <c r="U211"/>
      <c r="V211" s="313"/>
      <c r="W211" t="s">
        <v>257</v>
      </c>
      <c r="X211" t="s">
        <v>257</v>
      </c>
      <c r="Z211" t="s">
        <v>257</v>
      </c>
      <c r="AB211"/>
      <c r="AD211" s="8" t="s">
        <v>699</v>
      </c>
      <c r="AF211" s="8" t="s">
        <v>222</v>
      </c>
      <c r="AG211"/>
      <c r="AH211"/>
      <c r="AI211"/>
      <c r="AJ211" t="s">
        <v>221</v>
      </c>
      <c r="AK211">
        <v>0</v>
      </c>
      <c r="AL211">
        <v>1</v>
      </c>
      <c r="AM211" t="s">
        <v>221</v>
      </c>
      <c r="AN211" t="s">
        <v>223</v>
      </c>
      <c r="AO211" t="s">
        <v>224</v>
      </c>
      <c r="AP211" t="s">
        <v>223</v>
      </c>
      <c r="AQ211" t="s">
        <v>221</v>
      </c>
      <c r="AR211"/>
      <c r="AS211" t="s">
        <v>221</v>
      </c>
      <c r="AT211" t="s">
        <v>223</v>
      </c>
      <c r="AU211" t="s">
        <v>257</v>
      </c>
      <c r="AV211"/>
      <c r="AW211" s="313" t="s">
        <v>257</v>
      </c>
      <c r="AX211" t="s">
        <v>226</v>
      </c>
      <c r="AY211" s="313" t="s">
        <v>257</v>
      </c>
      <c r="AZ211" s="313">
        <v>0.27</v>
      </c>
      <c r="BB211" s="313" t="s">
        <v>257</v>
      </c>
      <c r="BC211">
        <v>0.21199999999999999</v>
      </c>
      <c r="BD211" t="s">
        <v>220</v>
      </c>
      <c r="BE211">
        <v>0.20200000000000001</v>
      </c>
      <c r="BF211" s="2" t="s">
        <v>257</v>
      </c>
      <c r="BH211" s="2" t="s">
        <v>228</v>
      </c>
      <c r="BI211" s="2" t="s">
        <v>1026</v>
      </c>
      <c r="BM211"/>
      <c r="BO211" t="s">
        <v>257</v>
      </c>
      <c r="BP211" s="8"/>
      <c r="BQ211" t="s">
        <v>230</v>
      </c>
      <c r="BR211" t="s">
        <v>291</v>
      </c>
      <c r="BS211" t="s">
        <v>320</v>
      </c>
      <c r="BU211" t="s">
        <v>293</v>
      </c>
      <c r="BV211" t="s">
        <v>236</v>
      </c>
      <c r="BW211" t="s">
        <v>321</v>
      </c>
      <c r="BX211" t="s">
        <v>256</v>
      </c>
      <c r="BY211" t="s">
        <v>257</v>
      </c>
      <c r="BZ211">
        <v>0.68799999999999994</v>
      </c>
      <c r="CA211" t="s">
        <v>234</v>
      </c>
      <c r="CF211" t="s">
        <v>227</v>
      </c>
      <c r="CG211">
        <v>0.54</v>
      </c>
      <c r="CH211" t="s">
        <v>257</v>
      </c>
      <c r="CI211">
        <v>0.55000000000000004</v>
      </c>
      <c r="CK211" t="s">
        <v>220</v>
      </c>
      <c r="CL211" t="s">
        <v>257</v>
      </c>
      <c r="CM211"/>
      <c r="CP211" t="s">
        <v>220</v>
      </c>
      <c r="CS211" s="8"/>
      <c r="CW211" t="s">
        <v>220</v>
      </c>
      <c r="CX211" t="s">
        <v>257</v>
      </c>
      <c r="CY211" t="s">
        <v>231</v>
      </c>
      <c r="CZ211" t="s">
        <v>220</v>
      </c>
      <c r="DA211" t="s">
        <v>227</v>
      </c>
      <c r="DB211" t="s">
        <v>227</v>
      </c>
      <c r="DC211" t="s">
        <v>220</v>
      </c>
      <c r="DD211" t="s">
        <v>257</v>
      </c>
      <c r="DE211" t="s">
        <v>257</v>
      </c>
      <c r="DF211"/>
      <c r="DG211"/>
      <c r="DH211" s="323"/>
      <c r="DI211" s="323"/>
      <c r="DJ211" s="323"/>
      <c r="DL211" t="s">
        <v>220</v>
      </c>
      <c r="DM211" t="s">
        <v>257</v>
      </c>
      <c r="DN211" t="s">
        <v>257</v>
      </c>
      <c r="DO211" t="s">
        <v>227</v>
      </c>
      <c r="DP211" t="s">
        <v>227</v>
      </c>
      <c r="DQ211" s="330">
        <v>23.3</v>
      </c>
      <c r="DR211" s="330" t="s">
        <v>1354</v>
      </c>
      <c r="DS211" s="309">
        <v>102.166</v>
      </c>
      <c r="DU211" s="309">
        <v>130.71700000000001</v>
      </c>
      <c r="DW211">
        <v>1060</v>
      </c>
      <c r="DX211" t="s">
        <v>238</v>
      </c>
      <c r="DY211">
        <v>229</v>
      </c>
      <c r="DZ211" t="s">
        <v>238</v>
      </c>
      <c r="EA211"/>
      <c r="EB211"/>
      <c r="ED211" s="410"/>
      <c r="EE211" s="1"/>
      <c r="EG211" s="410"/>
      <c r="EI211" s="410"/>
      <c r="EK211" s="1">
        <v>150</v>
      </c>
      <c r="EL211" s="8" t="s">
        <v>324</v>
      </c>
      <c r="EM211"/>
      <c r="EN211" s="9">
        <v>399.600385152</v>
      </c>
      <c r="EQ211" s="344"/>
      <c r="EU211" s="344"/>
      <c r="EW211" s="381">
        <v>21</v>
      </c>
      <c r="EX211" s="8" t="s">
        <v>324</v>
      </c>
      <c r="EY211" s="1"/>
      <c r="FA211">
        <v>5.56</v>
      </c>
      <c r="FB211" t="s">
        <v>236</v>
      </c>
      <c r="FC211" s="7">
        <v>85.467303076697817</v>
      </c>
      <c r="FD211" s="357" t="s">
        <v>225</v>
      </c>
      <c r="FE211" s="8">
        <v>109.59733655238071</v>
      </c>
      <c r="FF211" t="s">
        <v>237</v>
      </c>
      <c r="FH211" s="9">
        <v>139.47616576399943</v>
      </c>
      <c r="FI211" s="9" t="s">
        <v>225</v>
      </c>
      <c r="FL211">
        <v>59.2</v>
      </c>
      <c r="FM211">
        <v>269.58765435574458</v>
      </c>
      <c r="FN211" s="419" t="s">
        <v>237</v>
      </c>
      <c r="FV211" s="8"/>
      <c r="FW211" s="8"/>
      <c r="FX211" s="8"/>
      <c r="GC211" s="7">
        <v>2.5000000000000001E-3</v>
      </c>
      <c r="GH211" s="7"/>
      <c r="GI211" s="441" t="s">
        <v>395</v>
      </c>
      <c r="GJ211" s="441" t="s">
        <v>395</v>
      </c>
      <c r="GK211" s="441" t="s">
        <v>395</v>
      </c>
      <c r="GL211" s="441" t="s">
        <v>395</v>
      </c>
      <c r="GM211" s="452" t="s">
        <v>230</v>
      </c>
      <c r="GN211" s="6" t="s">
        <v>395</v>
      </c>
      <c r="GO211" s="6" t="s">
        <v>395</v>
      </c>
      <c r="GP211" s="6" t="s">
        <v>395</v>
      </c>
      <c r="GQ211" s="6" t="s">
        <v>395</v>
      </c>
      <c r="GR211" s="6" t="s">
        <v>230</v>
      </c>
      <c r="GU211" t="s">
        <v>243</v>
      </c>
      <c r="GV211" t="s">
        <v>225</v>
      </c>
      <c r="GW211" t="s">
        <v>244</v>
      </c>
      <c r="GX211" t="s">
        <v>236</v>
      </c>
      <c r="GY211" t="s">
        <v>245</v>
      </c>
      <c r="HE211" t="s">
        <v>246</v>
      </c>
      <c r="HF211" t="s">
        <v>236</v>
      </c>
      <c r="HG211" t="s">
        <v>231</v>
      </c>
      <c r="HH211" t="s">
        <v>223</v>
      </c>
      <c r="HI211" t="s">
        <v>247</v>
      </c>
      <c r="HJ211" t="s">
        <v>223</v>
      </c>
      <c r="HK211" t="s">
        <v>248</v>
      </c>
      <c r="HL211" t="s">
        <v>231</v>
      </c>
      <c r="HM211" t="s">
        <v>231</v>
      </c>
      <c r="HO211" t="s">
        <v>231</v>
      </c>
      <c r="HP211" t="s">
        <v>249</v>
      </c>
      <c r="HQ211" t="s">
        <v>231</v>
      </c>
      <c r="HR211" t="s">
        <v>249</v>
      </c>
      <c r="HS211" t="s">
        <v>231</v>
      </c>
      <c r="HU211" t="s">
        <v>231</v>
      </c>
      <c r="HV211" t="s">
        <v>249</v>
      </c>
      <c r="HW211" t="s">
        <v>246</v>
      </c>
      <c r="HX211" t="s">
        <v>236</v>
      </c>
      <c r="IA211" t="s">
        <v>317</v>
      </c>
      <c r="IB211" t="s">
        <v>250</v>
      </c>
      <c r="IC211" t="s">
        <v>395</v>
      </c>
      <c r="ID211" t="s">
        <v>395</v>
      </c>
      <c r="IE211" t="s">
        <v>395</v>
      </c>
      <c r="IF211" t="s">
        <v>395</v>
      </c>
      <c r="IH211" t="s">
        <v>235</v>
      </c>
    </row>
    <row r="212" spans="1:242" x14ac:dyDescent="0.35">
      <c r="A212" s="310" t="s">
        <v>1355</v>
      </c>
      <c r="B212" s="313" t="s">
        <v>1356</v>
      </c>
      <c r="C212" s="310" t="s">
        <v>1357</v>
      </c>
      <c r="D212" s="316"/>
      <c r="F212" t="s">
        <v>1358</v>
      </c>
      <c r="I212" s="310" t="s">
        <v>1359</v>
      </c>
      <c r="M212" s="313"/>
      <c r="O212" t="s">
        <v>221</v>
      </c>
      <c r="P212" s="381"/>
      <c r="Q212" t="s">
        <v>221</v>
      </c>
      <c r="T212" s="8"/>
      <c r="U212" t="s">
        <v>221</v>
      </c>
      <c r="V212" s="313"/>
      <c r="W212" t="s">
        <v>220</v>
      </c>
      <c r="X212" t="s">
        <v>220</v>
      </c>
      <c r="Z212" t="s">
        <v>220</v>
      </c>
      <c r="AB212"/>
      <c r="AD212" s="8" t="s">
        <v>222</v>
      </c>
      <c r="AF212" s="8" t="s">
        <v>222</v>
      </c>
      <c r="AG212"/>
      <c r="AH212"/>
      <c r="AI212"/>
      <c r="AJ212" t="s">
        <v>221</v>
      </c>
      <c r="AK212">
        <v>0</v>
      </c>
      <c r="AL212">
        <v>1</v>
      </c>
      <c r="AM212" t="s">
        <v>221</v>
      </c>
      <c r="AN212" t="s">
        <v>249</v>
      </c>
      <c r="AO212" t="s">
        <v>224</v>
      </c>
      <c r="AP212"/>
      <c r="AQ212" t="s">
        <v>414</v>
      </c>
      <c r="AR212" t="s">
        <v>236</v>
      </c>
      <c r="AS212" t="s">
        <v>221</v>
      </c>
      <c r="AT212"/>
      <c r="AU212" t="s">
        <v>220</v>
      </c>
      <c r="AV212"/>
      <c r="AW212" s="313" t="s">
        <v>220</v>
      </c>
      <c r="AX212" t="s">
        <v>226</v>
      </c>
      <c r="AY212" s="313" t="s">
        <v>220</v>
      </c>
      <c r="AZ212" s="313">
        <v>0.23200000000000001</v>
      </c>
      <c r="BB212" s="313" t="s">
        <v>220</v>
      </c>
      <c r="BC212">
        <v>0.153</v>
      </c>
      <c r="BD212" t="s">
        <v>431</v>
      </c>
      <c r="BE212">
        <v>0.503</v>
      </c>
      <c r="BF212" s="2" t="s">
        <v>220</v>
      </c>
      <c r="BH212" s="2" t="s">
        <v>228</v>
      </c>
      <c r="BI212" s="2" t="s">
        <v>229</v>
      </c>
      <c r="BM212"/>
      <c r="BO212" t="s">
        <v>220</v>
      </c>
      <c r="BP212" s="8"/>
      <c r="BQ212" t="s">
        <v>230</v>
      </c>
      <c r="BR212" t="s">
        <v>222</v>
      </c>
      <c r="BU212" t="s">
        <v>293</v>
      </c>
      <c r="BV212" t="s">
        <v>236</v>
      </c>
      <c r="BW212" t="s">
        <v>232</v>
      </c>
      <c r="BX212" t="s">
        <v>276</v>
      </c>
      <c r="BY212" t="s">
        <v>220</v>
      </c>
      <c r="BZ212">
        <v>0.47099999999999997</v>
      </c>
      <c r="CA212" t="s">
        <v>372</v>
      </c>
      <c r="CF212" t="s">
        <v>227</v>
      </c>
      <c r="CG212">
        <v>0.59</v>
      </c>
      <c r="CH212" t="s">
        <v>257</v>
      </c>
      <c r="CI212">
        <v>0.93400000000000005</v>
      </c>
      <c r="CK212" t="s">
        <v>257</v>
      </c>
      <c r="CL212"/>
      <c r="CM212"/>
      <c r="CS212" s="8"/>
      <c r="CW212" t="s">
        <v>257</v>
      </c>
      <c r="CX212" t="s">
        <v>257</v>
      </c>
      <c r="CY212" t="s">
        <v>231</v>
      </c>
      <c r="CZ212" t="s">
        <v>220</v>
      </c>
      <c r="DA212" t="s">
        <v>227</v>
      </c>
      <c r="DB212" t="s">
        <v>220</v>
      </c>
      <c r="DC212" t="s">
        <v>257</v>
      </c>
      <c r="DD212" t="s">
        <v>257</v>
      </c>
      <c r="DE212" t="s">
        <v>257</v>
      </c>
      <c r="DF212"/>
      <c r="DG212"/>
      <c r="DH212" s="323"/>
      <c r="DI212" s="323"/>
      <c r="DJ212" s="323"/>
      <c r="DL212" t="s">
        <v>257</v>
      </c>
      <c r="DM212" t="s">
        <v>257</v>
      </c>
      <c r="DN212" t="s">
        <v>257</v>
      </c>
      <c r="DO212" t="s">
        <v>220</v>
      </c>
      <c r="DP212" t="s">
        <v>220</v>
      </c>
      <c r="DS212" s="309">
        <v>30.254000000000001</v>
      </c>
      <c r="DU212" s="309">
        <v>286.20499999999998</v>
      </c>
      <c r="DW212"/>
      <c r="DX212" t="s">
        <v>235</v>
      </c>
      <c r="DY212"/>
      <c r="DZ212" t="s">
        <v>235</v>
      </c>
      <c r="EA212"/>
      <c r="EB212"/>
      <c r="ED212" s="410"/>
      <c r="EE212" s="1"/>
      <c r="EG212" s="410">
        <v>120</v>
      </c>
      <c r="EH212" s="8" t="s">
        <v>259</v>
      </c>
      <c r="EI212" s="410"/>
      <c r="EK212" s="1"/>
      <c r="EM212"/>
      <c r="EQ212" s="344"/>
      <c r="EU212" s="344"/>
      <c r="EW212" s="409"/>
      <c r="EY212" s="1"/>
      <c r="FA212">
        <v>65.510000000000005</v>
      </c>
      <c r="FB212" t="s">
        <v>236</v>
      </c>
      <c r="FC212" s="7">
        <v>68.896950548113722</v>
      </c>
      <c r="FD212" s="357" t="s">
        <v>236</v>
      </c>
      <c r="FE212" s="8">
        <v>75.787922091604955</v>
      </c>
      <c r="FF212" t="s">
        <v>237</v>
      </c>
      <c r="FH212" s="9">
        <v>170.84410578644932</v>
      </c>
      <c r="FI212" s="9" t="s">
        <v>236</v>
      </c>
      <c r="FK212" t="s">
        <v>235</v>
      </c>
      <c r="FL212">
        <v>91.8</v>
      </c>
      <c r="FM212">
        <v>169.31677975100092</v>
      </c>
      <c r="FN212" s="5" t="s">
        <v>237</v>
      </c>
      <c r="FP212" s="6">
        <v>60</v>
      </c>
      <c r="FQ212" t="s">
        <v>615</v>
      </c>
      <c r="FS212" t="s">
        <v>261</v>
      </c>
      <c r="FU212" s="8">
        <v>2</v>
      </c>
      <c r="FV212" s="8">
        <v>10</v>
      </c>
      <c r="FW212" s="8">
        <v>10</v>
      </c>
      <c r="FX212" s="8">
        <v>1</v>
      </c>
      <c r="FY212" s="8">
        <v>3</v>
      </c>
      <c r="FZ212">
        <f t="shared" si="3"/>
        <v>600</v>
      </c>
      <c r="GA212" s="7" t="s">
        <v>241</v>
      </c>
      <c r="GB212" s="7" t="s">
        <v>241</v>
      </c>
      <c r="GC212" s="6">
        <v>30</v>
      </c>
      <c r="GD212" s="348" t="s">
        <v>242</v>
      </c>
      <c r="GF212" s="6">
        <v>3.0600000000000002E-2</v>
      </c>
      <c r="GH212" s="7"/>
      <c r="GI212" s="441">
        <v>1.333</v>
      </c>
      <c r="GJ212" s="441">
        <v>2.5</v>
      </c>
      <c r="GK212" s="441">
        <v>4</v>
      </c>
      <c r="GL212" s="441">
        <v>10</v>
      </c>
      <c r="GM212" s="452" t="s">
        <v>262</v>
      </c>
      <c r="GN212" s="6">
        <v>0.2</v>
      </c>
      <c r="GO212" s="6">
        <v>0.375</v>
      </c>
      <c r="GP212" s="6">
        <v>0.6</v>
      </c>
      <c r="GQ212" s="6">
        <v>1.5</v>
      </c>
      <c r="GR212" s="6" t="s">
        <v>230</v>
      </c>
      <c r="GU212" t="s">
        <v>365</v>
      </c>
      <c r="GV212" t="s">
        <v>236</v>
      </c>
      <c r="GW212" t="s">
        <v>244</v>
      </c>
      <c r="GX212" t="s">
        <v>236</v>
      </c>
      <c r="GY212" t="s">
        <v>245</v>
      </c>
      <c r="HE212" t="s">
        <v>384</v>
      </c>
      <c r="HF212" t="s">
        <v>223</v>
      </c>
      <c r="HG212" t="s">
        <v>231</v>
      </c>
      <c r="HH212" t="s">
        <v>225</v>
      </c>
      <c r="HI212" t="s">
        <v>247</v>
      </c>
      <c r="HJ212" t="s">
        <v>223</v>
      </c>
      <c r="HK212" t="s">
        <v>266</v>
      </c>
      <c r="HL212" t="s">
        <v>231</v>
      </c>
      <c r="HM212" t="s">
        <v>231</v>
      </c>
      <c r="HO212" t="s">
        <v>231</v>
      </c>
      <c r="HP212" t="s">
        <v>249</v>
      </c>
      <c r="HQ212" t="s">
        <v>231</v>
      </c>
      <c r="HR212" t="s">
        <v>249</v>
      </c>
      <c r="HU212" t="s">
        <v>231</v>
      </c>
      <c r="HV212" t="s">
        <v>223</v>
      </c>
      <c r="HW212" t="s">
        <v>246</v>
      </c>
      <c r="HX212" t="s">
        <v>236</v>
      </c>
      <c r="IA212" t="s">
        <v>231</v>
      </c>
      <c r="IB212" t="s">
        <v>250</v>
      </c>
      <c r="IC212">
        <v>1.333</v>
      </c>
      <c r="ID212">
        <v>2.5</v>
      </c>
      <c r="IE212">
        <v>4</v>
      </c>
      <c r="IF212">
        <v>10</v>
      </c>
      <c r="IH212" t="s">
        <v>267</v>
      </c>
    </row>
    <row r="213" spans="1:242" x14ac:dyDescent="0.35">
      <c r="A213" s="310" t="s">
        <v>1360</v>
      </c>
      <c r="B213" s="313" t="s">
        <v>1361</v>
      </c>
      <c r="C213" s="310" t="s">
        <v>1362</v>
      </c>
      <c r="D213" s="316"/>
      <c r="F213" t="s">
        <v>1362</v>
      </c>
      <c r="I213" s="310" t="s">
        <v>1363</v>
      </c>
      <c r="M213" s="313" t="s">
        <v>220</v>
      </c>
      <c r="O213" t="s">
        <v>221</v>
      </c>
      <c r="P213" s="381"/>
      <c r="Q213" t="s">
        <v>221</v>
      </c>
      <c r="T213" s="8"/>
      <c r="U213" t="s">
        <v>221</v>
      </c>
      <c r="V213" s="313"/>
      <c r="W213" t="s">
        <v>220</v>
      </c>
      <c r="X213" t="s">
        <v>220</v>
      </c>
      <c r="Z213" t="s">
        <v>220</v>
      </c>
      <c r="AB213"/>
      <c r="AD213" s="8" t="s">
        <v>222</v>
      </c>
      <c r="AF213" s="8" t="s">
        <v>222</v>
      </c>
      <c r="AG213"/>
      <c r="AH213" t="s">
        <v>312</v>
      </c>
      <c r="AI213"/>
      <c r="AJ213" t="s">
        <v>221</v>
      </c>
      <c r="AK213">
        <v>0</v>
      </c>
      <c r="AL213">
        <v>1</v>
      </c>
      <c r="AM213" t="s">
        <v>221</v>
      </c>
      <c r="AN213" t="s">
        <v>249</v>
      </c>
      <c r="AO213" t="s">
        <v>221</v>
      </c>
      <c r="AP213"/>
      <c r="AQ213" t="s">
        <v>221</v>
      </c>
      <c r="AR213" t="s">
        <v>225</v>
      </c>
      <c r="AS213" t="s">
        <v>221</v>
      </c>
      <c r="AT213"/>
      <c r="AU213" t="s">
        <v>220</v>
      </c>
      <c r="AV213"/>
      <c r="AW213" s="313" t="s">
        <v>220</v>
      </c>
      <c r="AX213" t="s">
        <v>226</v>
      </c>
      <c r="AY213" s="313" t="s">
        <v>220</v>
      </c>
      <c r="AZ213" s="313">
        <v>0.33100000000000002</v>
      </c>
      <c r="BB213" s="313" t="s">
        <v>220</v>
      </c>
      <c r="BC213">
        <v>0.219</v>
      </c>
      <c r="BD213" t="s">
        <v>220</v>
      </c>
      <c r="BE213">
        <v>0.13500000000000001</v>
      </c>
      <c r="BF213" s="2" t="s">
        <v>220</v>
      </c>
      <c r="BH213" s="2" t="s">
        <v>228</v>
      </c>
      <c r="BI213" s="2" t="s">
        <v>229</v>
      </c>
      <c r="BL213" s="2" t="s">
        <v>1364</v>
      </c>
      <c r="BM213"/>
      <c r="BP213" s="8"/>
      <c r="BQ213" t="s">
        <v>230</v>
      </c>
      <c r="BR213" t="s">
        <v>230</v>
      </c>
      <c r="BU213" t="s">
        <v>231</v>
      </c>
      <c r="BV213" t="s">
        <v>223</v>
      </c>
      <c r="BW213" t="s">
        <v>232</v>
      </c>
      <c r="BX213" t="s">
        <v>284</v>
      </c>
      <c r="BY213" t="s">
        <v>257</v>
      </c>
      <c r="BZ213">
        <v>0.51700000000000002</v>
      </c>
      <c r="CA213" t="s">
        <v>234</v>
      </c>
      <c r="CF213" t="s">
        <v>220</v>
      </c>
      <c r="CG213">
        <v>0.42599999999999999</v>
      </c>
      <c r="CH213" t="s">
        <v>257</v>
      </c>
      <c r="CI213">
        <v>0.502</v>
      </c>
      <c r="CK213"/>
      <c r="CL213"/>
      <c r="CM213" t="s">
        <v>231</v>
      </c>
      <c r="CN213" s="2" t="s">
        <v>316</v>
      </c>
      <c r="CP213" t="s">
        <v>220</v>
      </c>
      <c r="CR213" t="s">
        <v>220</v>
      </c>
      <c r="CS213" s="8" t="s">
        <v>345</v>
      </c>
      <c r="CW213" t="s">
        <v>227</v>
      </c>
      <c r="CX213" t="s">
        <v>257</v>
      </c>
      <c r="CY213" t="s">
        <v>231</v>
      </c>
      <c r="CZ213" t="s">
        <v>220</v>
      </c>
      <c r="DA213" t="s">
        <v>220</v>
      </c>
      <c r="DB213" t="s">
        <v>220</v>
      </c>
      <c r="DC213" t="s">
        <v>220</v>
      </c>
      <c r="DD213" t="s">
        <v>220</v>
      </c>
      <c r="DE213"/>
      <c r="DF213" t="s">
        <v>220</v>
      </c>
      <c r="DG213" t="s">
        <v>220</v>
      </c>
      <c r="DH213" s="323"/>
      <c r="DI213" s="323"/>
      <c r="DJ213" s="323"/>
      <c r="DL213" t="s">
        <v>220</v>
      </c>
      <c r="DM213" t="s">
        <v>220</v>
      </c>
      <c r="DN213" t="s">
        <v>257</v>
      </c>
      <c r="DO213" t="s">
        <v>220</v>
      </c>
      <c r="DP213" t="s">
        <v>220</v>
      </c>
      <c r="DQ213" s="332" t="s">
        <v>835</v>
      </c>
      <c r="DR213" s="332" t="s">
        <v>835</v>
      </c>
      <c r="DS213" s="309">
        <v>100.258</v>
      </c>
      <c r="DU213" s="309">
        <v>347.053</v>
      </c>
      <c r="DW213"/>
      <c r="DX213" t="s">
        <v>235</v>
      </c>
      <c r="DY213"/>
      <c r="DZ213" t="s">
        <v>235</v>
      </c>
      <c r="EA213"/>
      <c r="EB213"/>
      <c r="ED213" s="410"/>
      <c r="EE213" s="1"/>
      <c r="EG213" s="410"/>
      <c r="EI213" s="410"/>
      <c r="EK213" s="1">
        <v>143</v>
      </c>
      <c r="EL213" s="8" t="s">
        <v>259</v>
      </c>
      <c r="EM213"/>
      <c r="EN213" s="9">
        <v>909.13823899379997</v>
      </c>
      <c r="EQ213" s="344"/>
      <c r="EU213" s="344"/>
      <c r="EW213" s="409"/>
      <c r="EY213" s="1"/>
      <c r="FA213">
        <v>77.430000000000007</v>
      </c>
      <c r="FB213" t="s">
        <v>225</v>
      </c>
      <c r="FC213" s="7">
        <v>83.791506743841026</v>
      </c>
      <c r="FD213" s="357" t="s">
        <v>236</v>
      </c>
      <c r="FE213" s="8">
        <v>125.57407854019587</v>
      </c>
      <c r="FF213" t="s">
        <v>237</v>
      </c>
      <c r="FH213" s="9">
        <v>36.694417673371632</v>
      </c>
      <c r="FI213" s="9" t="s">
        <v>225</v>
      </c>
      <c r="FK213" t="s">
        <v>235</v>
      </c>
      <c r="FL213">
        <v>85.7</v>
      </c>
      <c r="FM213">
        <v>355.79513055974297</v>
      </c>
      <c r="FN213" s="5" t="s">
        <v>237</v>
      </c>
      <c r="FP213" s="6">
        <v>71.5</v>
      </c>
      <c r="FQ213" t="s">
        <v>260</v>
      </c>
      <c r="FS213" t="s">
        <v>261</v>
      </c>
      <c r="FU213" s="8">
        <v>2</v>
      </c>
      <c r="FV213" s="8">
        <v>10</v>
      </c>
      <c r="FW213" s="8">
        <v>10</v>
      </c>
      <c r="FX213" s="8">
        <v>1</v>
      </c>
      <c r="FY213" s="8">
        <v>3</v>
      </c>
      <c r="FZ213">
        <f t="shared" si="3"/>
        <v>600</v>
      </c>
      <c r="GA213" s="7" t="s">
        <v>303</v>
      </c>
      <c r="GB213" s="7" t="s">
        <v>303</v>
      </c>
      <c r="GC213" s="6">
        <v>9</v>
      </c>
      <c r="GD213" s="348" t="s">
        <v>242</v>
      </c>
      <c r="GF213" s="6">
        <v>2.8566666666666671E-2</v>
      </c>
      <c r="GH213" s="7"/>
      <c r="GI213" s="441">
        <v>1.589</v>
      </c>
      <c r="GJ213" s="441">
        <v>2.9790000000000001</v>
      </c>
      <c r="GK213" s="441">
        <v>4.7670000000000003</v>
      </c>
      <c r="GL213" s="441">
        <v>11.917</v>
      </c>
      <c r="GM213" s="452" t="s">
        <v>262</v>
      </c>
      <c r="GN213" s="6">
        <v>0.06</v>
      </c>
      <c r="GO213" s="6">
        <v>0.1125</v>
      </c>
      <c r="GP213" s="6">
        <v>0.18</v>
      </c>
      <c r="GQ213" s="6">
        <v>0.45</v>
      </c>
      <c r="GR213" s="6" t="s">
        <v>230</v>
      </c>
      <c r="GU213" t="s">
        <v>365</v>
      </c>
      <c r="GV213" t="s">
        <v>223</v>
      </c>
      <c r="GW213" t="s">
        <v>359</v>
      </c>
      <c r="GX213" t="s">
        <v>223</v>
      </c>
      <c r="GY213" t="s">
        <v>417</v>
      </c>
      <c r="GZ213" t="s">
        <v>376</v>
      </c>
      <c r="HB213" t="s">
        <v>376</v>
      </c>
      <c r="HE213" t="s">
        <v>247</v>
      </c>
      <c r="HF213" t="s">
        <v>249</v>
      </c>
      <c r="HG213" t="s">
        <v>231</v>
      </c>
      <c r="HH213" t="s">
        <v>223</v>
      </c>
      <c r="HI213" t="s">
        <v>247</v>
      </c>
      <c r="HJ213" t="s">
        <v>249</v>
      </c>
      <c r="HK213" t="s">
        <v>248</v>
      </c>
      <c r="HL213" t="s">
        <v>231</v>
      </c>
      <c r="HM213" t="s">
        <v>231</v>
      </c>
      <c r="HO213" t="s">
        <v>231</v>
      </c>
      <c r="HP213" t="s">
        <v>249</v>
      </c>
      <c r="HQ213" t="s">
        <v>231</v>
      </c>
      <c r="HR213" t="s">
        <v>249</v>
      </c>
      <c r="HU213" t="s">
        <v>231</v>
      </c>
      <c r="HV213" t="s">
        <v>223</v>
      </c>
      <c r="HW213" t="s">
        <v>246</v>
      </c>
      <c r="HX213" t="s">
        <v>236</v>
      </c>
      <c r="IA213" t="s">
        <v>231</v>
      </c>
      <c r="IB213" t="s">
        <v>250</v>
      </c>
      <c r="IC213">
        <v>1.589</v>
      </c>
      <c r="ID213">
        <v>2.9790000000000001</v>
      </c>
      <c r="IE213">
        <v>4.7670000000000003</v>
      </c>
      <c r="IF213">
        <v>11.917</v>
      </c>
      <c r="IH213" t="s">
        <v>267</v>
      </c>
    </row>
    <row r="214" spans="1:242" hidden="1" x14ac:dyDescent="0.35">
      <c r="A214" s="310" t="s">
        <v>1365</v>
      </c>
      <c r="B214" s="313" t="s">
        <v>1366</v>
      </c>
      <c r="C214" s="310" t="s">
        <v>1367</v>
      </c>
      <c r="D214" s="316"/>
      <c r="F214" t="s">
        <v>1367</v>
      </c>
      <c r="I214" s="310" t="s">
        <v>1368</v>
      </c>
      <c r="M214" s="313"/>
      <c r="O214"/>
      <c r="P214" s="381"/>
      <c r="Q214"/>
      <c r="T214" s="8"/>
      <c r="U214" t="s">
        <v>221</v>
      </c>
      <c r="V214" s="313"/>
      <c r="W214" t="s">
        <v>220</v>
      </c>
      <c r="X214" t="s">
        <v>220</v>
      </c>
      <c r="Z214"/>
      <c r="AB214"/>
      <c r="AD214" s="8" t="s">
        <v>230</v>
      </c>
      <c r="AF214" s="8" t="s">
        <v>291</v>
      </c>
      <c r="AG214"/>
      <c r="AH214"/>
      <c r="AI214"/>
      <c r="AJ214" t="s">
        <v>221</v>
      </c>
      <c r="AK214">
        <v>0</v>
      </c>
      <c r="AL214">
        <v>1</v>
      </c>
      <c r="AM214" t="s">
        <v>414</v>
      </c>
      <c r="AN214" t="s">
        <v>236</v>
      </c>
      <c r="AO214" t="s">
        <v>224</v>
      </c>
      <c r="AP214" t="s">
        <v>225</v>
      </c>
      <c r="AQ214" t="s">
        <v>414</v>
      </c>
      <c r="AR214" t="s">
        <v>236</v>
      </c>
      <c r="AS214" t="s">
        <v>221</v>
      </c>
      <c r="AT214"/>
      <c r="AU214" t="s">
        <v>220</v>
      </c>
      <c r="AV214"/>
      <c r="AW214" s="313" t="s">
        <v>220</v>
      </c>
      <c r="AX214" t="s">
        <v>226</v>
      </c>
      <c r="AY214" s="313" t="s">
        <v>220</v>
      </c>
      <c r="AZ214" s="313">
        <v>0.34200000000000003</v>
      </c>
      <c r="BB214" s="313" t="s">
        <v>227</v>
      </c>
      <c r="BC214">
        <v>0.22500000000000001</v>
      </c>
      <c r="BD214" t="s">
        <v>220</v>
      </c>
      <c r="BE214">
        <v>4.7800000000000002E-2</v>
      </c>
      <c r="BF214" s="2" t="s">
        <v>257</v>
      </c>
      <c r="BH214" s="2" t="s">
        <v>228</v>
      </c>
      <c r="BI214" s="2" t="s">
        <v>1369</v>
      </c>
      <c r="BM214"/>
      <c r="BP214" s="8"/>
      <c r="BQ214" t="s">
        <v>230</v>
      </c>
      <c r="BR214" t="s">
        <v>230</v>
      </c>
      <c r="BU214" t="s">
        <v>231</v>
      </c>
      <c r="BV214" t="s">
        <v>236</v>
      </c>
      <c r="BW214" t="s">
        <v>232</v>
      </c>
      <c r="BX214" t="s">
        <v>276</v>
      </c>
      <c r="BY214" t="s">
        <v>227</v>
      </c>
      <c r="BZ214">
        <v>0.61899999999999999</v>
      </c>
      <c r="CA214" t="s">
        <v>372</v>
      </c>
      <c r="CF214" t="s">
        <v>227</v>
      </c>
      <c r="CG214">
        <v>0.45200000000000001</v>
      </c>
      <c r="CH214" t="s">
        <v>227</v>
      </c>
      <c r="CI214">
        <v>0.53700000000000003</v>
      </c>
      <c r="CK214"/>
      <c r="CL214"/>
      <c r="CM214"/>
      <c r="CS214" s="8"/>
      <c r="CW214" t="s">
        <v>220</v>
      </c>
      <c r="CX214" t="s">
        <v>227</v>
      </c>
      <c r="CY214" t="s">
        <v>231</v>
      </c>
      <c r="CZ214" t="s">
        <v>220</v>
      </c>
      <c r="DA214" t="s">
        <v>220</v>
      </c>
      <c r="DB214" t="s">
        <v>227</v>
      </c>
      <c r="DC214"/>
      <c r="DD214"/>
      <c r="DE214"/>
      <c r="DF214"/>
      <c r="DG214"/>
      <c r="DH214" s="323"/>
      <c r="DI214" s="323"/>
      <c r="DJ214" s="323"/>
      <c r="DL214" t="s">
        <v>257</v>
      </c>
      <c r="DM214" t="s">
        <v>220</v>
      </c>
      <c r="DN214" t="s">
        <v>227</v>
      </c>
      <c r="DO214" t="s">
        <v>227</v>
      </c>
      <c r="DP214" t="s">
        <v>227</v>
      </c>
      <c r="DS214" s="309">
        <v>25.792999999999999</v>
      </c>
      <c r="DU214" s="309">
        <v>223.52199999999999</v>
      </c>
      <c r="DW214"/>
      <c r="DX214" t="s">
        <v>235</v>
      </c>
      <c r="DY214"/>
      <c r="DZ214" t="s">
        <v>235</v>
      </c>
      <c r="EA214"/>
      <c r="EB214"/>
      <c r="ED214" s="410"/>
      <c r="EE214" s="1"/>
      <c r="EG214" s="410"/>
      <c r="EI214" s="410"/>
      <c r="EK214" s="1"/>
      <c r="EM214"/>
      <c r="EQ214" s="344"/>
      <c r="EU214" s="344"/>
      <c r="EW214" s="409"/>
      <c r="EY214" s="1"/>
      <c r="FA214">
        <v>53.29</v>
      </c>
      <c r="FB214" t="s">
        <v>236</v>
      </c>
      <c r="FC214" s="7">
        <v>172.34552051091637</v>
      </c>
      <c r="FD214" s="357" t="s">
        <v>236</v>
      </c>
      <c r="FE214" s="8">
        <v>80.278638798978676</v>
      </c>
      <c r="FF214" t="s">
        <v>237</v>
      </c>
      <c r="FH214" s="9">
        <v>169.66802323464648</v>
      </c>
      <c r="FI214" s="9" t="s">
        <v>236</v>
      </c>
      <c r="FK214" t="s">
        <v>235</v>
      </c>
      <c r="FL214">
        <v>53.5</v>
      </c>
      <c r="FM214">
        <v>330.67396279884525</v>
      </c>
      <c r="FN214" s="419" t="s">
        <v>237</v>
      </c>
      <c r="FV214" s="8"/>
      <c r="FW214" s="8"/>
      <c r="FX214" s="8"/>
      <c r="GC214" s="7">
        <v>2.5000000000000001E-3</v>
      </c>
      <c r="GF214" s="6">
        <v>1.7833333333333333E-2</v>
      </c>
      <c r="GH214" s="7"/>
      <c r="GI214" s="441" t="s">
        <v>395</v>
      </c>
      <c r="GJ214" s="441" t="s">
        <v>395</v>
      </c>
      <c r="GK214" s="441" t="s">
        <v>395</v>
      </c>
      <c r="GL214" s="441" t="s">
        <v>395</v>
      </c>
      <c r="GM214" s="452" t="s">
        <v>230</v>
      </c>
      <c r="GN214" s="6" t="s">
        <v>395</v>
      </c>
      <c r="GO214" s="6" t="s">
        <v>395</v>
      </c>
      <c r="GP214" s="6" t="s">
        <v>395</v>
      </c>
      <c r="GQ214" s="6" t="s">
        <v>395</v>
      </c>
      <c r="GR214" s="6" t="s">
        <v>230</v>
      </c>
      <c r="GU214" t="s">
        <v>365</v>
      </c>
      <c r="GV214" t="s">
        <v>236</v>
      </c>
      <c r="GW214" t="s">
        <v>359</v>
      </c>
      <c r="GX214" t="s">
        <v>236</v>
      </c>
      <c r="GY214" t="s">
        <v>245</v>
      </c>
      <c r="HE214" t="s">
        <v>384</v>
      </c>
      <c r="HF214" t="s">
        <v>223</v>
      </c>
      <c r="HG214" t="s">
        <v>231</v>
      </c>
      <c r="HH214" t="s">
        <v>236</v>
      </c>
      <c r="HI214" t="s">
        <v>247</v>
      </c>
      <c r="HJ214" t="s">
        <v>223</v>
      </c>
      <c r="HK214" t="s">
        <v>248</v>
      </c>
      <c r="HL214" t="s">
        <v>231</v>
      </c>
      <c r="HM214" t="s">
        <v>231</v>
      </c>
      <c r="HO214" t="s">
        <v>231</v>
      </c>
      <c r="HP214" t="s">
        <v>249</v>
      </c>
      <c r="HQ214" t="s">
        <v>231</v>
      </c>
      <c r="HR214" t="s">
        <v>249</v>
      </c>
      <c r="HU214" t="s">
        <v>231</v>
      </c>
      <c r="HV214" t="s">
        <v>236</v>
      </c>
      <c r="HW214" t="s">
        <v>506</v>
      </c>
      <c r="HX214" t="s">
        <v>236</v>
      </c>
      <c r="IA214" t="s">
        <v>231</v>
      </c>
      <c r="IB214" t="s">
        <v>250</v>
      </c>
      <c r="IC214" t="s">
        <v>395</v>
      </c>
      <c r="ID214" t="s">
        <v>395</v>
      </c>
      <c r="IE214" t="s">
        <v>395</v>
      </c>
      <c r="IF214" t="s">
        <v>395</v>
      </c>
      <c r="IH214" t="s">
        <v>235</v>
      </c>
    </row>
    <row r="215" spans="1:242" x14ac:dyDescent="0.35">
      <c r="A215" s="310" t="s">
        <v>1370</v>
      </c>
      <c r="B215" s="313" t="s">
        <v>1371</v>
      </c>
      <c r="C215" s="310" t="s">
        <v>1372</v>
      </c>
      <c r="D215" s="316"/>
      <c r="F215" t="s">
        <v>1373</v>
      </c>
      <c r="I215" s="310" t="s">
        <v>1374</v>
      </c>
      <c r="M215" s="313"/>
      <c r="O215"/>
      <c r="P215" s="381"/>
      <c r="Q215"/>
      <c r="T215" s="8"/>
      <c r="U215"/>
      <c r="V215" s="313"/>
      <c r="W215"/>
      <c r="X215"/>
      <c r="Z215"/>
      <c r="AB215"/>
      <c r="AD215" s="8" t="s">
        <v>230</v>
      </c>
      <c r="AF215" s="8" t="s">
        <v>230</v>
      </c>
      <c r="AG215"/>
      <c r="AH215"/>
      <c r="AI215"/>
      <c r="AJ215" t="s">
        <v>221</v>
      </c>
      <c r="AK215">
        <v>0</v>
      </c>
      <c r="AL215">
        <v>0.9</v>
      </c>
      <c r="AM215" t="s">
        <v>221</v>
      </c>
      <c r="AN215" t="s">
        <v>223</v>
      </c>
      <c r="AO215" t="s">
        <v>224</v>
      </c>
      <c r="AP215" t="s">
        <v>223</v>
      </c>
      <c r="AQ215" t="s">
        <v>221</v>
      </c>
      <c r="AR215" t="s">
        <v>223</v>
      </c>
      <c r="AS215" t="s">
        <v>221</v>
      </c>
      <c r="AT215" t="s">
        <v>223</v>
      </c>
      <c r="AU215" t="s">
        <v>220</v>
      </c>
      <c r="AV215"/>
      <c r="AW215" s="313" t="s">
        <v>220</v>
      </c>
      <c r="AX215" t="s">
        <v>226</v>
      </c>
      <c r="AY215" s="313" t="s">
        <v>220</v>
      </c>
      <c r="AZ215" s="313">
        <v>0.111</v>
      </c>
      <c r="BB215" s="313" t="s">
        <v>220</v>
      </c>
      <c r="BC215">
        <v>6.9699999999999998E-2</v>
      </c>
      <c r="BD215" t="s">
        <v>227</v>
      </c>
      <c r="BE215">
        <v>0.114</v>
      </c>
      <c r="BF215" s="2" t="s">
        <v>220</v>
      </c>
      <c r="BG215" s="2" t="s">
        <v>273</v>
      </c>
      <c r="BH215" s="2" t="s">
        <v>274</v>
      </c>
      <c r="BI215" s="2" t="s">
        <v>275</v>
      </c>
      <c r="BM215"/>
      <c r="BP215" s="8"/>
      <c r="BQ215" t="s">
        <v>230</v>
      </c>
      <c r="BR215" t="s">
        <v>230</v>
      </c>
      <c r="BU215" t="s">
        <v>293</v>
      </c>
      <c r="BV215" t="s">
        <v>236</v>
      </c>
      <c r="BW215" t="s">
        <v>293</v>
      </c>
      <c r="BX215" t="s">
        <v>458</v>
      </c>
      <c r="BY215" t="s">
        <v>220</v>
      </c>
      <c r="BZ215">
        <v>0.374</v>
      </c>
      <c r="CA215" t="s">
        <v>234</v>
      </c>
      <c r="CF215" t="s">
        <v>220</v>
      </c>
      <c r="CG215">
        <v>0.21199999999999999</v>
      </c>
      <c r="CH215" t="s">
        <v>220</v>
      </c>
      <c r="CI215">
        <v>8.9200000000000002E-2</v>
      </c>
      <c r="CK215"/>
      <c r="CL215"/>
      <c r="CM215"/>
      <c r="CS215" s="8"/>
      <c r="CW215" t="s">
        <v>220</v>
      </c>
      <c r="CX215" t="s">
        <v>220</v>
      </c>
      <c r="CY215" t="s">
        <v>231</v>
      </c>
      <c r="CZ215" t="s">
        <v>220</v>
      </c>
      <c r="DA215" t="s">
        <v>227</v>
      </c>
      <c r="DB215" t="s">
        <v>227</v>
      </c>
      <c r="DC215"/>
      <c r="DD215"/>
      <c r="DE215"/>
      <c r="DF215"/>
      <c r="DG215"/>
      <c r="DH215" s="323"/>
      <c r="DI215" s="323"/>
      <c r="DJ215" s="323"/>
      <c r="DL215" t="s">
        <v>220</v>
      </c>
      <c r="DM215" t="s">
        <v>220</v>
      </c>
      <c r="DN215" t="s">
        <v>257</v>
      </c>
      <c r="DO215" t="s">
        <v>227</v>
      </c>
      <c r="DP215" t="s">
        <v>227</v>
      </c>
      <c r="DS215" s="309">
        <v>84.061999999999998</v>
      </c>
      <c r="DU215" s="309">
        <v>160.13499999999999</v>
      </c>
      <c r="DW215"/>
      <c r="DX215" t="s">
        <v>235</v>
      </c>
      <c r="DY215"/>
      <c r="DZ215" t="s">
        <v>235</v>
      </c>
      <c r="EA215"/>
      <c r="EB215"/>
      <c r="ED215" s="410"/>
      <c r="EE215" s="1"/>
      <c r="EG215" s="410"/>
      <c r="EI215" s="410"/>
      <c r="EK215" s="1"/>
      <c r="EM215"/>
      <c r="EQ215" s="344"/>
      <c r="EU215" s="344"/>
      <c r="EW215" s="409"/>
      <c r="EY215" s="1"/>
      <c r="FA215">
        <v>5.92</v>
      </c>
      <c r="FB215" t="s">
        <v>236</v>
      </c>
      <c r="FC215" s="7">
        <v>78.577824355900972</v>
      </c>
      <c r="FD215" s="357" t="s">
        <v>225</v>
      </c>
      <c r="FE215" s="8">
        <v>67.142885292595238</v>
      </c>
      <c r="FF215" t="s">
        <v>237</v>
      </c>
      <c r="FH215" s="9">
        <v>101.71851236832151</v>
      </c>
      <c r="FI215" s="9" t="s">
        <v>225</v>
      </c>
      <c r="FK215" t="s">
        <v>235</v>
      </c>
      <c r="FL215">
        <v>64.7</v>
      </c>
      <c r="FM215">
        <v>203.00185198596861</v>
      </c>
      <c r="FN215" s="5" t="s">
        <v>237</v>
      </c>
      <c r="FP215" s="6">
        <v>2.96</v>
      </c>
      <c r="FQ215" t="s">
        <v>275</v>
      </c>
      <c r="FS215" t="s">
        <v>240</v>
      </c>
      <c r="FU215" s="8">
        <v>2</v>
      </c>
      <c r="FV215" s="8">
        <v>10</v>
      </c>
      <c r="FW215" s="8">
        <v>10</v>
      </c>
      <c r="FX215" s="8">
        <v>1</v>
      </c>
      <c r="FY215" s="8">
        <v>3</v>
      </c>
      <c r="FZ215">
        <f t="shared" si="3"/>
        <v>600</v>
      </c>
      <c r="GA215" s="7" t="s">
        <v>241</v>
      </c>
      <c r="GB215" s="7" t="s">
        <v>241</v>
      </c>
      <c r="GC215" s="6">
        <v>30</v>
      </c>
      <c r="GD215" s="348" t="s">
        <v>242</v>
      </c>
      <c r="GF215" s="6">
        <v>1.6953085394720249E-2</v>
      </c>
      <c r="GH215" s="7"/>
      <c r="GI215" s="445"/>
      <c r="GJ215" s="445"/>
      <c r="GK215" s="445"/>
      <c r="GL215" s="445"/>
      <c r="GM215" s="453"/>
      <c r="GN215" s="6">
        <v>0.2</v>
      </c>
      <c r="GO215" s="6">
        <v>0.375</v>
      </c>
      <c r="GP215" s="6">
        <v>0.6</v>
      </c>
      <c r="GQ215" s="6">
        <v>1.5</v>
      </c>
      <c r="GR215" s="6" t="s">
        <v>230</v>
      </c>
      <c r="GU215" t="s">
        <v>243</v>
      </c>
      <c r="GV215" t="s">
        <v>236</v>
      </c>
      <c r="GW215" t="s">
        <v>244</v>
      </c>
      <c r="GX215" t="s">
        <v>236</v>
      </c>
      <c r="GY215" t="s">
        <v>245</v>
      </c>
      <c r="HE215" t="s">
        <v>246</v>
      </c>
      <c r="HF215" t="s">
        <v>236</v>
      </c>
      <c r="HG215" t="s">
        <v>231</v>
      </c>
      <c r="HH215" t="s">
        <v>223</v>
      </c>
      <c r="HI215" t="s">
        <v>247</v>
      </c>
      <c r="HJ215" t="s">
        <v>225</v>
      </c>
      <c r="HK215" t="s">
        <v>248</v>
      </c>
      <c r="HO215" t="s">
        <v>231</v>
      </c>
      <c r="HP215" t="s">
        <v>223</v>
      </c>
      <c r="HQ215" t="s">
        <v>231</v>
      </c>
      <c r="HR215" t="s">
        <v>223</v>
      </c>
      <c r="HU215" t="s">
        <v>231</v>
      </c>
      <c r="HV215" t="s">
        <v>223</v>
      </c>
      <c r="HW215" t="s">
        <v>246</v>
      </c>
      <c r="HX215" t="s">
        <v>236</v>
      </c>
      <c r="IA215" t="s">
        <v>231</v>
      </c>
      <c r="IB215" t="s">
        <v>250</v>
      </c>
      <c r="IC215" s="447"/>
      <c r="ID215" s="447"/>
      <c r="IE215" s="447"/>
      <c r="IF215" s="447"/>
      <c r="IH215" t="s">
        <v>235</v>
      </c>
    </row>
    <row r="216" spans="1:242" x14ac:dyDescent="0.35">
      <c r="A216" s="310" t="s">
        <v>1375</v>
      </c>
      <c r="B216" s="313" t="s">
        <v>1376</v>
      </c>
      <c r="C216" s="310" t="s">
        <v>1377</v>
      </c>
      <c r="D216" s="316"/>
      <c r="F216" t="s">
        <v>1378</v>
      </c>
      <c r="I216" s="310" t="s">
        <v>1379</v>
      </c>
      <c r="M216" s="313"/>
      <c r="O216"/>
      <c r="P216" s="381"/>
      <c r="Q216"/>
      <c r="T216" s="8"/>
      <c r="U216"/>
      <c r="V216" s="313"/>
      <c r="W216"/>
      <c r="X216"/>
      <c r="Z216"/>
      <c r="AB216"/>
      <c r="AD216" s="8" t="s">
        <v>230</v>
      </c>
      <c r="AF216" s="8" t="s">
        <v>230</v>
      </c>
      <c r="AG216"/>
      <c r="AH216"/>
      <c r="AI216"/>
      <c r="AJ216" t="s">
        <v>221</v>
      </c>
      <c r="AK216">
        <v>0</v>
      </c>
      <c r="AL216">
        <v>0.9</v>
      </c>
      <c r="AM216" t="s">
        <v>221</v>
      </c>
      <c r="AN216" t="s">
        <v>223</v>
      </c>
      <c r="AO216" t="s">
        <v>224</v>
      </c>
      <c r="AP216" t="s">
        <v>223</v>
      </c>
      <c r="AQ216" t="s">
        <v>221</v>
      </c>
      <c r="AR216" t="s">
        <v>223</v>
      </c>
      <c r="AS216" t="s">
        <v>221</v>
      </c>
      <c r="AT216" t="s">
        <v>223</v>
      </c>
      <c r="AU216" t="s">
        <v>220</v>
      </c>
      <c r="AV216"/>
      <c r="AW216" s="313" t="s">
        <v>220</v>
      </c>
      <c r="AX216" t="s">
        <v>226</v>
      </c>
      <c r="AY216" s="313" t="s">
        <v>220</v>
      </c>
      <c r="AZ216" s="313">
        <v>0.106</v>
      </c>
      <c r="BB216" s="313" t="s">
        <v>220</v>
      </c>
      <c r="BC216">
        <v>5.5800000000000002E-2</v>
      </c>
      <c r="BD216" t="s">
        <v>227</v>
      </c>
      <c r="BE216">
        <v>0.11700000000000001</v>
      </c>
      <c r="BF216" s="2" t="s">
        <v>220</v>
      </c>
      <c r="BG216" s="2" t="s">
        <v>273</v>
      </c>
      <c r="BH216" s="2" t="s">
        <v>274</v>
      </c>
      <c r="BI216" s="2" t="s">
        <v>275</v>
      </c>
      <c r="BM216"/>
      <c r="BP216" s="8"/>
      <c r="BQ216" t="s">
        <v>230</v>
      </c>
      <c r="BR216" t="s">
        <v>230</v>
      </c>
      <c r="BU216" t="s">
        <v>293</v>
      </c>
      <c r="BV216" t="s">
        <v>236</v>
      </c>
      <c r="BW216" t="s">
        <v>232</v>
      </c>
      <c r="BX216" t="s">
        <v>276</v>
      </c>
      <c r="BY216" t="s">
        <v>220</v>
      </c>
      <c r="BZ216">
        <v>0.27</v>
      </c>
      <c r="CA216" t="s">
        <v>234</v>
      </c>
      <c r="CF216" t="s">
        <v>227</v>
      </c>
      <c r="CG216">
        <v>0.23400000000000001</v>
      </c>
      <c r="CH216" t="s">
        <v>227</v>
      </c>
      <c r="CI216">
        <v>0.186</v>
      </c>
      <c r="CK216"/>
      <c r="CL216"/>
      <c r="CM216"/>
      <c r="CS216" s="8"/>
      <c r="CW216" t="s">
        <v>220</v>
      </c>
      <c r="CX216" t="s">
        <v>220</v>
      </c>
      <c r="CY216" t="s">
        <v>231</v>
      </c>
      <c r="CZ216" t="s">
        <v>220</v>
      </c>
      <c r="DA216" t="s">
        <v>220</v>
      </c>
      <c r="DB216" t="s">
        <v>220</v>
      </c>
      <c r="DC216"/>
      <c r="DD216"/>
      <c r="DE216"/>
      <c r="DF216"/>
      <c r="DG216"/>
      <c r="DH216" s="323"/>
      <c r="DI216" s="323"/>
      <c r="DJ216" s="323"/>
      <c r="DL216" t="s">
        <v>257</v>
      </c>
      <c r="DM216" t="s">
        <v>220</v>
      </c>
      <c r="DN216" t="s">
        <v>257</v>
      </c>
      <c r="DO216" t="s">
        <v>227</v>
      </c>
      <c r="DP216" t="s">
        <v>227</v>
      </c>
      <c r="DS216" s="309">
        <v>91.483999999999995</v>
      </c>
      <c r="DU216" s="309">
        <v>149.96600000000001</v>
      </c>
      <c r="DW216">
        <v>181</v>
      </c>
      <c r="DX216" t="s">
        <v>238</v>
      </c>
      <c r="DY216">
        <v>80.8</v>
      </c>
      <c r="DZ216" t="s">
        <v>238</v>
      </c>
      <c r="EA216"/>
      <c r="EB216"/>
      <c r="ED216" s="410"/>
      <c r="EE216" s="1"/>
      <c r="EG216" s="410"/>
      <c r="EI216" s="410"/>
      <c r="EK216" s="1"/>
      <c r="EM216"/>
      <c r="EQ216" s="344"/>
      <c r="EU216" s="344"/>
      <c r="EW216" s="409"/>
      <c r="EY216" s="1"/>
      <c r="FA216">
        <v>8.15</v>
      </c>
      <c r="FB216" t="s">
        <v>225</v>
      </c>
      <c r="FC216" s="7">
        <v>78.904178028716814</v>
      </c>
      <c r="FD216" s="357" t="s">
        <v>225</v>
      </c>
      <c r="FE216" s="8">
        <v>39.391271544686575</v>
      </c>
      <c r="FF216" t="s">
        <v>237</v>
      </c>
      <c r="FH216" s="9">
        <v>153.67385997357249</v>
      </c>
      <c r="FI216" s="9" t="s">
        <v>223</v>
      </c>
      <c r="FJ216">
        <v>64.099999999999994</v>
      </c>
      <c r="FK216" t="s">
        <v>238</v>
      </c>
      <c r="FL216">
        <v>67.3</v>
      </c>
      <c r="FM216">
        <v>178.36104164296015</v>
      </c>
      <c r="FN216" s="5" t="s">
        <v>237</v>
      </c>
      <c r="FP216" s="6">
        <v>4.0750000000000002</v>
      </c>
      <c r="FQ216" t="s">
        <v>275</v>
      </c>
      <c r="FS216" t="s">
        <v>240</v>
      </c>
      <c r="FU216" s="8">
        <v>2</v>
      </c>
      <c r="FV216" s="8">
        <v>10</v>
      </c>
      <c r="FW216" s="8">
        <v>10</v>
      </c>
      <c r="FX216" s="8">
        <v>1</v>
      </c>
      <c r="FY216" s="8">
        <v>3</v>
      </c>
      <c r="FZ216">
        <f t="shared" si="3"/>
        <v>600</v>
      </c>
      <c r="GA216" s="7" t="s">
        <v>241</v>
      </c>
      <c r="GB216" s="7" t="s">
        <v>241</v>
      </c>
      <c r="GC216" s="6">
        <v>30</v>
      </c>
      <c r="GD216" s="348" t="s">
        <v>242</v>
      </c>
      <c r="GF216" s="6">
        <v>1.3583333333333334E-2</v>
      </c>
      <c r="GH216" s="7"/>
      <c r="GI216" s="445"/>
      <c r="GJ216" s="445"/>
      <c r="GK216" s="445"/>
      <c r="GL216" s="445"/>
      <c r="GM216" s="453"/>
      <c r="GN216" s="6">
        <v>0.2</v>
      </c>
      <c r="GO216" s="6">
        <v>0.375</v>
      </c>
      <c r="GP216" s="6">
        <v>0.6</v>
      </c>
      <c r="GQ216" s="6">
        <v>1.5</v>
      </c>
      <c r="GR216" s="6" t="s">
        <v>230</v>
      </c>
      <c r="GU216" t="s">
        <v>243</v>
      </c>
      <c r="GV216" t="s">
        <v>225</v>
      </c>
      <c r="GW216" t="s">
        <v>244</v>
      </c>
      <c r="GX216" t="s">
        <v>236</v>
      </c>
      <c r="GY216" t="s">
        <v>245</v>
      </c>
      <c r="GZ216" t="s">
        <v>376</v>
      </c>
      <c r="HA216" t="s">
        <v>231</v>
      </c>
      <c r="HB216" t="s">
        <v>376</v>
      </c>
      <c r="HE216" t="s">
        <v>247</v>
      </c>
      <c r="HF216" t="s">
        <v>249</v>
      </c>
      <c r="HG216" t="s">
        <v>231</v>
      </c>
      <c r="HH216" t="s">
        <v>249</v>
      </c>
      <c r="HI216" t="s">
        <v>247</v>
      </c>
      <c r="HJ216" t="s">
        <v>249</v>
      </c>
      <c r="HK216" t="s">
        <v>248</v>
      </c>
      <c r="HL216" t="s">
        <v>231</v>
      </c>
      <c r="HM216" t="s">
        <v>231</v>
      </c>
      <c r="HO216" t="s">
        <v>231</v>
      </c>
      <c r="HP216" t="s">
        <v>249</v>
      </c>
      <c r="HQ216" t="s">
        <v>231</v>
      </c>
      <c r="HR216" t="s">
        <v>249</v>
      </c>
      <c r="HU216" t="s">
        <v>231</v>
      </c>
      <c r="HV216" t="s">
        <v>223</v>
      </c>
      <c r="HW216" t="s">
        <v>246</v>
      </c>
      <c r="HX216" t="s">
        <v>236</v>
      </c>
      <c r="IA216" t="s">
        <v>231</v>
      </c>
      <c r="IB216" t="s">
        <v>250</v>
      </c>
      <c r="IC216" s="447"/>
      <c r="ID216" s="447"/>
      <c r="IE216" s="447"/>
      <c r="IF216" s="447"/>
      <c r="IH216" t="s">
        <v>235</v>
      </c>
    </row>
    <row r="217" spans="1:242" hidden="1" x14ac:dyDescent="0.35">
      <c r="A217" s="310" t="s">
        <v>1380</v>
      </c>
      <c r="B217" s="313" t="s">
        <v>1381</v>
      </c>
      <c r="C217" s="310" t="s">
        <v>1382</v>
      </c>
      <c r="D217" s="316"/>
      <c r="F217" t="s">
        <v>1383</v>
      </c>
      <c r="I217" s="310" t="s">
        <v>1384</v>
      </c>
      <c r="M217" s="313"/>
      <c r="O217"/>
      <c r="P217" s="381"/>
      <c r="Q217"/>
      <c r="T217" s="8"/>
      <c r="U217"/>
      <c r="V217" s="313"/>
      <c r="W217"/>
      <c r="X217"/>
      <c r="Z217"/>
      <c r="AB217"/>
      <c r="AD217" s="8" t="s">
        <v>230</v>
      </c>
      <c r="AF217" s="8" t="s">
        <v>230</v>
      </c>
      <c r="AG217"/>
      <c r="AH217"/>
      <c r="AI217"/>
      <c r="AJ217" t="s">
        <v>414</v>
      </c>
      <c r="AK217">
        <v>0.42499999999999999</v>
      </c>
      <c r="AL217">
        <v>0.05</v>
      </c>
      <c r="AM217" t="s">
        <v>414</v>
      </c>
      <c r="AN217" t="s">
        <v>223</v>
      </c>
      <c r="AO217" t="s">
        <v>224</v>
      </c>
      <c r="AP217" t="s">
        <v>236</v>
      </c>
      <c r="AQ217" t="s">
        <v>414</v>
      </c>
      <c r="AR217" t="s">
        <v>236</v>
      </c>
      <c r="AS217" t="s">
        <v>414</v>
      </c>
      <c r="AT217" t="s">
        <v>225</v>
      </c>
      <c r="AU217" t="s">
        <v>272</v>
      </c>
      <c r="AV217"/>
      <c r="AW217" s="313" t="s">
        <v>431</v>
      </c>
      <c r="AX217" t="s">
        <v>1385</v>
      </c>
      <c r="AY217" s="313" t="s">
        <v>220</v>
      </c>
      <c r="AZ217" s="313">
        <v>0.36099999999999999</v>
      </c>
      <c r="BB217" s="313" t="s">
        <v>220</v>
      </c>
      <c r="BC217">
        <v>0.193</v>
      </c>
      <c r="BD217" t="s">
        <v>257</v>
      </c>
      <c r="BE217">
        <v>0.61</v>
      </c>
      <c r="BF217" s="2" t="s">
        <v>257</v>
      </c>
      <c r="BG217" s="2" t="s">
        <v>230</v>
      </c>
      <c r="BH217" s="2" t="s">
        <v>274</v>
      </c>
      <c r="BI217" s="2" t="s">
        <v>275</v>
      </c>
      <c r="BM217"/>
      <c r="BP217" s="8"/>
      <c r="BQ217" t="s">
        <v>230</v>
      </c>
      <c r="BR217" t="s">
        <v>230</v>
      </c>
      <c r="BU217" t="s">
        <v>317</v>
      </c>
      <c r="BV217" t="s">
        <v>236</v>
      </c>
      <c r="BW217" t="s">
        <v>232</v>
      </c>
      <c r="BX217" t="s">
        <v>284</v>
      </c>
      <c r="BY217" t="s">
        <v>257</v>
      </c>
      <c r="BZ217">
        <v>0.52500000000000002</v>
      </c>
      <c r="CA217" t="s">
        <v>372</v>
      </c>
      <c r="CF217" t="s">
        <v>257</v>
      </c>
      <c r="CG217">
        <v>0.52800000000000002</v>
      </c>
      <c r="CH217" t="s">
        <v>257</v>
      </c>
      <c r="CI217">
        <v>0.60499999999999998</v>
      </c>
      <c r="CK217"/>
      <c r="CL217"/>
      <c r="CM217"/>
      <c r="CS217" s="8"/>
      <c r="CW217" t="s">
        <v>227</v>
      </c>
      <c r="CX217" t="s">
        <v>257</v>
      </c>
      <c r="CY217" t="s">
        <v>231</v>
      </c>
      <c r="CZ217" t="s">
        <v>220</v>
      </c>
      <c r="DA217" t="s">
        <v>220</v>
      </c>
      <c r="DB217" t="s">
        <v>220</v>
      </c>
      <c r="DC217"/>
      <c r="DD217"/>
      <c r="DE217"/>
      <c r="DF217"/>
      <c r="DG217"/>
      <c r="DH217" s="323"/>
      <c r="DI217" s="323"/>
      <c r="DJ217" s="323"/>
      <c r="DL217" t="s">
        <v>257</v>
      </c>
      <c r="DM217" t="s">
        <v>257</v>
      </c>
      <c r="DN217" t="s">
        <v>257</v>
      </c>
      <c r="DO217" t="s">
        <v>227</v>
      </c>
      <c r="DP217" t="s">
        <v>220</v>
      </c>
      <c r="DS217" s="309">
        <v>85.022999999999996</v>
      </c>
      <c r="DU217" s="309">
        <v>398.01100000000002</v>
      </c>
      <c r="DW217"/>
      <c r="DX217" t="s">
        <v>235</v>
      </c>
      <c r="DY217"/>
      <c r="DZ217" t="s">
        <v>235</v>
      </c>
      <c r="EA217"/>
      <c r="EB217"/>
      <c r="ED217" s="410"/>
      <c r="EE217" s="1"/>
      <c r="EG217" s="410"/>
      <c r="EI217" s="410"/>
      <c r="EK217" s="1"/>
      <c r="EM217"/>
      <c r="EQ217" s="344"/>
      <c r="EU217" s="344"/>
      <c r="EW217" s="409"/>
      <c r="EY217" s="1"/>
      <c r="FA217">
        <v>73.510000000000005</v>
      </c>
      <c r="FB217" t="s">
        <v>225</v>
      </c>
      <c r="FC217" s="7">
        <v>81.264337656720357</v>
      </c>
      <c r="FD217" s="357" t="s">
        <v>236</v>
      </c>
      <c r="FE217" s="8">
        <v>91.6431481976648</v>
      </c>
      <c r="FF217" t="s">
        <v>237</v>
      </c>
      <c r="FH217" s="9">
        <v>23.762930619276247</v>
      </c>
      <c r="FI217" s="9" t="s">
        <v>225</v>
      </c>
      <c r="FK217" t="s">
        <v>235</v>
      </c>
      <c r="FL217">
        <v>82.6</v>
      </c>
      <c r="FM217">
        <v>174.34118758257091</v>
      </c>
      <c r="FN217" s="419" t="s">
        <v>237</v>
      </c>
      <c r="FV217" s="8"/>
      <c r="FW217" s="8"/>
      <c r="FX217" s="8"/>
      <c r="GC217" s="7">
        <v>2.5000000000000001E-3</v>
      </c>
      <c r="GH217" s="7"/>
      <c r="GI217" s="441" t="s">
        <v>395</v>
      </c>
      <c r="GJ217" s="441" t="s">
        <v>395</v>
      </c>
      <c r="GK217" s="441" t="s">
        <v>395</v>
      </c>
      <c r="GL217" s="441" t="s">
        <v>395</v>
      </c>
      <c r="GM217" s="452" t="s">
        <v>230</v>
      </c>
      <c r="GN217" s="6" t="s">
        <v>395</v>
      </c>
      <c r="GO217" s="6" t="s">
        <v>395</v>
      </c>
      <c r="GP217" s="6" t="s">
        <v>395</v>
      </c>
      <c r="GQ217" s="6" t="s">
        <v>395</v>
      </c>
      <c r="GR217" s="6" t="s">
        <v>230</v>
      </c>
      <c r="GU217" t="s">
        <v>365</v>
      </c>
      <c r="GV217" t="s">
        <v>236</v>
      </c>
      <c r="GW217" t="s">
        <v>359</v>
      </c>
      <c r="GX217" t="s">
        <v>225</v>
      </c>
      <c r="GY217" t="s">
        <v>245</v>
      </c>
      <c r="HE217" t="s">
        <v>384</v>
      </c>
      <c r="HF217" t="s">
        <v>223</v>
      </c>
      <c r="HG217" t="s">
        <v>231</v>
      </c>
      <c r="HH217" t="s">
        <v>223</v>
      </c>
      <c r="HI217" t="s">
        <v>247</v>
      </c>
      <c r="HJ217" t="s">
        <v>223</v>
      </c>
      <c r="HK217" t="s">
        <v>248</v>
      </c>
      <c r="HO217" t="s">
        <v>231</v>
      </c>
      <c r="HP217" t="s">
        <v>223</v>
      </c>
      <c r="HQ217" t="s">
        <v>231</v>
      </c>
      <c r="HR217" t="s">
        <v>223</v>
      </c>
      <c r="HU217" t="s">
        <v>231</v>
      </c>
      <c r="HV217" t="s">
        <v>223</v>
      </c>
      <c r="HW217" t="s">
        <v>246</v>
      </c>
      <c r="HX217" t="s">
        <v>236</v>
      </c>
      <c r="IA217" t="s">
        <v>231</v>
      </c>
      <c r="IB217" t="s">
        <v>250</v>
      </c>
      <c r="IC217" t="s">
        <v>395</v>
      </c>
      <c r="ID217" t="s">
        <v>395</v>
      </c>
      <c r="IE217" t="s">
        <v>395</v>
      </c>
      <c r="IF217" t="s">
        <v>395</v>
      </c>
      <c r="IH217" t="s">
        <v>235</v>
      </c>
    </row>
    <row r="218" spans="1:242" x14ac:dyDescent="0.35">
      <c r="A218" s="310" t="s">
        <v>1386</v>
      </c>
      <c r="B218" s="313" t="s">
        <v>1387</v>
      </c>
      <c r="C218" s="310" t="s">
        <v>1388</v>
      </c>
      <c r="D218" s="316"/>
      <c r="F218" t="s">
        <v>1389</v>
      </c>
      <c r="I218" s="310" t="s">
        <v>1390</v>
      </c>
      <c r="M218" s="313"/>
      <c r="O218"/>
      <c r="P218" s="381"/>
      <c r="Q218"/>
      <c r="T218" s="8"/>
      <c r="U218"/>
      <c r="V218" s="313"/>
      <c r="W218"/>
      <c r="X218"/>
      <c r="Z218"/>
      <c r="AB218"/>
      <c r="AD218" s="8" t="s">
        <v>230</v>
      </c>
      <c r="AF218" s="8" t="s">
        <v>230</v>
      </c>
      <c r="AG218"/>
      <c r="AH218"/>
      <c r="AI218"/>
      <c r="AJ218" t="s">
        <v>221</v>
      </c>
      <c r="AK218">
        <v>0.05</v>
      </c>
      <c r="AL218">
        <v>0.52500000000000002</v>
      </c>
      <c r="AM218" s="442" t="s">
        <v>414</v>
      </c>
      <c r="AN218" t="s">
        <v>236</v>
      </c>
      <c r="AO218" t="s">
        <v>221</v>
      </c>
      <c r="AP218" t="s">
        <v>225</v>
      </c>
      <c r="AQ218" t="s">
        <v>221</v>
      </c>
      <c r="AR218" t="s">
        <v>225</v>
      </c>
      <c r="AS218" t="s">
        <v>221</v>
      </c>
      <c r="AT218" t="s">
        <v>223</v>
      </c>
      <c r="AU218" t="s">
        <v>220</v>
      </c>
      <c r="AV218"/>
      <c r="AW218" s="313" t="s">
        <v>220</v>
      </c>
      <c r="AX218" t="s">
        <v>226</v>
      </c>
      <c r="AY218" s="313" t="s">
        <v>220</v>
      </c>
      <c r="AZ218" s="313">
        <v>0.33100000000000002</v>
      </c>
      <c r="BA218" s="3" t="s">
        <v>415</v>
      </c>
      <c r="BB218" s="313" t="s">
        <v>220</v>
      </c>
      <c r="BC218">
        <v>0.22</v>
      </c>
      <c r="BD218" t="s">
        <v>220</v>
      </c>
      <c r="BE218">
        <v>0.20799999999999999</v>
      </c>
      <c r="BF218" s="2" t="s">
        <v>220</v>
      </c>
      <c r="BG218" s="3" t="s">
        <v>416</v>
      </c>
      <c r="BH218" s="2" t="s">
        <v>274</v>
      </c>
      <c r="BI218" s="2" t="s">
        <v>275</v>
      </c>
      <c r="BM218"/>
      <c r="BP218" s="8"/>
      <c r="BQ218" t="s">
        <v>230</v>
      </c>
      <c r="BR218" t="s">
        <v>230</v>
      </c>
      <c r="BU218" t="s">
        <v>231</v>
      </c>
      <c r="BV218" t="s">
        <v>225</v>
      </c>
      <c r="BW218" t="s">
        <v>232</v>
      </c>
      <c r="BX218" t="s">
        <v>276</v>
      </c>
      <c r="BY218" t="s">
        <v>257</v>
      </c>
      <c r="BZ218">
        <v>0.51900000000000002</v>
      </c>
      <c r="CA218" t="s">
        <v>234</v>
      </c>
      <c r="CF218" t="s">
        <v>220</v>
      </c>
      <c r="CG218">
        <v>0.38700000000000001</v>
      </c>
      <c r="CH218" t="s">
        <v>220</v>
      </c>
      <c r="CI218">
        <v>0.36499999999999999</v>
      </c>
      <c r="CK218"/>
      <c r="CL218"/>
      <c r="CM218"/>
      <c r="CS218" s="8"/>
      <c r="CW218" t="s">
        <v>227</v>
      </c>
      <c r="CX218" t="s">
        <v>257</v>
      </c>
      <c r="CY218" t="s">
        <v>231</v>
      </c>
      <c r="CZ218" t="s">
        <v>220</v>
      </c>
      <c r="DA218" t="s">
        <v>220</v>
      </c>
      <c r="DB218" t="s">
        <v>220</v>
      </c>
      <c r="DC218"/>
      <c r="DD218"/>
      <c r="DE218"/>
      <c r="DF218"/>
      <c r="DG218"/>
      <c r="DH218" s="323"/>
      <c r="DI218" s="323"/>
      <c r="DJ218" s="323"/>
      <c r="DL218" t="s">
        <v>257</v>
      </c>
      <c r="DM218" t="s">
        <v>220</v>
      </c>
      <c r="DN218" t="s">
        <v>257</v>
      </c>
      <c r="DO218" t="s">
        <v>227</v>
      </c>
      <c r="DP218" t="s">
        <v>220</v>
      </c>
      <c r="DS218" s="309">
        <v>123.785</v>
      </c>
      <c r="DU218" s="309">
        <v>337.12700000000001</v>
      </c>
      <c r="DW218"/>
      <c r="DX218" t="s">
        <v>235</v>
      </c>
      <c r="DY218"/>
      <c r="DZ218" t="s">
        <v>235</v>
      </c>
      <c r="EA218"/>
      <c r="EB218"/>
      <c r="ED218" s="410"/>
      <c r="EE218" s="1"/>
      <c r="EG218" s="410"/>
      <c r="EI218" s="410"/>
      <c r="EK218" s="1"/>
      <c r="EM218"/>
      <c r="EQ218" s="344"/>
      <c r="EU218" s="344"/>
      <c r="EW218" s="409"/>
      <c r="EY218" s="1"/>
      <c r="FA218">
        <v>70.48</v>
      </c>
      <c r="FB218" t="s">
        <v>225</v>
      </c>
      <c r="FC218" s="7">
        <v>101.67168004663768</v>
      </c>
      <c r="FD218" s="357" t="s">
        <v>225</v>
      </c>
      <c r="FE218" s="8">
        <v>167.57143933608268</v>
      </c>
      <c r="FF218" t="s">
        <v>237</v>
      </c>
      <c r="FH218" s="9">
        <v>44.946926526279455</v>
      </c>
      <c r="FI218" s="9" t="s">
        <v>223</v>
      </c>
      <c r="FK218" t="s">
        <v>235</v>
      </c>
      <c r="FL218">
        <v>68.900000000000006</v>
      </c>
      <c r="FM218">
        <v>432.4142525098647</v>
      </c>
      <c r="FN218" s="5" t="s">
        <v>237</v>
      </c>
      <c r="FP218" s="6">
        <v>6.8900000000000006</v>
      </c>
      <c r="FQ218" t="s">
        <v>239</v>
      </c>
      <c r="FS218" t="s">
        <v>240</v>
      </c>
      <c r="FU218" s="8">
        <v>1</v>
      </c>
      <c r="FV218" s="8">
        <v>10</v>
      </c>
      <c r="FW218" s="8">
        <v>10</v>
      </c>
      <c r="FX218" s="8">
        <v>10</v>
      </c>
      <c r="FY218" s="8">
        <v>3</v>
      </c>
      <c r="FZ218">
        <f t="shared" si="3"/>
        <v>3000</v>
      </c>
      <c r="GA218" s="7" t="s">
        <v>303</v>
      </c>
      <c r="GB218" s="7" t="s">
        <v>303</v>
      </c>
      <c r="GC218" s="6">
        <v>9</v>
      </c>
      <c r="GD218" s="348" t="s">
        <v>242</v>
      </c>
      <c r="GF218" s="6">
        <v>2.296666666666667E-2</v>
      </c>
      <c r="GH218" s="7"/>
      <c r="GI218" s="441">
        <v>0.153</v>
      </c>
      <c r="GJ218" s="441">
        <v>0.28699999999999998</v>
      </c>
      <c r="GK218" s="441">
        <v>0.45900000000000002</v>
      </c>
      <c r="GL218" s="441">
        <v>1.1479999999999999</v>
      </c>
      <c r="GM218" s="452" t="s">
        <v>262</v>
      </c>
      <c r="GN218" s="6">
        <v>0.06</v>
      </c>
      <c r="GO218" s="6">
        <v>0.1125</v>
      </c>
      <c r="GP218" s="6">
        <v>0.18</v>
      </c>
      <c r="GQ218" s="6">
        <v>0.45</v>
      </c>
      <c r="GR218" s="6" t="s">
        <v>230</v>
      </c>
      <c r="GU218" t="s">
        <v>365</v>
      </c>
      <c r="GV218" t="s">
        <v>236</v>
      </c>
      <c r="GW218" t="s">
        <v>244</v>
      </c>
      <c r="GX218" t="s">
        <v>236</v>
      </c>
      <c r="GY218" t="s">
        <v>245</v>
      </c>
      <c r="HE218" t="s">
        <v>384</v>
      </c>
      <c r="HF218" t="s">
        <v>223</v>
      </c>
      <c r="HG218" t="s">
        <v>231</v>
      </c>
      <c r="HH218" t="s">
        <v>223</v>
      </c>
      <c r="HI218" t="s">
        <v>247</v>
      </c>
      <c r="HJ218" t="s">
        <v>223</v>
      </c>
      <c r="HK218" t="s">
        <v>248</v>
      </c>
      <c r="HO218" t="s">
        <v>231</v>
      </c>
      <c r="HP218" t="s">
        <v>223</v>
      </c>
      <c r="HQ218" t="s">
        <v>231</v>
      </c>
      <c r="HR218" t="s">
        <v>223</v>
      </c>
      <c r="HU218" t="s">
        <v>231</v>
      </c>
      <c r="HV218" t="s">
        <v>223</v>
      </c>
      <c r="HW218" t="s">
        <v>246</v>
      </c>
      <c r="HX218" t="s">
        <v>236</v>
      </c>
      <c r="IA218" t="s">
        <v>231</v>
      </c>
      <c r="IB218" t="s">
        <v>250</v>
      </c>
      <c r="IC218">
        <v>0.153</v>
      </c>
      <c r="ID218">
        <v>0.28699999999999998</v>
      </c>
      <c r="IE218">
        <v>0.45900000000000002</v>
      </c>
      <c r="IF218">
        <v>1.1479999999999999</v>
      </c>
      <c r="IH218" t="s">
        <v>267</v>
      </c>
    </row>
    <row r="219" spans="1:242" x14ac:dyDescent="0.35">
      <c r="A219" s="310" t="s">
        <v>1391</v>
      </c>
      <c r="B219" s="313" t="s">
        <v>1392</v>
      </c>
      <c r="C219" s="310" t="s">
        <v>1393</v>
      </c>
      <c r="D219" s="316"/>
      <c r="F219" t="s">
        <v>1394</v>
      </c>
      <c r="I219" s="310" t="s">
        <v>1395</v>
      </c>
      <c r="M219" s="313"/>
      <c r="O219"/>
      <c r="P219" s="381"/>
      <c r="Q219"/>
      <c r="T219" s="8"/>
      <c r="U219" t="s">
        <v>221</v>
      </c>
      <c r="V219" s="313"/>
      <c r="W219" t="s">
        <v>220</v>
      </c>
      <c r="X219" t="s">
        <v>220</v>
      </c>
      <c r="Z219" t="s">
        <v>220</v>
      </c>
      <c r="AB219"/>
      <c r="AD219" s="8" t="s">
        <v>222</v>
      </c>
      <c r="AF219" s="8" t="s">
        <v>222</v>
      </c>
      <c r="AG219"/>
      <c r="AH219"/>
      <c r="AI219"/>
      <c r="AJ219" t="s">
        <v>221</v>
      </c>
      <c r="AK219">
        <v>0</v>
      </c>
      <c r="AL219">
        <v>1</v>
      </c>
      <c r="AM219" t="s">
        <v>414</v>
      </c>
      <c r="AN219" t="s">
        <v>236</v>
      </c>
      <c r="AO219" t="s">
        <v>224</v>
      </c>
      <c r="AP219" t="s">
        <v>225</v>
      </c>
      <c r="AQ219" t="s">
        <v>221</v>
      </c>
      <c r="AR219" t="s">
        <v>225</v>
      </c>
      <c r="AS219" t="s">
        <v>221</v>
      </c>
      <c r="AT219"/>
      <c r="AU219" t="s">
        <v>220</v>
      </c>
      <c r="AV219"/>
      <c r="AW219" s="313" t="s">
        <v>220</v>
      </c>
      <c r="AX219" t="s">
        <v>226</v>
      </c>
      <c r="AY219" s="313" t="s">
        <v>220</v>
      </c>
      <c r="AZ219" s="313">
        <v>0.313</v>
      </c>
      <c r="BB219" s="313" t="s">
        <v>220</v>
      </c>
      <c r="BC219">
        <v>0.17699999999999999</v>
      </c>
      <c r="BD219" t="s">
        <v>220</v>
      </c>
      <c r="BE219">
        <v>0.39900000000000002</v>
      </c>
      <c r="BF219" s="2" t="s">
        <v>220</v>
      </c>
      <c r="BH219" s="2" t="s">
        <v>228</v>
      </c>
      <c r="BI219" s="2" t="s">
        <v>229</v>
      </c>
      <c r="BM219"/>
      <c r="BP219" s="8"/>
      <c r="BQ219" t="s">
        <v>230</v>
      </c>
      <c r="BR219" t="s">
        <v>230</v>
      </c>
      <c r="BU219" t="s">
        <v>231</v>
      </c>
      <c r="BV219" t="s">
        <v>223</v>
      </c>
      <c r="BW219" t="s">
        <v>232</v>
      </c>
      <c r="BX219" t="s">
        <v>284</v>
      </c>
      <c r="BY219" t="s">
        <v>257</v>
      </c>
      <c r="BZ219">
        <v>0.71599999999999997</v>
      </c>
      <c r="CA219" t="s">
        <v>372</v>
      </c>
      <c r="CF219" t="s">
        <v>257</v>
      </c>
      <c r="CG219">
        <v>0.69899999999999995</v>
      </c>
      <c r="CH219" t="s">
        <v>227</v>
      </c>
      <c r="CI219">
        <v>0.63700000000000001</v>
      </c>
      <c r="CK219"/>
      <c r="CL219"/>
      <c r="CM219"/>
      <c r="CS219" s="8"/>
      <c r="CW219" t="s">
        <v>227</v>
      </c>
      <c r="CX219" t="s">
        <v>227</v>
      </c>
      <c r="CY219" t="s">
        <v>231</v>
      </c>
      <c r="CZ219" t="s">
        <v>257</v>
      </c>
      <c r="DA219" t="s">
        <v>257</v>
      </c>
      <c r="DB219" t="s">
        <v>227</v>
      </c>
      <c r="DC219"/>
      <c r="DD219"/>
      <c r="DE219"/>
      <c r="DF219"/>
      <c r="DG219"/>
      <c r="DH219" s="323"/>
      <c r="DI219" s="323"/>
      <c r="DJ219" s="323"/>
      <c r="DL219" t="s">
        <v>257</v>
      </c>
      <c r="DM219" t="s">
        <v>257</v>
      </c>
      <c r="DN219" t="s">
        <v>227</v>
      </c>
      <c r="DO219" t="s">
        <v>220</v>
      </c>
      <c r="DP219" t="s">
        <v>220</v>
      </c>
      <c r="DS219" s="309">
        <v>271.512</v>
      </c>
      <c r="DU219" s="309">
        <v>191.92</v>
      </c>
      <c r="DW219">
        <v>236</v>
      </c>
      <c r="DX219" t="s">
        <v>238</v>
      </c>
      <c r="DY219">
        <v>1450</v>
      </c>
      <c r="DZ219" t="s">
        <v>238</v>
      </c>
      <c r="EA219"/>
      <c r="EB219"/>
      <c r="ED219" s="410"/>
      <c r="EE219" s="1"/>
      <c r="EG219" s="410"/>
      <c r="EI219" s="410"/>
      <c r="EK219" s="1"/>
      <c r="EM219"/>
      <c r="EQ219" s="344"/>
      <c r="EU219" s="344"/>
      <c r="EW219" s="409"/>
      <c r="EY219" s="1"/>
      <c r="FA219">
        <v>51.26</v>
      </c>
      <c r="FB219" t="s">
        <v>236</v>
      </c>
      <c r="FC219" s="7">
        <v>104.71285480508998</v>
      </c>
      <c r="FD219" s="357" t="s">
        <v>225</v>
      </c>
      <c r="FE219" s="8">
        <v>142.16739313080052</v>
      </c>
      <c r="FF219" t="s">
        <v>237</v>
      </c>
      <c r="FH219" s="9">
        <v>47.907113000307447</v>
      </c>
      <c r="FI219" s="9" t="s">
        <v>225</v>
      </c>
      <c r="FK219" t="s">
        <v>235</v>
      </c>
      <c r="FL219">
        <v>37.299999999999997</v>
      </c>
      <c r="FM219">
        <v>440.5548635065536</v>
      </c>
      <c r="FN219" s="5" t="s">
        <v>237</v>
      </c>
      <c r="FP219" s="6">
        <v>3.7299999999999995</v>
      </c>
      <c r="FQ219" t="s">
        <v>239</v>
      </c>
      <c r="FS219" t="s">
        <v>240</v>
      </c>
      <c r="FU219" s="8">
        <v>1</v>
      </c>
      <c r="FV219" s="8">
        <v>10</v>
      </c>
      <c r="FW219" s="8">
        <v>10</v>
      </c>
      <c r="FX219" s="8">
        <v>10</v>
      </c>
      <c r="FY219" s="8">
        <v>3</v>
      </c>
      <c r="FZ219">
        <f t="shared" si="3"/>
        <v>3000</v>
      </c>
      <c r="GA219" s="7" t="s">
        <v>326</v>
      </c>
      <c r="GB219" s="7" t="s">
        <v>326</v>
      </c>
      <c r="GC219" s="6">
        <v>1.5</v>
      </c>
      <c r="GD219" s="348" t="s">
        <v>242</v>
      </c>
      <c r="GF219" s="6">
        <v>1.2433333333333331E-2</v>
      </c>
      <c r="GH219" s="7"/>
      <c r="GI219" s="441">
        <v>8.3000000000000004E-2</v>
      </c>
      <c r="GJ219" s="441">
        <v>0.155</v>
      </c>
      <c r="GK219" s="441">
        <v>0.249</v>
      </c>
      <c r="GL219" s="441">
        <v>0.622</v>
      </c>
      <c r="GM219" s="452" t="s">
        <v>262</v>
      </c>
      <c r="GN219" s="6">
        <v>0.01</v>
      </c>
      <c r="GO219" s="6">
        <v>1.8749999999999999E-2</v>
      </c>
      <c r="GP219" s="6">
        <v>0.03</v>
      </c>
      <c r="GQ219" s="6">
        <v>7.4999999999999997E-2</v>
      </c>
      <c r="GR219" s="6" t="s">
        <v>230</v>
      </c>
      <c r="GU219" t="s">
        <v>365</v>
      </c>
      <c r="GV219" t="s">
        <v>223</v>
      </c>
      <c r="GW219" t="s">
        <v>359</v>
      </c>
      <c r="GX219" t="s">
        <v>225</v>
      </c>
      <c r="GY219" t="s">
        <v>245</v>
      </c>
      <c r="HE219" t="s">
        <v>384</v>
      </c>
      <c r="HF219" t="s">
        <v>225</v>
      </c>
      <c r="HG219" t="s">
        <v>231</v>
      </c>
      <c r="HH219" t="s">
        <v>223</v>
      </c>
      <c r="HI219" t="s">
        <v>247</v>
      </c>
      <c r="HJ219" t="s">
        <v>223</v>
      </c>
      <c r="HK219" t="s">
        <v>248</v>
      </c>
      <c r="HL219" t="s">
        <v>231</v>
      </c>
      <c r="HM219" t="s">
        <v>231</v>
      </c>
      <c r="HO219" t="s">
        <v>231</v>
      </c>
      <c r="HP219" t="s">
        <v>249</v>
      </c>
      <c r="HQ219" t="s">
        <v>231</v>
      </c>
      <c r="HR219" t="s">
        <v>249</v>
      </c>
      <c r="HU219" t="s">
        <v>231</v>
      </c>
      <c r="HV219" t="s">
        <v>223</v>
      </c>
      <c r="HW219" t="s">
        <v>482</v>
      </c>
      <c r="HX219" t="s">
        <v>236</v>
      </c>
      <c r="IA219" t="s">
        <v>231</v>
      </c>
      <c r="IB219" t="s">
        <v>250</v>
      </c>
      <c r="IC219">
        <v>8.3000000000000004E-2</v>
      </c>
      <c r="ID219">
        <v>0.155</v>
      </c>
      <c r="IE219">
        <v>0.249</v>
      </c>
      <c r="IF219">
        <v>0.622</v>
      </c>
      <c r="IH219" t="s">
        <v>267</v>
      </c>
    </row>
    <row r="220" spans="1:242" hidden="1" x14ac:dyDescent="0.35">
      <c r="A220" s="310" t="s">
        <v>1396</v>
      </c>
      <c r="B220" s="313" t="s">
        <v>1397</v>
      </c>
      <c r="C220" s="310" t="s">
        <v>1398</v>
      </c>
      <c r="D220" s="316"/>
      <c r="F220" t="s">
        <v>1399</v>
      </c>
      <c r="I220" s="310" t="s">
        <v>1400</v>
      </c>
      <c r="M220" s="313"/>
      <c r="O220"/>
      <c r="P220" s="381"/>
      <c r="Q220"/>
      <c r="T220" s="8"/>
      <c r="U220"/>
      <c r="V220" s="313"/>
      <c r="W220"/>
      <c r="X220"/>
      <c r="Z220"/>
      <c r="AB220"/>
      <c r="AD220" s="8" t="s">
        <v>230</v>
      </c>
      <c r="AF220" s="8" t="s">
        <v>230</v>
      </c>
      <c r="AG220"/>
      <c r="AH220"/>
      <c r="AI220"/>
      <c r="AJ220" t="s">
        <v>414</v>
      </c>
      <c r="AK220">
        <v>0.375</v>
      </c>
      <c r="AL220">
        <v>0.1</v>
      </c>
      <c r="AM220" t="s">
        <v>221</v>
      </c>
      <c r="AN220" t="s">
        <v>236</v>
      </c>
      <c r="AO220" t="s">
        <v>224</v>
      </c>
      <c r="AP220" t="s">
        <v>236</v>
      </c>
      <c r="AQ220" t="s">
        <v>414</v>
      </c>
      <c r="AR220" t="s">
        <v>223</v>
      </c>
      <c r="AS220" t="s">
        <v>414</v>
      </c>
      <c r="AT220" t="s">
        <v>225</v>
      </c>
      <c r="AU220" t="s">
        <v>257</v>
      </c>
      <c r="AV220"/>
      <c r="AW220" s="313" t="s">
        <v>220</v>
      </c>
      <c r="AX220" t="s">
        <v>226</v>
      </c>
      <c r="AY220" s="313" t="s">
        <v>257</v>
      </c>
      <c r="AZ220" s="313">
        <v>0.70199999999999996</v>
      </c>
      <c r="BB220" s="313" t="s">
        <v>257</v>
      </c>
      <c r="BC220">
        <v>0.63900000000000001</v>
      </c>
      <c r="BD220" t="s">
        <v>220</v>
      </c>
      <c r="BE220">
        <v>0.38400000000000001</v>
      </c>
      <c r="BF220" s="2" t="s">
        <v>257</v>
      </c>
      <c r="BG220" s="2" t="s">
        <v>230</v>
      </c>
      <c r="BH220" s="2" t="s">
        <v>274</v>
      </c>
      <c r="BI220" s="2" t="s">
        <v>432</v>
      </c>
      <c r="BM220"/>
      <c r="BP220" s="8"/>
      <c r="BQ220" t="s">
        <v>230</v>
      </c>
      <c r="BR220" t="s">
        <v>230</v>
      </c>
      <c r="BU220" t="s">
        <v>317</v>
      </c>
      <c r="BV220" t="s">
        <v>225</v>
      </c>
      <c r="BW220" t="s">
        <v>232</v>
      </c>
      <c r="BX220" t="s">
        <v>276</v>
      </c>
      <c r="BY220" t="s">
        <v>220</v>
      </c>
      <c r="BZ220">
        <v>0.33</v>
      </c>
      <c r="CA220" t="s">
        <v>372</v>
      </c>
      <c r="CF220" t="s">
        <v>220</v>
      </c>
      <c r="CG220">
        <v>0.48</v>
      </c>
      <c r="CH220" t="s">
        <v>257</v>
      </c>
      <c r="CI220">
        <v>0.68400000000000005</v>
      </c>
      <c r="CK220"/>
      <c r="CL220"/>
      <c r="CM220"/>
      <c r="CS220" s="8"/>
      <c r="CW220" t="s">
        <v>227</v>
      </c>
      <c r="CX220" t="s">
        <v>257</v>
      </c>
      <c r="CY220" t="s">
        <v>231</v>
      </c>
      <c r="CZ220" t="s">
        <v>220</v>
      </c>
      <c r="DA220" t="s">
        <v>227</v>
      </c>
      <c r="DB220" t="s">
        <v>220</v>
      </c>
      <c r="DC220"/>
      <c r="DD220"/>
      <c r="DE220"/>
      <c r="DF220"/>
      <c r="DG220"/>
      <c r="DH220" s="323"/>
      <c r="DI220" s="323"/>
      <c r="DJ220" s="323"/>
      <c r="DL220" t="s">
        <v>257</v>
      </c>
      <c r="DM220" t="s">
        <v>257</v>
      </c>
      <c r="DN220" t="s">
        <v>257</v>
      </c>
      <c r="DO220" t="s">
        <v>220</v>
      </c>
      <c r="DP220" t="s">
        <v>220</v>
      </c>
      <c r="DS220" s="309">
        <v>65.849000000000004</v>
      </c>
      <c r="DU220" s="309">
        <v>327.73700000000002</v>
      </c>
      <c r="DW220"/>
      <c r="DX220" t="s">
        <v>235</v>
      </c>
      <c r="DY220"/>
      <c r="DZ220" t="s">
        <v>235</v>
      </c>
      <c r="EA220"/>
      <c r="EB220"/>
      <c r="ED220" s="410"/>
      <c r="EE220" s="1"/>
      <c r="EG220" s="410"/>
      <c r="EI220" s="410"/>
      <c r="EK220" s="1"/>
      <c r="EM220"/>
      <c r="EQ220" s="344"/>
      <c r="EU220" s="344"/>
      <c r="EW220" s="409"/>
      <c r="EY220" s="1"/>
      <c r="FA220">
        <v>66.16</v>
      </c>
      <c r="FB220" t="s">
        <v>236</v>
      </c>
      <c r="FC220" s="7">
        <v>92.555024476343561</v>
      </c>
      <c r="FD220" s="357" t="s">
        <v>236</v>
      </c>
      <c r="FE220" s="8">
        <v>47.599237966725013</v>
      </c>
      <c r="FF220" t="s">
        <v>237</v>
      </c>
      <c r="FH220" s="9">
        <v>90.032643105972298</v>
      </c>
      <c r="FI220" s="9" t="s">
        <v>236</v>
      </c>
      <c r="FK220" t="s">
        <v>235</v>
      </c>
      <c r="FL220">
        <v>96.9</v>
      </c>
      <c r="FM220">
        <v>86.02011127130244</v>
      </c>
      <c r="FN220" s="419" t="s">
        <v>237</v>
      </c>
      <c r="FV220" s="8"/>
      <c r="FW220" s="8"/>
      <c r="FX220" s="8"/>
      <c r="GC220" s="7">
        <v>2.5000000000000001E-3</v>
      </c>
      <c r="GH220" s="7"/>
      <c r="GI220" s="441" t="s">
        <v>395</v>
      </c>
      <c r="GJ220" s="441" t="s">
        <v>395</v>
      </c>
      <c r="GK220" s="441" t="s">
        <v>395</v>
      </c>
      <c r="GL220" s="441" t="s">
        <v>395</v>
      </c>
      <c r="GM220" s="452" t="s">
        <v>230</v>
      </c>
      <c r="GN220" s="6" t="s">
        <v>395</v>
      </c>
      <c r="GO220" s="6" t="s">
        <v>395</v>
      </c>
      <c r="GP220" s="6" t="s">
        <v>395</v>
      </c>
      <c r="GQ220" s="6" t="s">
        <v>395</v>
      </c>
      <c r="GR220" s="6" t="s">
        <v>230</v>
      </c>
      <c r="GU220" t="s">
        <v>365</v>
      </c>
      <c r="GV220" t="s">
        <v>236</v>
      </c>
      <c r="GW220" t="s">
        <v>359</v>
      </c>
      <c r="GX220" t="s">
        <v>223</v>
      </c>
      <c r="GY220" t="s">
        <v>245</v>
      </c>
      <c r="HE220" t="s">
        <v>384</v>
      </c>
      <c r="HF220" t="s">
        <v>225</v>
      </c>
      <c r="HG220" t="s">
        <v>231</v>
      </c>
      <c r="HH220" t="s">
        <v>225</v>
      </c>
      <c r="HI220" t="s">
        <v>247</v>
      </c>
      <c r="HJ220" t="s">
        <v>223</v>
      </c>
      <c r="HK220" t="s">
        <v>266</v>
      </c>
      <c r="HL220" t="s">
        <v>231</v>
      </c>
      <c r="HM220" t="s">
        <v>231</v>
      </c>
      <c r="HO220" t="s">
        <v>231</v>
      </c>
      <c r="HP220" t="s">
        <v>249</v>
      </c>
      <c r="HQ220" t="s">
        <v>231</v>
      </c>
      <c r="HR220" t="s">
        <v>249</v>
      </c>
      <c r="HU220" t="s">
        <v>231</v>
      </c>
      <c r="HV220" t="s">
        <v>223</v>
      </c>
      <c r="HW220" t="s">
        <v>246</v>
      </c>
      <c r="HX220" t="s">
        <v>236</v>
      </c>
      <c r="IA220" t="s">
        <v>231</v>
      </c>
      <c r="IB220" t="s">
        <v>250</v>
      </c>
      <c r="IC220" t="s">
        <v>395</v>
      </c>
      <c r="ID220" t="s">
        <v>395</v>
      </c>
      <c r="IE220" t="s">
        <v>395</v>
      </c>
      <c r="IF220" t="s">
        <v>395</v>
      </c>
      <c r="IH220" t="s">
        <v>235</v>
      </c>
    </row>
    <row r="221" spans="1:242" hidden="1" x14ac:dyDescent="0.35">
      <c r="A221" s="310" t="s">
        <v>1401</v>
      </c>
      <c r="B221" s="313" t="s">
        <v>1402</v>
      </c>
      <c r="C221" s="310" t="s">
        <v>1403</v>
      </c>
      <c r="D221" s="316"/>
      <c r="F221" t="s">
        <v>1404</v>
      </c>
      <c r="I221" s="310" t="s">
        <v>1405</v>
      </c>
      <c r="M221" s="313"/>
      <c r="O221" t="s">
        <v>414</v>
      </c>
      <c r="P221" s="381"/>
      <c r="Q221" t="s">
        <v>414</v>
      </c>
      <c r="T221" s="8"/>
      <c r="U221"/>
      <c r="V221" s="313"/>
      <c r="W221" t="s">
        <v>257</v>
      </c>
      <c r="X221" t="s">
        <v>257</v>
      </c>
      <c r="Z221" t="s">
        <v>257</v>
      </c>
      <c r="AB221" t="s">
        <v>257</v>
      </c>
      <c r="AD221" s="8" t="s">
        <v>257</v>
      </c>
      <c r="AF221" s="8" t="s">
        <v>765</v>
      </c>
      <c r="AG221"/>
      <c r="AH221" t="s">
        <v>766</v>
      </c>
      <c r="AI221"/>
      <c r="AJ221" t="s">
        <v>414</v>
      </c>
      <c r="AK221">
        <v>1</v>
      </c>
      <c r="AL221">
        <v>0</v>
      </c>
      <c r="AM221" t="s">
        <v>414</v>
      </c>
      <c r="AN221" t="s">
        <v>249</v>
      </c>
      <c r="AO221" t="s">
        <v>414</v>
      </c>
      <c r="AP221"/>
      <c r="AQ221" t="s">
        <v>414</v>
      </c>
      <c r="AR221" t="s">
        <v>225</v>
      </c>
      <c r="AS221" t="s">
        <v>414</v>
      </c>
      <c r="AT221" t="s">
        <v>225</v>
      </c>
      <c r="AU221" t="s">
        <v>257</v>
      </c>
      <c r="AV221"/>
      <c r="AW221" s="313" t="s">
        <v>257</v>
      </c>
      <c r="AX221" t="s">
        <v>1406</v>
      </c>
      <c r="AY221" s="313" t="s">
        <v>257</v>
      </c>
      <c r="AZ221" s="313">
        <v>0.94199999999999995</v>
      </c>
      <c r="BB221" s="313" t="s">
        <v>257</v>
      </c>
      <c r="BC221">
        <v>0.90600000000000003</v>
      </c>
      <c r="BD221" t="s">
        <v>257</v>
      </c>
      <c r="BE221">
        <v>0.98899999999999999</v>
      </c>
      <c r="BF221" s="2" t="s">
        <v>257</v>
      </c>
      <c r="BH221" s="2" t="s">
        <v>228</v>
      </c>
      <c r="BI221" s="2" t="s">
        <v>229</v>
      </c>
      <c r="BM221" t="s">
        <v>317</v>
      </c>
      <c r="BO221" t="s">
        <v>257</v>
      </c>
      <c r="BP221" s="8" t="s">
        <v>316</v>
      </c>
      <c r="BQ221" t="s">
        <v>230</v>
      </c>
      <c r="BR221" t="s">
        <v>709</v>
      </c>
      <c r="BS221" t="s">
        <v>320</v>
      </c>
      <c r="BU221" t="s">
        <v>317</v>
      </c>
      <c r="BV221" t="s">
        <v>249</v>
      </c>
      <c r="BW221" t="s">
        <v>321</v>
      </c>
      <c r="BX221" t="s">
        <v>256</v>
      </c>
      <c r="BY221" t="s">
        <v>257</v>
      </c>
      <c r="BZ221">
        <v>0.81699999999999995</v>
      </c>
      <c r="CA221" t="s">
        <v>372</v>
      </c>
      <c r="CF221" t="s">
        <v>257</v>
      </c>
      <c r="CG221">
        <v>0.93</v>
      </c>
      <c r="CH221" t="s">
        <v>257</v>
      </c>
      <c r="CI221">
        <v>0.996</v>
      </c>
      <c r="CK221"/>
      <c r="CL221" t="s">
        <v>257</v>
      </c>
      <c r="CM221"/>
      <c r="CN221" s="2" t="s">
        <v>766</v>
      </c>
      <c r="CS221" s="8"/>
      <c r="CW221" t="s">
        <v>257</v>
      </c>
      <c r="CX221" t="s">
        <v>257</v>
      </c>
      <c r="CY221" t="s">
        <v>231</v>
      </c>
      <c r="CZ221" t="s">
        <v>257</v>
      </c>
      <c r="DA221" t="s">
        <v>257</v>
      </c>
      <c r="DB221" t="s">
        <v>220</v>
      </c>
      <c r="DC221" t="s">
        <v>257</v>
      </c>
      <c r="DD221" t="s">
        <v>257</v>
      </c>
      <c r="DE221"/>
      <c r="DF221"/>
      <c r="DG221"/>
      <c r="DH221" s="323" t="s">
        <v>1407</v>
      </c>
      <c r="DI221" s="323"/>
      <c r="DJ221" s="323"/>
      <c r="DL221" t="s">
        <v>257</v>
      </c>
      <c r="DM221" t="s">
        <v>257</v>
      </c>
      <c r="DN221" t="s">
        <v>257</v>
      </c>
      <c r="DO221" t="s">
        <v>220</v>
      </c>
      <c r="DP221" t="s">
        <v>257</v>
      </c>
      <c r="DS221" s="309">
        <v>34.905000000000001</v>
      </c>
      <c r="DU221" s="309">
        <v>339.66199999999998</v>
      </c>
      <c r="DW221">
        <v>16.899999999999999</v>
      </c>
      <c r="DX221" t="s">
        <v>238</v>
      </c>
      <c r="DY221">
        <v>117</v>
      </c>
      <c r="DZ221" t="s">
        <v>238</v>
      </c>
      <c r="EA221"/>
      <c r="EB221"/>
      <c r="ED221" s="410"/>
      <c r="EE221" s="1"/>
      <c r="EG221" s="410"/>
      <c r="EI221" s="410"/>
      <c r="EK221" s="1">
        <v>30</v>
      </c>
      <c r="EL221" s="8" t="s">
        <v>259</v>
      </c>
      <c r="EM221"/>
      <c r="EQ221" s="344"/>
      <c r="EU221" s="344"/>
      <c r="EW221" s="409"/>
      <c r="EY221" s="1"/>
      <c r="FA221">
        <v>61.87</v>
      </c>
      <c r="FB221" t="s">
        <v>225</v>
      </c>
      <c r="FC221" s="7">
        <v>140.86399463612574</v>
      </c>
      <c r="FD221" s="357" t="s">
        <v>225</v>
      </c>
      <c r="FE221" s="8">
        <v>183.18925649537439</v>
      </c>
      <c r="FF221" t="s">
        <v>237</v>
      </c>
      <c r="FH221" s="9">
        <v>396.91727400947337</v>
      </c>
      <c r="FI221" s="9" t="s">
        <v>225</v>
      </c>
      <c r="FK221" t="s">
        <v>235</v>
      </c>
      <c r="FL221">
        <v>134</v>
      </c>
      <c r="FM221">
        <v>248.8857318282391</v>
      </c>
      <c r="FN221" s="419" t="s">
        <v>237</v>
      </c>
      <c r="FV221" s="8"/>
      <c r="FW221" s="8"/>
      <c r="FX221" s="8"/>
      <c r="GC221" s="7">
        <v>2.5000000000000001E-3</v>
      </c>
      <c r="GH221" s="7"/>
      <c r="GI221" s="441" t="s">
        <v>395</v>
      </c>
      <c r="GJ221" s="441" t="s">
        <v>395</v>
      </c>
      <c r="GK221" s="441" t="s">
        <v>395</v>
      </c>
      <c r="GL221" s="441" t="s">
        <v>395</v>
      </c>
      <c r="GM221" s="452" t="s">
        <v>230</v>
      </c>
      <c r="GN221" s="6" t="s">
        <v>395</v>
      </c>
      <c r="GO221" s="6" t="s">
        <v>395</v>
      </c>
      <c r="GP221" s="6" t="s">
        <v>395</v>
      </c>
      <c r="GQ221" s="6" t="s">
        <v>395</v>
      </c>
      <c r="GR221" s="6" t="s">
        <v>230</v>
      </c>
      <c r="GU221" t="s">
        <v>365</v>
      </c>
      <c r="GV221" t="s">
        <v>225</v>
      </c>
      <c r="GW221" t="s">
        <v>359</v>
      </c>
      <c r="GX221" t="s">
        <v>223</v>
      </c>
      <c r="GY221" t="s">
        <v>1408</v>
      </c>
      <c r="HE221" t="s">
        <v>247</v>
      </c>
      <c r="HF221" t="s">
        <v>223</v>
      </c>
      <c r="HG221" t="s">
        <v>231</v>
      </c>
      <c r="HH221" t="s">
        <v>223</v>
      </c>
      <c r="HI221" t="s">
        <v>247</v>
      </c>
      <c r="HJ221" t="s">
        <v>223</v>
      </c>
      <c r="HK221" t="s">
        <v>248</v>
      </c>
      <c r="HL221" t="s">
        <v>231</v>
      </c>
      <c r="HM221" t="s">
        <v>231</v>
      </c>
      <c r="HO221" t="s">
        <v>231</v>
      </c>
      <c r="HP221" t="s">
        <v>249</v>
      </c>
      <c r="HQ221" t="s">
        <v>231</v>
      </c>
      <c r="HR221" t="s">
        <v>249</v>
      </c>
      <c r="HS221" t="s">
        <v>231</v>
      </c>
      <c r="HU221" t="s">
        <v>231</v>
      </c>
      <c r="HV221" t="s">
        <v>249</v>
      </c>
      <c r="HW221" t="s">
        <v>563</v>
      </c>
      <c r="HX221" t="s">
        <v>236</v>
      </c>
      <c r="IA221" t="s">
        <v>231</v>
      </c>
      <c r="IB221" t="s">
        <v>250</v>
      </c>
      <c r="IC221" t="s">
        <v>395</v>
      </c>
      <c r="ID221" t="s">
        <v>395</v>
      </c>
      <c r="IE221" t="s">
        <v>395</v>
      </c>
      <c r="IF221" t="s">
        <v>395</v>
      </c>
      <c r="IH221" t="s">
        <v>235</v>
      </c>
    </row>
    <row r="222" spans="1:242" x14ac:dyDescent="0.35">
      <c r="A222" s="310" t="s">
        <v>1409</v>
      </c>
      <c r="B222" s="313" t="s">
        <v>1410</v>
      </c>
      <c r="C222" s="310" t="s">
        <v>1411</v>
      </c>
      <c r="D222" s="316"/>
      <c r="F222" t="s">
        <v>1411</v>
      </c>
      <c r="I222" s="310" t="s">
        <v>1412</v>
      </c>
      <c r="M222" s="313"/>
      <c r="O222"/>
      <c r="P222" s="381"/>
      <c r="Q222"/>
      <c r="T222" s="8"/>
      <c r="U222"/>
      <c r="V222" s="313"/>
      <c r="W222" t="s">
        <v>301</v>
      </c>
      <c r="X222"/>
      <c r="Z222"/>
      <c r="AB222"/>
      <c r="AD222" s="8" t="s">
        <v>230</v>
      </c>
      <c r="AF222" s="8" t="s">
        <v>230</v>
      </c>
      <c r="AG222"/>
      <c r="AH222"/>
      <c r="AI222"/>
      <c r="AJ222" t="s">
        <v>221</v>
      </c>
      <c r="AK222">
        <v>0</v>
      </c>
      <c r="AL222">
        <v>0.82499999999999996</v>
      </c>
      <c r="AM222" t="s">
        <v>221</v>
      </c>
      <c r="AN222" t="s">
        <v>223</v>
      </c>
      <c r="AO222" t="s">
        <v>221</v>
      </c>
      <c r="AP222" t="s">
        <v>223</v>
      </c>
      <c r="AQ222" t="s">
        <v>221</v>
      </c>
      <c r="AR222" t="s">
        <v>225</v>
      </c>
      <c r="AS222" t="s">
        <v>221</v>
      </c>
      <c r="AT222" t="s">
        <v>223</v>
      </c>
      <c r="AU222" t="s">
        <v>272</v>
      </c>
      <c r="AV222"/>
      <c r="AW222" s="313" t="s">
        <v>227</v>
      </c>
      <c r="AX222" t="s">
        <v>226</v>
      </c>
      <c r="AY222" s="313" t="s">
        <v>227</v>
      </c>
      <c r="AZ222" s="313">
        <v>5.45E-2</v>
      </c>
      <c r="BB222" s="313" t="s">
        <v>227</v>
      </c>
      <c r="BC222">
        <v>5.7599999999999998E-2</v>
      </c>
      <c r="BD222" t="s">
        <v>227</v>
      </c>
      <c r="BE222">
        <v>9.5699999999999993E-2</v>
      </c>
      <c r="BF222" s="2" t="s">
        <v>220</v>
      </c>
      <c r="BG222" s="2" t="s">
        <v>273</v>
      </c>
      <c r="BH222" s="2" t="s">
        <v>274</v>
      </c>
      <c r="BI222" s="2" t="s">
        <v>275</v>
      </c>
      <c r="BM222"/>
      <c r="BP222" s="8"/>
      <c r="BQ222" t="s">
        <v>230</v>
      </c>
      <c r="BR222" t="s">
        <v>222</v>
      </c>
      <c r="BU222" t="s">
        <v>231</v>
      </c>
      <c r="BV222" t="s">
        <v>223</v>
      </c>
      <c r="BW222" t="s">
        <v>232</v>
      </c>
      <c r="BX222" t="s">
        <v>276</v>
      </c>
      <c r="BY222" t="s">
        <v>227</v>
      </c>
      <c r="BZ222">
        <v>0.34499999999999997</v>
      </c>
      <c r="CA222" t="s">
        <v>234</v>
      </c>
      <c r="CF222" t="s">
        <v>227</v>
      </c>
      <c r="CG222">
        <v>5.4199999999999998E-2</v>
      </c>
      <c r="CH222" t="s">
        <v>227</v>
      </c>
      <c r="CI222">
        <v>6.2600000000000003E-2</v>
      </c>
      <c r="CK222"/>
      <c r="CL222"/>
      <c r="CM222"/>
      <c r="CS222" s="8"/>
      <c r="CW222" t="s">
        <v>227</v>
      </c>
      <c r="CX222" t="s">
        <v>227</v>
      </c>
      <c r="CY222" t="s">
        <v>231</v>
      </c>
      <c r="CZ222" t="s">
        <v>227</v>
      </c>
      <c r="DA222" t="s">
        <v>227</v>
      </c>
      <c r="DB222" t="s">
        <v>227</v>
      </c>
      <c r="DC222"/>
      <c r="DD222"/>
      <c r="DE222"/>
      <c r="DF222"/>
      <c r="DG222"/>
      <c r="DH222" s="323"/>
      <c r="DI222" s="323"/>
      <c r="DJ222" s="323"/>
      <c r="DL222" t="s">
        <v>227</v>
      </c>
      <c r="DM222" t="s">
        <v>227</v>
      </c>
      <c r="DN222" t="s">
        <v>227</v>
      </c>
      <c r="DO222" t="s">
        <v>227</v>
      </c>
      <c r="DP222" t="s">
        <v>227</v>
      </c>
      <c r="DS222" s="338">
        <v>945.21100000000001</v>
      </c>
      <c r="DT222" s="8" t="s">
        <v>394</v>
      </c>
      <c r="DU222" s="338">
        <v>568.44500000000005</v>
      </c>
      <c r="DV222" s="8" t="s">
        <v>394</v>
      </c>
      <c r="DW222"/>
      <c r="DX222" t="s">
        <v>235</v>
      </c>
      <c r="DY222"/>
      <c r="DZ222" t="s">
        <v>235</v>
      </c>
      <c r="EA222"/>
      <c r="EB222"/>
      <c r="ED222" s="410"/>
      <c r="EE222" s="1"/>
      <c r="EG222" s="410"/>
      <c r="EI222" s="410"/>
      <c r="EK222" s="1"/>
      <c r="EM222"/>
      <c r="EQ222" s="344"/>
      <c r="EU222" s="344"/>
      <c r="EW222" s="409"/>
      <c r="EY222" s="1"/>
      <c r="FA222">
        <v>16.32</v>
      </c>
      <c r="FB222" t="s">
        <v>225</v>
      </c>
      <c r="FC222" s="7">
        <v>70.307231988383393</v>
      </c>
      <c r="FD222" s="357" t="s">
        <v>236</v>
      </c>
      <c r="FE222" s="8">
        <v>2.6509406210930764</v>
      </c>
      <c r="FF222" t="s">
        <v>237</v>
      </c>
      <c r="FH222" s="9">
        <v>188.06154513503284</v>
      </c>
      <c r="FI222" s="9" t="s">
        <v>236</v>
      </c>
      <c r="FK222" t="s">
        <v>235</v>
      </c>
      <c r="FL222">
        <v>36.6</v>
      </c>
      <c r="FM222">
        <v>8.0315616992265682</v>
      </c>
      <c r="FN222" s="5" t="s">
        <v>237</v>
      </c>
      <c r="FP222" s="6">
        <v>0.40157808496132841</v>
      </c>
      <c r="FQ222" t="s">
        <v>277</v>
      </c>
      <c r="FS222" t="s">
        <v>240</v>
      </c>
      <c r="FU222" s="8">
        <v>2</v>
      </c>
      <c r="FV222" s="8">
        <v>10</v>
      </c>
      <c r="FW222" s="8">
        <v>10</v>
      </c>
      <c r="FX222" s="8">
        <v>10</v>
      </c>
      <c r="FY222" s="8">
        <v>3</v>
      </c>
      <c r="FZ222">
        <f t="shared" si="3"/>
        <v>6000</v>
      </c>
      <c r="GA222" s="7" t="s">
        <v>241</v>
      </c>
      <c r="GB222" s="7" t="s">
        <v>241</v>
      </c>
      <c r="GC222" s="6">
        <v>30</v>
      </c>
      <c r="GD222" s="348" t="s">
        <v>242</v>
      </c>
      <c r="GF222" s="6">
        <v>4.4182343684884603E-3</v>
      </c>
      <c r="GH222" s="7"/>
      <c r="GI222" s="445"/>
      <c r="GJ222" s="445"/>
      <c r="GK222" s="445"/>
      <c r="GL222" s="445"/>
      <c r="GM222" s="453"/>
      <c r="GN222" s="448"/>
      <c r="GO222" s="448"/>
      <c r="GP222" s="448"/>
      <c r="GQ222" s="448"/>
      <c r="GR222" s="6" t="s">
        <v>230</v>
      </c>
      <c r="GU222" t="s">
        <v>243</v>
      </c>
      <c r="GV222" t="s">
        <v>236</v>
      </c>
      <c r="GW222" t="s">
        <v>244</v>
      </c>
      <c r="GX222" t="s">
        <v>236</v>
      </c>
      <c r="GY222" t="s">
        <v>245</v>
      </c>
      <c r="HE222" t="s">
        <v>246</v>
      </c>
      <c r="HF222" t="s">
        <v>236</v>
      </c>
      <c r="HG222" t="s">
        <v>231</v>
      </c>
      <c r="HH222" t="s">
        <v>236</v>
      </c>
      <c r="HI222" t="s">
        <v>247</v>
      </c>
      <c r="HJ222" t="s">
        <v>223</v>
      </c>
      <c r="HK222" t="s">
        <v>266</v>
      </c>
      <c r="HO222" t="s">
        <v>231</v>
      </c>
      <c r="HP222" t="s">
        <v>223</v>
      </c>
      <c r="HQ222" t="s">
        <v>231</v>
      </c>
      <c r="HR222" t="s">
        <v>223</v>
      </c>
      <c r="HU222" t="s">
        <v>231</v>
      </c>
      <c r="HV222" t="s">
        <v>223</v>
      </c>
      <c r="HW222" t="s">
        <v>246</v>
      </c>
      <c r="HX222" t="s">
        <v>236</v>
      </c>
      <c r="IA222" t="s">
        <v>231</v>
      </c>
      <c r="IB222" t="s">
        <v>250</v>
      </c>
      <c r="IC222" s="447"/>
      <c r="ID222" s="447"/>
      <c r="IE222" s="447"/>
      <c r="IF222" s="447"/>
      <c r="IH222" t="s">
        <v>235</v>
      </c>
    </row>
    <row r="223" spans="1:242" x14ac:dyDescent="0.35">
      <c r="A223" s="310" t="s">
        <v>1413</v>
      </c>
      <c r="B223" s="313" t="s">
        <v>1414</v>
      </c>
      <c r="C223" s="310" t="s">
        <v>1415</v>
      </c>
      <c r="D223" s="316"/>
      <c r="F223" t="s">
        <v>1416</v>
      </c>
      <c r="I223" s="310" t="s">
        <v>1417</v>
      </c>
      <c r="M223" s="313"/>
      <c r="O223"/>
      <c r="P223" s="381"/>
      <c r="Q223"/>
      <c r="T223" s="8"/>
      <c r="U223"/>
      <c r="V223" s="313"/>
      <c r="W223"/>
      <c r="X223"/>
      <c r="Z223"/>
      <c r="AB223"/>
      <c r="AD223" s="8" t="s">
        <v>230</v>
      </c>
      <c r="AF223" s="8" t="s">
        <v>230</v>
      </c>
      <c r="AG223"/>
      <c r="AH223"/>
      <c r="AI223"/>
      <c r="AJ223" t="s">
        <v>221</v>
      </c>
      <c r="AK223">
        <v>0</v>
      </c>
      <c r="AL223">
        <v>0.9</v>
      </c>
      <c r="AM223" t="s">
        <v>221</v>
      </c>
      <c r="AN223" t="s">
        <v>223</v>
      </c>
      <c r="AO223" t="s">
        <v>224</v>
      </c>
      <c r="AP223" t="s">
        <v>223</v>
      </c>
      <c r="AQ223" t="s">
        <v>221</v>
      </c>
      <c r="AR223" t="s">
        <v>223</v>
      </c>
      <c r="AS223" t="s">
        <v>221</v>
      </c>
      <c r="AT223" t="s">
        <v>223</v>
      </c>
      <c r="AU223" t="s">
        <v>220</v>
      </c>
      <c r="AV223"/>
      <c r="AW223" s="313" t="s">
        <v>220</v>
      </c>
      <c r="AX223" t="s">
        <v>226</v>
      </c>
      <c r="AY223" s="313" t="s">
        <v>220</v>
      </c>
      <c r="AZ223" s="313">
        <v>0.106</v>
      </c>
      <c r="BB223" s="313" t="s">
        <v>220</v>
      </c>
      <c r="BC223">
        <v>5.5899999999999998E-2</v>
      </c>
      <c r="BD223" t="s">
        <v>227</v>
      </c>
      <c r="BE223">
        <v>9.8400000000000001E-2</v>
      </c>
      <c r="BF223" s="2" t="s">
        <v>220</v>
      </c>
      <c r="BG223" s="2" t="s">
        <v>273</v>
      </c>
      <c r="BH223" s="2" t="s">
        <v>274</v>
      </c>
      <c r="BI223" s="2" t="s">
        <v>275</v>
      </c>
      <c r="BM223"/>
      <c r="BP223" s="8"/>
      <c r="BQ223" t="s">
        <v>230</v>
      </c>
      <c r="BR223" t="s">
        <v>230</v>
      </c>
      <c r="BU223" t="s">
        <v>293</v>
      </c>
      <c r="BV223" t="s">
        <v>236</v>
      </c>
      <c r="BW223" t="s">
        <v>293</v>
      </c>
      <c r="BX223" t="s">
        <v>458</v>
      </c>
      <c r="BY223" t="s">
        <v>220</v>
      </c>
      <c r="BZ223">
        <v>0.27600000000000002</v>
      </c>
      <c r="CA223" t="s">
        <v>234</v>
      </c>
      <c r="CF223" t="s">
        <v>227</v>
      </c>
      <c r="CG223">
        <v>0.29199999999999998</v>
      </c>
      <c r="CH223" t="s">
        <v>227</v>
      </c>
      <c r="CI223">
        <v>0.23599999999999999</v>
      </c>
      <c r="CK223"/>
      <c r="CL223"/>
      <c r="CM223"/>
      <c r="CS223" s="8"/>
      <c r="CW223" t="s">
        <v>220</v>
      </c>
      <c r="CX223" t="s">
        <v>220</v>
      </c>
      <c r="CY223" t="s">
        <v>231</v>
      </c>
      <c r="CZ223" t="s">
        <v>220</v>
      </c>
      <c r="DA223" t="s">
        <v>220</v>
      </c>
      <c r="DB223" t="s">
        <v>220</v>
      </c>
      <c r="DC223"/>
      <c r="DD223"/>
      <c r="DE223"/>
      <c r="DF223"/>
      <c r="DG223"/>
      <c r="DH223" s="323"/>
      <c r="DI223" s="323"/>
      <c r="DJ223" s="323"/>
      <c r="DL223" t="s">
        <v>257</v>
      </c>
      <c r="DM223" t="s">
        <v>220</v>
      </c>
      <c r="DN223" t="s">
        <v>257</v>
      </c>
      <c r="DO223" t="s">
        <v>227</v>
      </c>
      <c r="DP223" t="s">
        <v>227</v>
      </c>
      <c r="DS223" s="309">
        <v>94.837000000000003</v>
      </c>
      <c r="DU223" s="309">
        <v>158.84100000000001</v>
      </c>
      <c r="DW223">
        <v>91</v>
      </c>
      <c r="DX223" t="s">
        <v>238</v>
      </c>
      <c r="DY223">
        <v>41.4</v>
      </c>
      <c r="DZ223" t="s">
        <v>238</v>
      </c>
      <c r="EA223"/>
      <c r="EB223"/>
      <c r="ED223" s="410"/>
      <c r="EE223" s="1"/>
      <c r="EG223" s="410"/>
      <c r="EI223" s="410"/>
      <c r="EK223" s="1"/>
      <c r="EM223"/>
      <c r="EQ223" s="344"/>
      <c r="EU223" s="344"/>
      <c r="EW223" s="409"/>
      <c r="EY223" s="1"/>
      <c r="FA223">
        <v>7.73</v>
      </c>
      <c r="FB223" t="s">
        <v>225</v>
      </c>
      <c r="FC223" s="7">
        <v>66.880575268492464</v>
      </c>
      <c r="FD223" s="357" t="s">
        <v>225</v>
      </c>
      <c r="FE223" s="8">
        <v>41.898647109676901</v>
      </c>
      <c r="FF223" t="s">
        <v>237</v>
      </c>
      <c r="FH223" s="9">
        <v>165.7295686477207</v>
      </c>
      <c r="FI223" s="9" t="s">
        <v>223</v>
      </c>
      <c r="FJ223">
        <v>17.600000000000001</v>
      </c>
      <c r="FK223" t="s">
        <v>238</v>
      </c>
      <c r="FL223">
        <v>63</v>
      </c>
      <c r="FM223">
        <v>179.72148565476604</v>
      </c>
      <c r="FN223" s="5" t="s">
        <v>237</v>
      </c>
      <c r="FP223" s="6">
        <v>1.7600000000000002</v>
      </c>
      <c r="FQ223" t="s">
        <v>450</v>
      </c>
      <c r="FS223" t="s">
        <v>240</v>
      </c>
      <c r="FU223" s="8">
        <v>1</v>
      </c>
      <c r="FV223" s="8">
        <v>10</v>
      </c>
      <c r="FW223" s="8">
        <v>10</v>
      </c>
      <c r="FX223" s="8">
        <v>10</v>
      </c>
      <c r="FY223" s="8">
        <v>3</v>
      </c>
      <c r="FZ223">
        <f t="shared" si="3"/>
        <v>3000</v>
      </c>
      <c r="GA223" s="7" t="s">
        <v>241</v>
      </c>
      <c r="GB223" s="7" t="s">
        <v>241</v>
      </c>
      <c r="GC223" s="6">
        <v>30</v>
      </c>
      <c r="GD223" s="348" t="s">
        <v>242</v>
      </c>
      <c r="GF223" s="6">
        <v>5.8666666666666676E-3</v>
      </c>
      <c r="GH223" s="7"/>
      <c r="GI223" s="445"/>
      <c r="GJ223" s="445"/>
      <c r="GK223" s="445"/>
      <c r="GL223" s="445"/>
      <c r="GM223" s="453"/>
      <c r="GN223" s="6">
        <v>0.2</v>
      </c>
      <c r="GO223" s="6">
        <v>0.375</v>
      </c>
      <c r="GP223" s="6">
        <v>0.6</v>
      </c>
      <c r="GQ223" s="6">
        <v>1.5</v>
      </c>
      <c r="GR223" s="6" t="s">
        <v>230</v>
      </c>
      <c r="GU223" t="s">
        <v>243</v>
      </c>
      <c r="GV223" t="s">
        <v>225</v>
      </c>
      <c r="GW223" t="s">
        <v>244</v>
      </c>
      <c r="GX223" t="s">
        <v>236</v>
      </c>
      <c r="GY223" t="s">
        <v>245</v>
      </c>
      <c r="GZ223" t="s">
        <v>376</v>
      </c>
      <c r="HB223" t="s">
        <v>376</v>
      </c>
      <c r="HE223" t="s">
        <v>247</v>
      </c>
      <c r="HF223" t="s">
        <v>249</v>
      </c>
      <c r="HG223" t="s">
        <v>231</v>
      </c>
      <c r="HH223" t="s">
        <v>223</v>
      </c>
      <c r="HI223" t="s">
        <v>247</v>
      </c>
      <c r="HJ223" t="s">
        <v>249</v>
      </c>
      <c r="HK223" t="s">
        <v>248</v>
      </c>
      <c r="HL223" t="s">
        <v>231</v>
      </c>
      <c r="HM223" t="s">
        <v>231</v>
      </c>
      <c r="HO223" t="s">
        <v>231</v>
      </c>
      <c r="HP223" t="s">
        <v>249</v>
      </c>
      <c r="HQ223" t="s">
        <v>231</v>
      </c>
      <c r="HR223" t="s">
        <v>249</v>
      </c>
      <c r="HU223" t="s">
        <v>231</v>
      </c>
      <c r="HV223" t="s">
        <v>223</v>
      </c>
      <c r="HW223" t="s">
        <v>246</v>
      </c>
      <c r="HX223" t="s">
        <v>236</v>
      </c>
      <c r="IA223" t="s">
        <v>231</v>
      </c>
      <c r="IB223" t="s">
        <v>250</v>
      </c>
      <c r="IC223" s="447"/>
      <c r="ID223" s="447"/>
      <c r="IE223" s="447"/>
      <c r="IF223" s="447"/>
      <c r="IH223" t="s">
        <v>235</v>
      </c>
    </row>
    <row r="224" spans="1:242" ht="159.5" x14ac:dyDescent="0.35">
      <c r="A224" s="310" t="s">
        <v>537</v>
      </c>
      <c r="B224" t="s">
        <v>1418</v>
      </c>
      <c r="C224" s="310" t="s">
        <v>1419</v>
      </c>
      <c r="D224" s="316"/>
      <c r="F224" t="s">
        <v>1420</v>
      </c>
      <c r="I224" s="310" t="s">
        <v>1421</v>
      </c>
      <c r="M224" s="313"/>
      <c r="O224"/>
      <c r="P224" s="381"/>
      <c r="Q224"/>
      <c r="T224" s="8"/>
      <c r="U224"/>
      <c r="V224" s="313"/>
      <c r="W224"/>
      <c r="X224"/>
      <c r="Z224"/>
      <c r="AB224"/>
      <c r="AD224" s="8" t="s">
        <v>230</v>
      </c>
      <c r="AF224" s="8" t="s">
        <v>230</v>
      </c>
      <c r="AG224"/>
      <c r="AH224"/>
      <c r="AI224"/>
      <c r="AJ224" t="s">
        <v>221</v>
      </c>
      <c r="AK224">
        <v>0</v>
      </c>
      <c r="AL224">
        <v>0.6</v>
      </c>
      <c r="AM224" t="s">
        <v>221</v>
      </c>
      <c r="AN224" t="s">
        <v>225</v>
      </c>
      <c r="AO224" t="s">
        <v>221</v>
      </c>
      <c r="AP224" t="s">
        <v>225</v>
      </c>
      <c r="AQ224" t="s">
        <v>221</v>
      </c>
      <c r="AR224" t="s">
        <v>225</v>
      </c>
      <c r="AS224" t="s">
        <v>221</v>
      </c>
      <c r="AT224" t="s">
        <v>225</v>
      </c>
      <c r="AU224" t="s">
        <v>220</v>
      </c>
      <c r="AV224"/>
      <c r="AW224" s="313" t="s">
        <v>220</v>
      </c>
      <c r="AX224" t="s">
        <v>226</v>
      </c>
      <c r="AY224" s="313" t="s">
        <v>220</v>
      </c>
      <c r="AZ224" s="313">
        <v>0.27800000000000002</v>
      </c>
      <c r="BB224" s="313" t="s">
        <v>220</v>
      </c>
      <c r="BC224">
        <v>0.14799999999999999</v>
      </c>
      <c r="BD224" t="s">
        <v>220</v>
      </c>
      <c r="BE224">
        <v>0.16200000000000001</v>
      </c>
      <c r="BF224" s="2" t="s">
        <v>220</v>
      </c>
      <c r="BG224" s="2" t="s">
        <v>273</v>
      </c>
      <c r="BH224" s="2" t="s">
        <v>274</v>
      </c>
      <c r="BI224" s="2" t="s">
        <v>275</v>
      </c>
      <c r="BM224"/>
      <c r="BP224" s="8"/>
      <c r="BQ224" t="s">
        <v>230</v>
      </c>
      <c r="BR224" t="s">
        <v>230</v>
      </c>
      <c r="BU224" t="s">
        <v>231</v>
      </c>
      <c r="BV224" t="s">
        <v>236</v>
      </c>
      <c r="BW224" t="s">
        <v>232</v>
      </c>
      <c r="BX224" t="s">
        <v>276</v>
      </c>
      <c r="BY224" t="s">
        <v>257</v>
      </c>
      <c r="BZ224">
        <v>0.55100000000000005</v>
      </c>
      <c r="CA224" t="s">
        <v>234</v>
      </c>
      <c r="CF224" t="s">
        <v>220</v>
      </c>
      <c r="CG224">
        <v>0.189</v>
      </c>
      <c r="CH224" t="s">
        <v>220</v>
      </c>
      <c r="CI224">
        <v>0.36399999999999999</v>
      </c>
      <c r="CK224"/>
      <c r="CL224"/>
      <c r="CM224"/>
      <c r="CS224" s="8"/>
      <c r="CW224" t="s">
        <v>227</v>
      </c>
      <c r="CX224" t="s">
        <v>257</v>
      </c>
      <c r="CY224" t="s">
        <v>231</v>
      </c>
      <c r="CZ224" t="s">
        <v>220</v>
      </c>
      <c r="DA224" t="s">
        <v>220</v>
      </c>
      <c r="DB224" t="s">
        <v>227</v>
      </c>
      <c r="DC224"/>
      <c r="DD224"/>
      <c r="DE224"/>
      <c r="DF224"/>
      <c r="DG224"/>
      <c r="DH224" s="323"/>
      <c r="DI224" s="323"/>
      <c r="DJ224" s="323"/>
      <c r="DL224" t="s">
        <v>257</v>
      </c>
      <c r="DM224" t="s">
        <v>220</v>
      </c>
      <c r="DN224" t="s">
        <v>227</v>
      </c>
      <c r="DO224" t="s">
        <v>220</v>
      </c>
      <c r="DP224" t="s">
        <v>257</v>
      </c>
      <c r="DS224" s="309">
        <v>110.172</v>
      </c>
      <c r="DU224" s="338">
        <v>1553.971</v>
      </c>
      <c r="DV224" s="8" t="s">
        <v>394</v>
      </c>
      <c r="DW224">
        <v>490</v>
      </c>
      <c r="DX224" t="s">
        <v>238</v>
      </c>
      <c r="DY224">
        <v>428</v>
      </c>
      <c r="DZ224" t="s">
        <v>238</v>
      </c>
      <c r="EA224"/>
      <c r="EB224"/>
      <c r="ED224" s="410"/>
      <c r="EE224" s="1"/>
      <c r="EG224" s="410"/>
      <c r="EI224" s="410"/>
      <c r="EK224" s="1"/>
      <c r="EM224"/>
      <c r="EQ224" s="344"/>
      <c r="EU224" s="344"/>
      <c r="EW224" s="409"/>
      <c r="EY224" s="1"/>
      <c r="FA224">
        <v>10514.78</v>
      </c>
      <c r="FB224" t="s">
        <v>236</v>
      </c>
      <c r="FC224" s="7">
        <v>974.54074176630729</v>
      </c>
      <c r="FD224" s="357" t="s">
        <v>236</v>
      </c>
      <c r="FE224" s="8">
        <v>144277.96231294808</v>
      </c>
      <c r="FF224" t="s">
        <v>237</v>
      </c>
      <c r="FH224" s="9">
        <v>1009.0205237643565</v>
      </c>
      <c r="FI224" s="9" t="s">
        <v>225</v>
      </c>
      <c r="FJ224">
        <v>2310</v>
      </c>
      <c r="FK224" t="s">
        <v>238</v>
      </c>
      <c r="FL224">
        <v>550</v>
      </c>
      <c r="FM224">
        <v>980844.13603090693</v>
      </c>
      <c r="FN224" s="5" t="s">
        <v>237</v>
      </c>
      <c r="FP224" s="6">
        <v>55</v>
      </c>
      <c r="FQ224" t="s">
        <v>239</v>
      </c>
      <c r="FS224" t="s">
        <v>240</v>
      </c>
      <c r="FU224" s="8">
        <v>1</v>
      </c>
      <c r="FV224" s="8">
        <v>10</v>
      </c>
      <c r="FW224" s="8">
        <v>10</v>
      </c>
      <c r="FX224" s="8">
        <v>10</v>
      </c>
      <c r="FY224" s="8">
        <v>3</v>
      </c>
      <c r="FZ224">
        <f t="shared" si="3"/>
        <v>3000</v>
      </c>
      <c r="GA224" s="7" t="s">
        <v>241</v>
      </c>
      <c r="GB224" s="7" t="s">
        <v>241</v>
      </c>
      <c r="GC224" s="6">
        <v>30</v>
      </c>
      <c r="GD224" s="348" t="s">
        <v>242</v>
      </c>
      <c r="GF224" s="6">
        <v>0.18333333333333332</v>
      </c>
      <c r="GH224" s="7"/>
      <c r="GI224" s="441" t="s">
        <v>395</v>
      </c>
      <c r="GJ224" s="441" t="s">
        <v>395</v>
      </c>
      <c r="GK224" s="441" t="s">
        <v>395</v>
      </c>
      <c r="GL224" s="441" t="s">
        <v>395</v>
      </c>
      <c r="GM224" s="461" t="s">
        <v>790</v>
      </c>
      <c r="GN224" s="6">
        <v>0.2</v>
      </c>
      <c r="GO224" s="6">
        <v>0.375</v>
      </c>
      <c r="GP224" s="6">
        <v>0.6</v>
      </c>
      <c r="GQ224" s="6">
        <v>1.5</v>
      </c>
      <c r="GR224" s="461" t="s">
        <v>790</v>
      </c>
      <c r="GU224" t="s">
        <v>365</v>
      </c>
      <c r="GV224" t="s">
        <v>236</v>
      </c>
      <c r="GW224" t="s">
        <v>244</v>
      </c>
      <c r="GX224" t="s">
        <v>236</v>
      </c>
      <c r="GY224" t="s">
        <v>245</v>
      </c>
      <c r="HE224" t="s">
        <v>247</v>
      </c>
      <c r="HF224" t="s">
        <v>223</v>
      </c>
      <c r="HG224" t="s">
        <v>231</v>
      </c>
      <c r="HH224" t="s">
        <v>225</v>
      </c>
      <c r="HI224" t="s">
        <v>247</v>
      </c>
      <c r="HJ224" t="s">
        <v>225</v>
      </c>
      <c r="HK224" t="s">
        <v>568</v>
      </c>
      <c r="HO224" t="s">
        <v>231</v>
      </c>
      <c r="HP224" t="s">
        <v>223</v>
      </c>
      <c r="HQ224" t="s">
        <v>231</v>
      </c>
      <c r="HR224" t="s">
        <v>223</v>
      </c>
      <c r="HU224" t="s">
        <v>231</v>
      </c>
      <c r="HV224" t="s">
        <v>236</v>
      </c>
      <c r="HW224" t="s">
        <v>563</v>
      </c>
      <c r="HX224" t="s">
        <v>236</v>
      </c>
      <c r="IA224" t="s">
        <v>231</v>
      </c>
      <c r="IB224" t="s">
        <v>250</v>
      </c>
      <c r="IC224" t="s">
        <v>395</v>
      </c>
      <c r="ID224" t="s">
        <v>395</v>
      </c>
      <c r="IE224" t="s">
        <v>395</v>
      </c>
      <c r="IF224" t="s">
        <v>395</v>
      </c>
      <c r="IG224" s="459" t="s">
        <v>451</v>
      </c>
      <c r="IH224" t="s">
        <v>235</v>
      </c>
    </row>
    <row r="225" spans="1:242" x14ac:dyDescent="0.35">
      <c r="A225" s="310" t="s">
        <v>1422</v>
      </c>
      <c r="B225" s="313" t="s">
        <v>1423</v>
      </c>
      <c r="C225" s="310" t="s">
        <v>1424</v>
      </c>
      <c r="D225" s="316"/>
      <c r="F225" t="s">
        <v>1425</v>
      </c>
      <c r="I225" s="310" t="s">
        <v>1426</v>
      </c>
      <c r="M225" s="313"/>
      <c r="O225"/>
      <c r="P225" s="381"/>
      <c r="Q225"/>
      <c r="T225" s="8"/>
      <c r="U225"/>
      <c r="V225" s="313"/>
      <c r="W225" t="s">
        <v>301</v>
      </c>
      <c r="X225"/>
      <c r="Z225"/>
      <c r="AB225"/>
      <c r="AD225" s="8" t="s">
        <v>222</v>
      </c>
      <c r="AF225" s="8" t="s">
        <v>230</v>
      </c>
      <c r="AG225"/>
      <c r="AH225"/>
      <c r="AI225"/>
      <c r="AJ225" t="s">
        <v>221</v>
      </c>
      <c r="AK225">
        <v>0.05</v>
      </c>
      <c r="AL225">
        <v>0.45</v>
      </c>
      <c r="AM225" t="s">
        <v>221</v>
      </c>
      <c r="AN225" t="s">
        <v>225</v>
      </c>
      <c r="AO225" t="s">
        <v>221</v>
      </c>
      <c r="AP225" t="s">
        <v>225</v>
      </c>
      <c r="AQ225" t="s">
        <v>414</v>
      </c>
      <c r="AR225" t="s">
        <v>236</v>
      </c>
      <c r="AS225" t="s">
        <v>221</v>
      </c>
      <c r="AT225" t="s">
        <v>225</v>
      </c>
      <c r="AU225" t="s">
        <v>220</v>
      </c>
      <c r="AV225"/>
      <c r="AW225" s="313" t="s">
        <v>220</v>
      </c>
      <c r="AX225" t="s">
        <v>226</v>
      </c>
      <c r="AY225" s="313" t="s">
        <v>220</v>
      </c>
      <c r="AZ225" s="313">
        <v>0.19600000000000001</v>
      </c>
      <c r="BB225" s="313" t="s">
        <v>220</v>
      </c>
      <c r="BC225">
        <v>0.11899999999999999</v>
      </c>
      <c r="BD225" t="s">
        <v>220</v>
      </c>
      <c r="BE225">
        <v>2.8299999999999999E-2</v>
      </c>
      <c r="BF225" s="2" t="s">
        <v>220</v>
      </c>
      <c r="BG225" s="2" t="s">
        <v>230</v>
      </c>
      <c r="BH225" s="2" t="s">
        <v>228</v>
      </c>
      <c r="BI225" s="2" t="s">
        <v>302</v>
      </c>
      <c r="BM225"/>
      <c r="BP225" s="8"/>
      <c r="BQ225" t="s">
        <v>230</v>
      </c>
      <c r="BR225" t="s">
        <v>230</v>
      </c>
      <c r="BU225" t="s">
        <v>231</v>
      </c>
      <c r="BV225" t="s">
        <v>236</v>
      </c>
      <c r="BW225" t="s">
        <v>232</v>
      </c>
      <c r="BX225" t="s">
        <v>1427</v>
      </c>
      <c r="BY225" t="s">
        <v>220</v>
      </c>
      <c r="BZ225">
        <v>0.42099999999999999</v>
      </c>
      <c r="CA225" t="s">
        <v>372</v>
      </c>
      <c r="CF225" t="s">
        <v>227</v>
      </c>
      <c r="CG225">
        <v>0.28599999999999998</v>
      </c>
      <c r="CH225" t="s">
        <v>227</v>
      </c>
      <c r="CI225">
        <v>0.374</v>
      </c>
      <c r="CK225"/>
      <c r="CL225"/>
      <c r="CM225"/>
      <c r="CS225" s="8"/>
      <c r="CW225" t="s">
        <v>220</v>
      </c>
      <c r="CX225" t="s">
        <v>220</v>
      </c>
      <c r="CY225" t="s">
        <v>231</v>
      </c>
      <c r="CZ225" t="s">
        <v>220</v>
      </c>
      <c r="DA225" t="s">
        <v>220</v>
      </c>
      <c r="DB225" t="s">
        <v>220</v>
      </c>
      <c r="DC225"/>
      <c r="DD225"/>
      <c r="DE225"/>
      <c r="DF225"/>
      <c r="DG225"/>
      <c r="DH225" s="323"/>
      <c r="DI225" s="323"/>
      <c r="DJ225" s="323"/>
      <c r="DL225" t="s">
        <v>257</v>
      </c>
      <c r="DM225" t="s">
        <v>220</v>
      </c>
      <c r="DN225" t="s">
        <v>227</v>
      </c>
      <c r="DO225" t="s">
        <v>227</v>
      </c>
      <c r="DP225" t="s">
        <v>227</v>
      </c>
      <c r="DS225" s="309">
        <v>17.077000000000002</v>
      </c>
      <c r="DU225" s="309">
        <v>265.7</v>
      </c>
      <c r="DW225"/>
      <c r="DX225" t="s">
        <v>235</v>
      </c>
      <c r="DY225"/>
      <c r="DZ225" t="s">
        <v>235</v>
      </c>
      <c r="EA225"/>
      <c r="EB225"/>
      <c r="ED225" s="410"/>
      <c r="EE225" s="1"/>
      <c r="EG225" s="410"/>
      <c r="EI225" s="410"/>
      <c r="EK225" s="1"/>
      <c r="EM225"/>
      <c r="EQ225" s="344"/>
      <c r="EU225" s="344"/>
      <c r="EW225" s="409"/>
      <c r="EY225" s="1"/>
      <c r="FA225">
        <v>148.11000000000001</v>
      </c>
      <c r="FB225" t="s">
        <v>236</v>
      </c>
      <c r="FC225" s="7">
        <v>585.05945195000595</v>
      </c>
      <c r="FD225" s="357" t="s">
        <v>236</v>
      </c>
      <c r="FE225" s="8">
        <v>32.817084854452624</v>
      </c>
      <c r="FF225" t="s">
        <v>237</v>
      </c>
      <c r="FH225" s="9">
        <v>127.43830896889664</v>
      </c>
      <c r="FI225" s="9" t="s">
        <v>236</v>
      </c>
      <c r="FK225" t="s">
        <v>235</v>
      </c>
      <c r="FL225">
        <v>39.1</v>
      </c>
      <c r="FM225">
        <v>253.396142939784</v>
      </c>
      <c r="FN225" s="5" t="s">
        <v>237</v>
      </c>
      <c r="FP225" s="6">
        <v>3.91</v>
      </c>
      <c r="FQ225" t="s">
        <v>239</v>
      </c>
      <c r="FS225" t="s">
        <v>240</v>
      </c>
      <c r="FU225" s="8">
        <v>1</v>
      </c>
      <c r="FV225" s="8">
        <v>10</v>
      </c>
      <c r="FW225" s="8">
        <v>10</v>
      </c>
      <c r="FX225" s="8">
        <v>10</v>
      </c>
      <c r="FY225" s="8">
        <v>3</v>
      </c>
      <c r="FZ225">
        <f t="shared" si="3"/>
        <v>3000</v>
      </c>
      <c r="GA225" s="7" t="s">
        <v>326</v>
      </c>
      <c r="GB225" s="7" t="s">
        <v>326</v>
      </c>
      <c r="GC225" s="6">
        <v>1.5</v>
      </c>
      <c r="GD225" s="348" t="s">
        <v>242</v>
      </c>
      <c r="GF225" s="6">
        <v>1.3033333333333334E-2</v>
      </c>
      <c r="GH225" s="7"/>
      <c r="GI225" s="441"/>
      <c r="GJ225" s="441"/>
      <c r="GK225" s="441"/>
      <c r="GL225" s="441"/>
      <c r="GM225" s="452"/>
      <c r="GR225" s="6" t="s">
        <v>230</v>
      </c>
      <c r="GU225" t="s">
        <v>365</v>
      </c>
      <c r="GV225" t="s">
        <v>236</v>
      </c>
      <c r="GW225" t="s">
        <v>244</v>
      </c>
      <c r="GX225" t="s">
        <v>236</v>
      </c>
      <c r="GY225" t="s">
        <v>245</v>
      </c>
      <c r="HE225" t="s">
        <v>384</v>
      </c>
      <c r="HF225" t="s">
        <v>223</v>
      </c>
      <c r="HG225" t="s">
        <v>231</v>
      </c>
      <c r="HH225" t="s">
        <v>236</v>
      </c>
      <c r="HI225" t="s">
        <v>247</v>
      </c>
      <c r="HJ225" t="s">
        <v>223</v>
      </c>
      <c r="HK225" t="s">
        <v>248</v>
      </c>
      <c r="HL225" t="s">
        <v>231</v>
      </c>
      <c r="HM225" t="s">
        <v>231</v>
      </c>
      <c r="HO225" t="s">
        <v>231</v>
      </c>
      <c r="HP225" t="s">
        <v>249</v>
      </c>
      <c r="HQ225" t="s">
        <v>231</v>
      </c>
      <c r="HR225" t="s">
        <v>249</v>
      </c>
      <c r="HU225" t="s">
        <v>231</v>
      </c>
      <c r="HV225" t="s">
        <v>236</v>
      </c>
      <c r="HW225" t="s">
        <v>506</v>
      </c>
      <c r="HX225" t="s">
        <v>236</v>
      </c>
      <c r="IA225" t="s">
        <v>231</v>
      </c>
      <c r="IB225" t="s">
        <v>250</v>
      </c>
      <c r="IH225" t="s">
        <v>235</v>
      </c>
    </row>
    <row r="226" spans="1:242" ht="29" x14ac:dyDescent="0.35">
      <c r="A226" s="310" t="s">
        <v>1428</v>
      </c>
      <c r="B226" s="313" t="s">
        <v>1429</v>
      </c>
      <c r="C226" s="310" t="s">
        <v>1430</v>
      </c>
      <c r="D226" s="316"/>
      <c r="F226" t="s">
        <v>1431</v>
      </c>
      <c r="I226" s="310" t="s">
        <v>1432</v>
      </c>
      <c r="J226" s="390" t="s">
        <v>1433</v>
      </c>
      <c r="M226" s="313"/>
      <c r="O226"/>
      <c r="P226" s="381"/>
      <c r="Q226"/>
      <c r="T226" s="8"/>
      <c r="U226"/>
      <c r="V226" s="313"/>
      <c r="W226"/>
      <c r="X226"/>
      <c r="Z226"/>
      <c r="AB226"/>
      <c r="AD226" s="8" t="s">
        <v>230</v>
      </c>
      <c r="AF226" s="8" t="s">
        <v>230</v>
      </c>
      <c r="AG226"/>
      <c r="AH226"/>
      <c r="AI226"/>
      <c r="AJ226" t="s">
        <v>414</v>
      </c>
      <c r="AK226">
        <v>0.2</v>
      </c>
      <c r="AL226">
        <v>0.2</v>
      </c>
      <c r="AM226" t="s">
        <v>414</v>
      </c>
      <c r="AN226" t="s">
        <v>225</v>
      </c>
      <c r="AO226" t="s">
        <v>221</v>
      </c>
      <c r="AP226" t="s">
        <v>225</v>
      </c>
      <c r="AQ226" t="s">
        <v>221</v>
      </c>
      <c r="AR226" t="s">
        <v>236</v>
      </c>
      <c r="AS226" t="s">
        <v>414</v>
      </c>
      <c r="AT226" t="s">
        <v>236</v>
      </c>
      <c r="AU226" t="s">
        <v>220</v>
      </c>
      <c r="AV226"/>
      <c r="AW226" s="313" t="s">
        <v>220</v>
      </c>
      <c r="AX226" t="s">
        <v>226</v>
      </c>
      <c r="AY226" s="313" t="s">
        <v>220</v>
      </c>
      <c r="AZ226" s="313">
        <v>0.249</v>
      </c>
      <c r="BA226" s="3" t="s">
        <v>415</v>
      </c>
      <c r="BB226" s="313" t="s">
        <v>220</v>
      </c>
      <c r="BC226">
        <v>0.16</v>
      </c>
      <c r="BD226" t="s">
        <v>227</v>
      </c>
      <c r="BE226">
        <v>4.4699999999999997E-2</v>
      </c>
      <c r="BF226" s="2" t="s">
        <v>220</v>
      </c>
      <c r="BG226" s="2" t="s">
        <v>653</v>
      </c>
      <c r="BH226" s="2" t="s">
        <v>274</v>
      </c>
      <c r="BI226" s="2" t="s">
        <v>275</v>
      </c>
      <c r="BJ226" s="3" t="s">
        <v>1434</v>
      </c>
      <c r="BM226"/>
      <c r="BP226" s="8"/>
      <c r="BQ226" t="s">
        <v>230</v>
      </c>
      <c r="BR226" t="s">
        <v>230</v>
      </c>
      <c r="BU226" t="s">
        <v>231</v>
      </c>
      <c r="BV226" t="s">
        <v>236</v>
      </c>
      <c r="BW226" t="s">
        <v>321</v>
      </c>
      <c r="BX226" t="s">
        <v>233</v>
      </c>
      <c r="BY226" t="s">
        <v>227</v>
      </c>
      <c r="BZ226">
        <v>0.56399999999999995</v>
      </c>
      <c r="CA226" t="s">
        <v>234</v>
      </c>
      <c r="CF226" t="s">
        <v>227</v>
      </c>
      <c r="CG226">
        <v>0.23599999999999999</v>
      </c>
      <c r="CH226" t="s">
        <v>227</v>
      </c>
      <c r="CI226">
        <v>0.15</v>
      </c>
      <c r="CK226"/>
      <c r="CL226"/>
      <c r="CM226"/>
      <c r="CS226" s="8"/>
      <c r="CW226" t="s">
        <v>227</v>
      </c>
      <c r="CX226" t="s">
        <v>227</v>
      </c>
      <c r="CY226" t="s">
        <v>231</v>
      </c>
      <c r="CZ226" t="s">
        <v>227</v>
      </c>
      <c r="DA226" t="s">
        <v>227</v>
      </c>
      <c r="DB226" t="s">
        <v>227</v>
      </c>
      <c r="DC226"/>
      <c r="DD226"/>
      <c r="DE226"/>
      <c r="DF226"/>
      <c r="DG226"/>
      <c r="DH226" s="323"/>
      <c r="DI226" s="323"/>
      <c r="DJ226" s="323"/>
      <c r="DL226" t="s">
        <v>227</v>
      </c>
      <c r="DM226" t="s">
        <v>220</v>
      </c>
      <c r="DN226" t="s">
        <v>227</v>
      </c>
      <c r="DO226" t="s">
        <v>227</v>
      </c>
      <c r="DP226" t="s">
        <v>227</v>
      </c>
      <c r="DS226" s="309">
        <v>319.911</v>
      </c>
      <c r="DU226" s="309">
        <v>185.16499999999999</v>
      </c>
      <c r="DW226">
        <v>685</v>
      </c>
      <c r="DX226" t="s">
        <v>238</v>
      </c>
      <c r="DY226">
        <v>512</v>
      </c>
      <c r="DZ226" t="s">
        <v>238</v>
      </c>
      <c r="EA226"/>
      <c r="EB226"/>
      <c r="ED226" s="410"/>
      <c r="EE226" s="1"/>
      <c r="EG226" s="410"/>
      <c r="EI226" s="410"/>
      <c r="EK226" s="1"/>
      <c r="EM226"/>
      <c r="EQ226" s="344"/>
      <c r="EU226" s="344"/>
      <c r="EW226" s="409"/>
      <c r="EY226" s="1"/>
      <c r="FA226">
        <v>0.61160000000000003</v>
      </c>
      <c r="FB226" t="s">
        <v>236</v>
      </c>
      <c r="FC226" s="7">
        <v>61.531853872881108</v>
      </c>
      <c r="FD226" s="357" t="s">
        <v>225</v>
      </c>
      <c r="FE226" s="8">
        <v>0.21747032324403526</v>
      </c>
      <c r="FF226" t="s">
        <v>337</v>
      </c>
      <c r="FH226" s="9">
        <v>56.584827985978535</v>
      </c>
      <c r="FI226" s="9" t="s">
        <v>225</v>
      </c>
      <c r="FJ226">
        <v>244</v>
      </c>
      <c r="FK226" t="s">
        <v>238</v>
      </c>
      <c r="FL226">
        <v>15.7</v>
      </c>
      <c r="FM226">
        <v>1.5031419660900223</v>
      </c>
      <c r="FN226" s="419" t="s">
        <v>337</v>
      </c>
      <c r="FV226" s="8"/>
      <c r="FW226" s="8"/>
      <c r="FX226" s="8"/>
      <c r="GA226" s="7" t="s">
        <v>326</v>
      </c>
      <c r="GB226" s="7" t="s">
        <v>326</v>
      </c>
      <c r="GC226" s="449">
        <v>1.5</v>
      </c>
      <c r="GD226" s="348" t="s">
        <v>242</v>
      </c>
      <c r="GH226" s="7"/>
      <c r="GI226" s="441" t="s">
        <v>395</v>
      </c>
      <c r="GJ226" s="441" t="s">
        <v>395</v>
      </c>
      <c r="GK226" s="441" t="s">
        <v>395</v>
      </c>
      <c r="GL226" s="441" t="s">
        <v>395</v>
      </c>
      <c r="GM226" s="452" t="s">
        <v>230</v>
      </c>
      <c r="GN226" s="6" t="s">
        <v>395</v>
      </c>
      <c r="GO226" s="6" t="s">
        <v>395</v>
      </c>
      <c r="GP226" s="6" t="s">
        <v>395</v>
      </c>
      <c r="GQ226" s="6" t="s">
        <v>395</v>
      </c>
      <c r="GR226" s="6" t="s">
        <v>230</v>
      </c>
      <c r="GU226" t="s">
        <v>365</v>
      </c>
      <c r="GV226" t="s">
        <v>225</v>
      </c>
      <c r="GW226" t="s">
        <v>244</v>
      </c>
      <c r="GX226" t="s">
        <v>236</v>
      </c>
      <c r="GY226" t="s">
        <v>245</v>
      </c>
      <c r="HE226" t="s">
        <v>246</v>
      </c>
      <c r="HF226" t="s">
        <v>236</v>
      </c>
      <c r="HG226" t="s">
        <v>317</v>
      </c>
      <c r="HH226" t="s">
        <v>225</v>
      </c>
      <c r="HI226" t="s">
        <v>1435</v>
      </c>
      <c r="HJ226" t="s">
        <v>236</v>
      </c>
      <c r="HK226" t="s">
        <v>248</v>
      </c>
      <c r="HO226" t="s">
        <v>231</v>
      </c>
      <c r="HP226" t="s">
        <v>223</v>
      </c>
      <c r="HQ226" t="s">
        <v>231</v>
      </c>
      <c r="HR226" t="s">
        <v>225</v>
      </c>
      <c r="HU226" t="s">
        <v>231</v>
      </c>
      <c r="HV226" t="s">
        <v>223</v>
      </c>
      <c r="HW226" t="s">
        <v>246</v>
      </c>
      <c r="HX226" t="s">
        <v>236</v>
      </c>
      <c r="IA226" t="s">
        <v>231</v>
      </c>
      <c r="IB226" t="s">
        <v>250</v>
      </c>
      <c r="IC226" t="s">
        <v>395</v>
      </c>
      <c r="ID226" t="s">
        <v>395</v>
      </c>
      <c r="IE226" t="s">
        <v>395</v>
      </c>
      <c r="IF226" t="s">
        <v>395</v>
      </c>
      <c r="IH226" t="s">
        <v>235</v>
      </c>
    </row>
    <row r="227" spans="1:242" x14ac:dyDescent="0.35">
      <c r="A227" s="310" t="s">
        <v>1436</v>
      </c>
      <c r="B227" s="313" t="s">
        <v>1437</v>
      </c>
      <c r="C227" s="310" t="s">
        <v>1438</v>
      </c>
      <c r="D227" s="316"/>
      <c r="F227" t="s">
        <v>1438</v>
      </c>
      <c r="I227" s="310" t="s">
        <v>1439</v>
      </c>
      <c r="M227" s="313" t="s">
        <v>220</v>
      </c>
      <c r="O227"/>
      <c r="P227" s="381"/>
      <c r="Q227"/>
      <c r="T227" s="8"/>
      <c r="U227"/>
      <c r="V227" s="313"/>
      <c r="W227"/>
      <c r="X227"/>
      <c r="Z227"/>
      <c r="AB227"/>
      <c r="AD227" s="8" t="s">
        <v>230</v>
      </c>
      <c r="AF227" s="8" t="s">
        <v>230</v>
      </c>
      <c r="AG227"/>
      <c r="AH227"/>
      <c r="AI227"/>
      <c r="AJ227" t="s">
        <v>221</v>
      </c>
      <c r="AK227">
        <v>0</v>
      </c>
      <c r="AL227">
        <v>0.75</v>
      </c>
      <c r="AM227" t="s">
        <v>221</v>
      </c>
      <c r="AN227" t="s">
        <v>223</v>
      </c>
      <c r="AO227" t="s">
        <v>224</v>
      </c>
      <c r="AP227" t="s">
        <v>223</v>
      </c>
      <c r="AQ227" t="s">
        <v>221</v>
      </c>
      <c r="AR227" t="s">
        <v>225</v>
      </c>
      <c r="AS227" t="s">
        <v>221</v>
      </c>
      <c r="AT227" t="s">
        <v>225</v>
      </c>
      <c r="AU227" t="s">
        <v>220</v>
      </c>
      <c r="AV227"/>
      <c r="AW227" s="313" t="s">
        <v>220</v>
      </c>
      <c r="AX227" t="s">
        <v>226</v>
      </c>
      <c r="AY227" s="313" t="s">
        <v>220</v>
      </c>
      <c r="AZ227" s="313">
        <v>0.19900000000000001</v>
      </c>
      <c r="BB227" s="313" t="s">
        <v>220</v>
      </c>
      <c r="BC227">
        <v>0.13700000000000001</v>
      </c>
      <c r="BD227" t="s">
        <v>220</v>
      </c>
      <c r="BE227">
        <v>3.56E-2</v>
      </c>
      <c r="BF227" s="2" t="s">
        <v>220</v>
      </c>
      <c r="BG227" s="2" t="s">
        <v>273</v>
      </c>
      <c r="BH227" s="2" t="s">
        <v>274</v>
      </c>
      <c r="BI227" s="2" t="s">
        <v>275</v>
      </c>
      <c r="BM227"/>
      <c r="BP227" s="8"/>
      <c r="BQ227" t="s">
        <v>230</v>
      </c>
      <c r="BR227" t="s">
        <v>230</v>
      </c>
      <c r="BU227" t="s">
        <v>231</v>
      </c>
      <c r="BV227" t="s">
        <v>223</v>
      </c>
      <c r="BW227" t="s">
        <v>232</v>
      </c>
      <c r="BX227" t="s">
        <v>276</v>
      </c>
      <c r="BY227" t="s">
        <v>257</v>
      </c>
      <c r="BZ227">
        <v>0.54600000000000004</v>
      </c>
      <c r="CA227" t="s">
        <v>234</v>
      </c>
      <c r="CF227" t="s">
        <v>227</v>
      </c>
      <c r="CG227">
        <v>0.39800000000000002</v>
      </c>
      <c r="CH227" t="s">
        <v>220</v>
      </c>
      <c r="CI227">
        <v>0.433</v>
      </c>
      <c r="CK227"/>
      <c r="CL227"/>
      <c r="CM227"/>
      <c r="CS227" s="8"/>
      <c r="CW227" t="s">
        <v>227</v>
      </c>
      <c r="CX227" t="s">
        <v>220</v>
      </c>
      <c r="CY227" t="s">
        <v>231</v>
      </c>
      <c r="CZ227" t="s">
        <v>220</v>
      </c>
      <c r="DA227" t="s">
        <v>220</v>
      </c>
      <c r="DB227" t="s">
        <v>227</v>
      </c>
      <c r="DC227"/>
      <c r="DD227"/>
      <c r="DE227"/>
      <c r="DF227"/>
      <c r="DG227"/>
      <c r="DH227" s="323"/>
      <c r="DI227" s="323"/>
      <c r="DJ227" s="323"/>
      <c r="DL227" t="s">
        <v>227</v>
      </c>
      <c r="DM227" t="s">
        <v>227</v>
      </c>
      <c r="DN227" t="s">
        <v>227</v>
      </c>
      <c r="DO227" t="s">
        <v>257</v>
      </c>
      <c r="DP227" t="s">
        <v>220</v>
      </c>
      <c r="DS227" s="309">
        <v>67.465999999999994</v>
      </c>
      <c r="DU227" s="309">
        <v>767.80399999999997</v>
      </c>
      <c r="DW227"/>
      <c r="DX227" t="s">
        <v>235</v>
      </c>
      <c r="DY227"/>
      <c r="DZ227" t="s">
        <v>235</v>
      </c>
      <c r="EA227"/>
      <c r="EB227"/>
      <c r="ED227" s="410"/>
      <c r="EE227" s="1"/>
      <c r="EG227" s="410"/>
      <c r="EI227" s="410"/>
      <c r="EK227" s="1"/>
      <c r="EM227"/>
      <c r="EQ227" s="344"/>
      <c r="EU227" s="344"/>
      <c r="EW227" s="409"/>
      <c r="EY227" s="1"/>
      <c r="FA227">
        <v>80.989999999999995</v>
      </c>
      <c r="FB227" t="s">
        <v>236</v>
      </c>
      <c r="FC227" s="7">
        <v>322.84941217126362</v>
      </c>
      <c r="FD227" s="357" t="s">
        <v>225</v>
      </c>
      <c r="FE227" s="8">
        <v>14.054001643876232</v>
      </c>
      <c r="FF227" t="s">
        <v>237</v>
      </c>
      <c r="FH227" s="9">
        <v>151.60027880536717</v>
      </c>
      <c r="FI227" s="9" t="s">
        <v>225</v>
      </c>
      <c r="FJ227">
        <v>38.700000000000003</v>
      </c>
      <c r="FK227" t="s">
        <v>238</v>
      </c>
      <c r="FL227">
        <v>44.8</v>
      </c>
      <c r="FM227">
        <v>85.48698491636668</v>
      </c>
      <c r="FN227" s="5" t="s">
        <v>237</v>
      </c>
      <c r="FP227" s="6">
        <v>3.87</v>
      </c>
      <c r="FQ227" t="s">
        <v>450</v>
      </c>
      <c r="FS227" t="s">
        <v>240</v>
      </c>
      <c r="FU227" s="8">
        <v>1</v>
      </c>
      <c r="FV227" s="8">
        <v>10</v>
      </c>
      <c r="FW227" s="8">
        <v>10</v>
      </c>
      <c r="FX227" s="8">
        <v>10</v>
      </c>
      <c r="FY227" s="8">
        <v>3</v>
      </c>
      <c r="FZ227">
        <f t="shared" si="3"/>
        <v>3000</v>
      </c>
      <c r="GA227" s="7" t="s">
        <v>326</v>
      </c>
      <c r="GB227" s="7" t="s">
        <v>326</v>
      </c>
      <c r="GC227" s="6">
        <v>1.5</v>
      </c>
      <c r="GD227" s="348" t="s">
        <v>242</v>
      </c>
      <c r="GF227" s="6">
        <v>1.29E-2</v>
      </c>
      <c r="GH227" s="7"/>
      <c r="GI227" s="441" t="s">
        <v>395</v>
      </c>
      <c r="GJ227" s="441" t="s">
        <v>395</v>
      </c>
      <c r="GK227" s="441" t="s">
        <v>395</v>
      </c>
      <c r="GL227" s="441" t="s">
        <v>395</v>
      </c>
      <c r="GM227" s="452" t="s">
        <v>529</v>
      </c>
      <c r="GN227" s="6">
        <v>0.01</v>
      </c>
      <c r="GO227" s="6">
        <v>1.8749999999999999E-2</v>
      </c>
      <c r="GP227" s="6">
        <v>0.03</v>
      </c>
      <c r="GQ227" s="6">
        <v>7.4999999999999997E-2</v>
      </c>
      <c r="GR227" s="6" t="s">
        <v>230</v>
      </c>
      <c r="GU227" t="s">
        <v>365</v>
      </c>
      <c r="GV227" t="s">
        <v>223</v>
      </c>
      <c r="GW227" t="s">
        <v>359</v>
      </c>
      <c r="GX227" t="s">
        <v>225</v>
      </c>
      <c r="GY227" t="s">
        <v>245</v>
      </c>
      <c r="HE227" t="s">
        <v>247</v>
      </c>
      <c r="HF227" t="s">
        <v>223</v>
      </c>
      <c r="HG227" t="s">
        <v>231</v>
      </c>
      <c r="HH227" t="s">
        <v>223</v>
      </c>
      <c r="HI227" t="s">
        <v>247</v>
      </c>
      <c r="HJ227" t="s">
        <v>225</v>
      </c>
      <c r="HK227" t="s">
        <v>248</v>
      </c>
      <c r="HO227" t="s">
        <v>231</v>
      </c>
      <c r="HP227" t="s">
        <v>223</v>
      </c>
      <c r="HQ227" t="s">
        <v>231</v>
      </c>
      <c r="HR227" t="s">
        <v>223</v>
      </c>
      <c r="HU227" t="s">
        <v>231</v>
      </c>
      <c r="HV227" t="s">
        <v>223</v>
      </c>
      <c r="HW227" t="s">
        <v>506</v>
      </c>
      <c r="HX227" t="s">
        <v>223</v>
      </c>
      <c r="IA227" t="s">
        <v>231</v>
      </c>
      <c r="IB227" t="s">
        <v>250</v>
      </c>
      <c r="IC227" t="s">
        <v>395</v>
      </c>
      <c r="ID227" t="s">
        <v>395</v>
      </c>
      <c r="IE227" t="s">
        <v>395</v>
      </c>
      <c r="IF227" t="s">
        <v>395</v>
      </c>
      <c r="IH227" t="s">
        <v>235</v>
      </c>
    </row>
    <row r="228" spans="1:242" x14ac:dyDescent="0.35">
      <c r="A228" s="310" t="s">
        <v>1440</v>
      </c>
      <c r="B228" s="313" t="s">
        <v>1441</v>
      </c>
      <c r="C228" s="310" t="s">
        <v>1442</v>
      </c>
      <c r="D228" s="316"/>
      <c r="F228" t="s">
        <v>1443</v>
      </c>
      <c r="I228" s="310" t="s">
        <v>1444</v>
      </c>
      <c r="M228" s="313"/>
      <c r="O228" t="s">
        <v>221</v>
      </c>
      <c r="P228" s="381"/>
      <c r="Q228" t="s">
        <v>221</v>
      </c>
      <c r="S228" t="s">
        <v>221</v>
      </c>
      <c r="T228" s="8"/>
      <c r="U228"/>
      <c r="V228" s="313"/>
      <c r="W228" t="s">
        <v>301</v>
      </c>
      <c r="X228" t="s">
        <v>220</v>
      </c>
      <c r="Z228" t="s">
        <v>220</v>
      </c>
      <c r="AB228"/>
      <c r="AD228" s="8" t="s">
        <v>222</v>
      </c>
      <c r="AF228" s="8" t="s">
        <v>222</v>
      </c>
      <c r="AG228"/>
      <c r="AH228"/>
      <c r="AI228"/>
      <c r="AJ228" t="s">
        <v>221</v>
      </c>
      <c r="AK228">
        <v>0</v>
      </c>
      <c r="AL228">
        <v>1</v>
      </c>
      <c r="AM228" t="s">
        <v>221</v>
      </c>
      <c r="AN228" t="s">
        <v>249</v>
      </c>
      <c r="AO228" t="s">
        <v>224</v>
      </c>
      <c r="AP228"/>
      <c r="AQ228" t="s">
        <v>221</v>
      </c>
      <c r="AR228"/>
      <c r="AS228" t="s">
        <v>221</v>
      </c>
      <c r="AT228" t="s">
        <v>225</v>
      </c>
      <c r="AU228" t="s">
        <v>220</v>
      </c>
      <c r="AV228"/>
      <c r="AW228" s="313" t="s">
        <v>335</v>
      </c>
      <c r="AX228" t="s">
        <v>226</v>
      </c>
      <c r="AY228" s="313" t="s">
        <v>220</v>
      </c>
      <c r="AZ228" s="313">
        <v>0.13</v>
      </c>
      <c r="BB228" s="313" t="s">
        <v>220</v>
      </c>
      <c r="BC228">
        <v>9.1800000000000007E-2</v>
      </c>
      <c r="BD228" t="s">
        <v>220</v>
      </c>
      <c r="BE228">
        <v>0.11</v>
      </c>
      <c r="BF228" s="2" t="s">
        <v>220</v>
      </c>
      <c r="BH228" s="2" t="s">
        <v>228</v>
      </c>
      <c r="BI228" s="2" t="s">
        <v>1445</v>
      </c>
      <c r="BM228"/>
      <c r="BP228" s="8"/>
      <c r="BQ228" t="s">
        <v>230</v>
      </c>
      <c r="BR228" t="s">
        <v>230</v>
      </c>
      <c r="BU228" t="s">
        <v>293</v>
      </c>
      <c r="BV228" t="s">
        <v>236</v>
      </c>
      <c r="BW228" t="s">
        <v>232</v>
      </c>
      <c r="BX228" t="s">
        <v>276</v>
      </c>
      <c r="BY228" t="s">
        <v>220</v>
      </c>
      <c r="BZ228">
        <v>0.44700000000000001</v>
      </c>
      <c r="CA228" t="s">
        <v>372</v>
      </c>
      <c r="CF228" t="s">
        <v>257</v>
      </c>
      <c r="CG228">
        <v>0.58899999999999997</v>
      </c>
      <c r="CH228" t="s">
        <v>257</v>
      </c>
      <c r="CI228">
        <v>0.75800000000000001</v>
      </c>
      <c r="CK228"/>
      <c r="CL228" t="s">
        <v>220</v>
      </c>
      <c r="CM228"/>
      <c r="CS228" s="8"/>
      <c r="CW228" t="s">
        <v>257</v>
      </c>
      <c r="CX228" t="s">
        <v>220</v>
      </c>
      <c r="CY228" t="s">
        <v>231</v>
      </c>
      <c r="CZ228" t="s">
        <v>220</v>
      </c>
      <c r="DA228" t="s">
        <v>220</v>
      </c>
      <c r="DB228" t="s">
        <v>220</v>
      </c>
      <c r="DC228"/>
      <c r="DD228"/>
      <c r="DE228"/>
      <c r="DF228"/>
      <c r="DG228"/>
      <c r="DH228" s="323"/>
      <c r="DI228" s="323"/>
      <c r="DJ228" s="323"/>
      <c r="DL228" t="s">
        <v>257</v>
      </c>
      <c r="DM228" t="s">
        <v>220</v>
      </c>
      <c r="DN228" t="s">
        <v>227</v>
      </c>
      <c r="DO228" t="s">
        <v>220</v>
      </c>
      <c r="DP228" t="s">
        <v>220</v>
      </c>
      <c r="DS228" s="309">
        <v>78.253</v>
      </c>
      <c r="DU228" s="309">
        <v>448.10300000000001</v>
      </c>
      <c r="DW228"/>
      <c r="DX228" t="s">
        <v>235</v>
      </c>
      <c r="DY228"/>
      <c r="DZ228" t="s">
        <v>235</v>
      </c>
      <c r="EA228"/>
      <c r="EB228"/>
      <c r="ED228" s="410"/>
      <c r="EE228" s="1"/>
      <c r="EG228" s="410"/>
      <c r="EI228" s="410"/>
      <c r="EK228" s="1"/>
      <c r="EM228"/>
      <c r="EQ228" s="344"/>
      <c r="EU228" s="344"/>
      <c r="EW228" s="409"/>
      <c r="EY228" s="1"/>
      <c r="FA228">
        <v>178.03</v>
      </c>
      <c r="FB228" t="s">
        <v>236</v>
      </c>
      <c r="FC228" s="7">
        <v>86.099375218460082</v>
      </c>
      <c r="FD228" s="357" t="s">
        <v>225</v>
      </c>
      <c r="FE228" s="8">
        <v>61.560196864489605</v>
      </c>
      <c r="FF228" t="s">
        <v>237</v>
      </c>
      <c r="FH228" s="9">
        <v>200.95554765889199</v>
      </c>
      <c r="FI228" s="9" t="s">
        <v>225</v>
      </c>
      <c r="FJ228">
        <v>6.46</v>
      </c>
      <c r="FK228" t="s">
        <v>238</v>
      </c>
      <c r="FL228">
        <v>116</v>
      </c>
      <c r="FM228">
        <v>196.65273914171067</v>
      </c>
      <c r="FN228" s="5" t="s">
        <v>237</v>
      </c>
      <c r="FP228" s="6">
        <v>0.64600000000000002</v>
      </c>
      <c r="FQ228" t="s">
        <v>450</v>
      </c>
      <c r="FS228" t="s">
        <v>240</v>
      </c>
      <c r="FU228" s="8">
        <v>1</v>
      </c>
      <c r="FV228" s="8">
        <v>10</v>
      </c>
      <c r="FW228" s="8">
        <v>10</v>
      </c>
      <c r="FX228" s="8">
        <v>10</v>
      </c>
      <c r="FY228" s="8">
        <v>3</v>
      </c>
      <c r="FZ228">
        <f t="shared" si="3"/>
        <v>3000</v>
      </c>
      <c r="GA228" s="7" t="s">
        <v>241</v>
      </c>
      <c r="GB228" s="7" t="s">
        <v>241</v>
      </c>
      <c r="GC228" s="6">
        <v>30</v>
      </c>
      <c r="GD228" s="348" t="s">
        <v>242</v>
      </c>
      <c r="GF228" s="6">
        <v>2.1533333333333335E-3</v>
      </c>
      <c r="GH228" s="7"/>
      <c r="GI228" s="441"/>
      <c r="GJ228" s="441"/>
      <c r="GK228" s="441"/>
      <c r="GL228" s="441"/>
      <c r="GM228" s="454"/>
      <c r="GN228" s="441"/>
      <c r="GO228" s="441"/>
      <c r="GP228" s="441"/>
      <c r="GQ228" s="441"/>
      <c r="GR228" s="441"/>
      <c r="GS228" s="441"/>
      <c r="GT228" s="441"/>
      <c r="GU228" s="441"/>
      <c r="GV228" s="441"/>
      <c r="GW228" s="441"/>
      <c r="GX228" s="441"/>
      <c r="GY228" s="441"/>
      <c r="GZ228" s="441"/>
      <c r="HA228" s="441"/>
      <c r="HB228" s="441"/>
      <c r="HC228" s="441"/>
      <c r="HD228" s="441"/>
      <c r="HE228" s="441"/>
      <c r="HF228" s="441"/>
      <c r="HG228" s="441"/>
      <c r="HH228" s="441"/>
      <c r="HI228" s="441"/>
      <c r="HJ228" s="441"/>
      <c r="HK228" s="441"/>
      <c r="HL228" s="441"/>
      <c r="HM228" s="441"/>
      <c r="HN228" s="441"/>
      <c r="HO228" s="441"/>
      <c r="HP228" s="441"/>
      <c r="HQ228" s="441"/>
      <c r="HR228" s="441"/>
      <c r="HS228" s="441"/>
      <c r="HT228" s="441"/>
      <c r="HU228" s="441"/>
      <c r="HV228" s="441"/>
      <c r="HW228" s="441"/>
      <c r="HX228" s="441"/>
      <c r="HY228" s="441"/>
      <c r="HZ228" s="441"/>
      <c r="IA228" s="441"/>
      <c r="IB228" s="441"/>
      <c r="IC228" s="441"/>
      <c r="ID228" s="441"/>
      <c r="IE228" s="441"/>
      <c r="IF228" s="441"/>
      <c r="IH228" t="s">
        <v>235</v>
      </c>
    </row>
    <row r="229" spans="1:242" x14ac:dyDescent="0.35">
      <c r="A229" s="310" t="s">
        <v>1446</v>
      </c>
      <c r="B229" s="313" t="s">
        <v>1447</v>
      </c>
      <c r="C229" s="310" t="s">
        <v>1448</v>
      </c>
      <c r="D229" s="316"/>
      <c r="F229" t="s">
        <v>1449</v>
      </c>
      <c r="I229" s="310" t="s">
        <v>1450</v>
      </c>
      <c r="M229" s="313"/>
      <c r="O229"/>
      <c r="P229" s="381"/>
      <c r="Q229"/>
      <c r="T229" s="8"/>
      <c r="U229"/>
      <c r="V229" s="313"/>
      <c r="W229"/>
      <c r="X229"/>
      <c r="Z229"/>
      <c r="AB229"/>
      <c r="AD229" s="8" t="s">
        <v>230</v>
      </c>
      <c r="AF229" s="8" t="s">
        <v>230</v>
      </c>
      <c r="AG229"/>
      <c r="AH229"/>
      <c r="AI229"/>
      <c r="AJ229" t="s">
        <v>221</v>
      </c>
      <c r="AK229">
        <v>0.05</v>
      </c>
      <c r="AL229">
        <v>0.67500000000000004</v>
      </c>
      <c r="AM229" t="s">
        <v>221</v>
      </c>
      <c r="AN229" t="s">
        <v>223</v>
      </c>
      <c r="AO229" t="s">
        <v>221</v>
      </c>
      <c r="AP229" t="s">
        <v>223</v>
      </c>
      <c r="AQ229" s="442" t="s">
        <v>414</v>
      </c>
      <c r="AR229" t="s">
        <v>236</v>
      </c>
      <c r="AS229" t="s">
        <v>221</v>
      </c>
      <c r="AT229" t="s">
        <v>223</v>
      </c>
      <c r="AU229" t="s">
        <v>220</v>
      </c>
      <c r="AV229"/>
      <c r="AW229" s="313" t="s">
        <v>220</v>
      </c>
      <c r="AX229" t="s">
        <v>226</v>
      </c>
      <c r="AY229" s="313" t="s">
        <v>220</v>
      </c>
      <c r="AZ229" s="313">
        <v>0.32900000000000001</v>
      </c>
      <c r="BA229" s="3" t="s">
        <v>415</v>
      </c>
      <c r="BB229" s="313" t="s">
        <v>220</v>
      </c>
      <c r="BC229">
        <v>0.215</v>
      </c>
      <c r="BD229" t="s">
        <v>431</v>
      </c>
      <c r="BE229">
        <v>0.57299999999999995</v>
      </c>
      <c r="BF229" s="2" t="s">
        <v>220</v>
      </c>
      <c r="BG229" s="3" t="s">
        <v>416</v>
      </c>
      <c r="BH229" s="2" t="s">
        <v>274</v>
      </c>
      <c r="BI229" s="2" t="s">
        <v>275</v>
      </c>
      <c r="BM229"/>
      <c r="BP229" s="8"/>
      <c r="BQ229" t="s">
        <v>230</v>
      </c>
      <c r="BR229" t="s">
        <v>230</v>
      </c>
      <c r="BU229" t="s">
        <v>317</v>
      </c>
      <c r="BV229" t="s">
        <v>236</v>
      </c>
      <c r="BW229" t="s">
        <v>232</v>
      </c>
      <c r="BX229" t="s">
        <v>284</v>
      </c>
      <c r="BY229" t="s">
        <v>257</v>
      </c>
      <c r="BZ229">
        <v>0.63</v>
      </c>
      <c r="CA229" t="s">
        <v>372</v>
      </c>
      <c r="CF229" t="s">
        <v>220</v>
      </c>
      <c r="CG229">
        <v>0.34399999999999997</v>
      </c>
      <c r="CH229" t="s">
        <v>220</v>
      </c>
      <c r="CI229">
        <v>0.45900000000000002</v>
      </c>
      <c r="CK229"/>
      <c r="CL229"/>
      <c r="CM229"/>
      <c r="CS229" s="8"/>
      <c r="CW229" t="s">
        <v>227</v>
      </c>
      <c r="CX229" t="s">
        <v>220</v>
      </c>
      <c r="CY229" t="s">
        <v>317</v>
      </c>
      <c r="CZ229" t="s">
        <v>220</v>
      </c>
      <c r="DA229" t="s">
        <v>220</v>
      </c>
      <c r="DB229" t="s">
        <v>220</v>
      </c>
      <c r="DC229"/>
      <c r="DD229"/>
      <c r="DE229"/>
      <c r="DF229"/>
      <c r="DG229"/>
      <c r="DH229" s="323"/>
      <c r="DI229" s="323"/>
      <c r="DJ229" s="323"/>
      <c r="DL229" t="s">
        <v>257</v>
      </c>
      <c r="DM229" t="s">
        <v>220</v>
      </c>
      <c r="DN229" t="s">
        <v>257</v>
      </c>
      <c r="DO229" t="s">
        <v>227</v>
      </c>
      <c r="DP229" t="s">
        <v>220</v>
      </c>
      <c r="DS229" s="309">
        <v>66.786000000000001</v>
      </c>
      <c r="DU229" s="309">
        <v>482.88799999999998</v>
      </c>
      <c r="DW229"/>
      <c r="DX229" t="s">
        <v>235</v>
      </c>
      <c r="DY229"/>
      <c r="DZ229" t="s">
        <v>235</v>
      </c>
      <c r="EA229"/>
      <c r="EB229"/>
      <c r="ED229" s="410"/>
      <c r="EE229" s="1"/>
      <c r="EG229" s="410"/>
      <c r="EI229" s="410"/>
      <c r="EK229" s="1"/>
      <c r="EM229"/>
      <c r="EQ229" s="344"/>
      <c r="EU229" s="344"/>
      <c r="EW229" s="409"/>
      <c r="EY229" s="1"/>
      <c r="FA229">
        <v>87.74</v>
      </c>
      <c r="FB229" t="s">
        <v>225</v>
      </c>
      <c r="FC229" s="7">
        <v>125.48736499304816</v>
      </c>
      <c r="FD229" s="357" t="s">
        <v>236</v>
      </c>
      <c r="FE229" s="8">
        <v>35.571321513458798</v>
      </c>
      <c r="FF229" t="s">
        <v>237</v>
      </c>
      <c r="FH229" s="9">
        <v>61.858587649178517</v>
      </c>
      <c r="FI229" s="9" t="s">
        <v>225</v>
      </c>
      <c r="FK229" t="s">
        <v>235</v>
      </c>
      <c r="FL229">
        <v>85</v>
      </c>
      <c r="FM229">
        <v>140.37830687072392</v>
      </c>
      <c r="FN229" s="5" t="s">
        <v>237</v>
      </c>
      <c r="FP229" s="6">
        <v>7.0189153435361957</v>
      </c>
      <c r="FQ229" t="s">
        <v>277</v>
      </c>
      <c r="FS229" t="s">
        <v>240</v>
      </c>
      <c r="FU229" s="8">
        <v>2</v>
      </c>
      <c r="FV229" s="8">
        <v>10</v>
      </c>
      <c r="FW229" s="8">
        <v>10</v>
      </c>
      <c r="FX229" s="8">
        <v>10</v>
      </c>
      <c r="FY229" s="8">
        <v>3</v>
      </c>
      <c r="FZ229">
        <f t="shared" si="3"/>
        <v>6000</v>
      </c>
      <c r="GA229" s="7" t="s">
        <v>303</v>
      </c>
      <c r="GB229" s="7" t="s">
        <v>303</v>
      </c>
      <c r="GC229" s="6">
        <v>9</v>
      </c>
      <c r="GD229" s="348" t="s">
        <v>242</v>
      </c>
      <c r="GF229" s="6">
        <v>1.0309764608196419E-2</v>
      </c>
      <c r="GH229" s="7"/>
      <c r="GI229" s="441">
        <v>0.156</v>
      </c>
      <c r="GJ229" s="441">
        <v>0.29199999999999998</v>
      </c>
      <c r="GK229" s="441">
        <v>0.46800000000000003</v>
      </c>
      <c r="GL229" s="441">
        <v>1.17</v>
      </c>
      <c r="GM229" s="452" t="s">
        <v>262</v>
      </c>
      <c r="GN229" s="6">
        <v>0.06</v>
      </c>
      <c r="GO229" s="6">
        <v>0.1125</v>
      </c>
      <c r="GP229" s="6">
        <v>0.18</v>
      </c>
      <c r="GQ229" s="6">
        <v>0.45</v>
      </c>
      <c r="GR229" s="6" t="s">
        <v>230</v>
      </c>
      <c r="GU229" t="s">
        <v>365</v>
      </c>
      <c r="GV229" t="s">
        <v>223</v>
      </c>
      <c r="GW229" t="s">
        <v>359</v>
      </c>
      <c r="GX229" t="s">
        <v>225</v>
      </c>
      <c r="GY229" t="s">
        <v>245</v>
      </c>
      <c r="HE229" t="s">
        <v>384</v>
      </c>
      <c r="HF229" t="s">
        <v>223</v>
      </c>
      <c r="HG229" t="s">
        <v>231</v>
      </c>
      <c r="HH229" t="s">
        <v>225</v>
      </c>
      <c r="HI229" t="s">
        <v>247</v>
      </c>
      <c r="HJ229" t="s">
        <v>223</v>
      </c>
      <c r="HK229" t="s">
        <v>248</v>
      </c>
      <c r="HO229" t="s">
        <v>231</v>
      </c>
      <c r="HP229" t="s">
        <v>223</v>
      </c>
      <c r="HQ229" t="s">
        <v>231</v>
      </c>
      <c r="HR229" t="s">
        <v>223</v>
      </c>
      <c r="HU229" t="s">
        <v>231</v>
      </c>
      <c r="HV229" t="s">
        <v>223</v>
      </c>
      <c r="HW229" t="s">
        <v>246</v>
      </c>
      <c r="HX229" t="s">
        <v>236</v>
      </c>
      <c r="IA229" t="s">
        <v>231</v>
      </c>
      <c r="IB229" t="s">
        <v>250</v>
      </c>
      <c r="IC229">
        <v>0.156</v>
      </c>
      <c r="ID229">
        <v>0.29199999999999998</v>
      </c>
      <c r="IE229">
        <v>0.46800000000000003</v>
      </c>
      <c r="IF229">
        <v>1.17</v>
      </c>
      <c r="IH229" t="s">
        <v>267</v>
      </c>
    </row>
    <row r="230" spans="1:242" x14ac:dyDescent="0.35">
      <c r="A230" s="310" t="s">
        <v>1451</v>
      </c>
      <c r="B230" s="313" t="s">
        <v>1452</v>
      </c>
      <c r="C230" s="310" t="s">
        <v>1453</v>
      </c>
      <c r="D230" s="316"/>
      <c r="F230" t="s">
        <v>1454</v>
      </c>
      <c r="I230" s="310" t="s">
        <v>1455</v>
      </c>
      <c r="M230" s="313"/>
      <c r="O230"/>
      <c r="P230" s="381"/>
      <c r="Q230"/>
      <c r="T230" s="8"/>
      <c r="U230"/>
      <c r="V230" s="313"/>
      <c r="W230"/>
      <c r="X230"/>
      <c r="Z230"/>
      <c r="AB230"/>
      <c r="AD230" s="8" t="s">
        <v>230</v>
      </c>
      <c r="AF230" s="8" t="s">
        <v>230</v>
      </c>
      <c r="AG230"/>
      <c r="AH230"/>
      <c r="AI230"/>
      <c r="AJ230" t="s">
        <v>221</v>
      </c>
      <c r="AK230">
        <v>0</v>
      </c>
      <c r="AL230">
        <v>0.9</v>
      </c>
      <c r="AM230" t="s">
        <v>221</v>
      </c>
      <c r="AN230" t="s">
        <v>223</v>
      </c>
      <c r="AO230" t="s">
        <v>221</v>
      </c>
      <c r="AP230" t="s">
        <v>223</v>
      </c>
      <c r="AQ230" t="s">
        <v>221</v>
      </c>
      <c r="AR230" t="s">
        <v>223</v>
      </c>
      <c r="AS230" t="s">
        <v>221</v>
      </c>
      <c r="AT230" t="s">
        <v>223</v>
      </c>
      <c r="AU230" t="s">
        <v>220</v>
      </c>
      <c r="AV230"/>
      <c r="AW230" s="313" t="s">
        <v>220</v>
      </c>
      <c r="AX230" t="s">
        <v>226</v>
      </c>
      <c r="AY230" s="313" t="s">
        <v>220</v>
      </c>
      <c r="AZ230" s="313">
        <v>9.3100000000000002E-2</v>
      </c>
      <c r="BB230" s="313" t="s">
        <v>220</v>
      </c>
      <c r="BC230">
        <v>4.6300000000000001E-2</v>
      </c>
      <c r="BD230" t="s">
        <v>220</v>
      </c>
      <c r="BE230">
        <v>0.157</v>
      </c>
      <c r="BF230" s="2" t="s">
        <v>220</v>
      </c>
      <c r="BG230" s="2" t="s">
        <v>273</v>
      </c>
      <c r="BH230" s="2" t="s">
        <v>274</v>
      </c>
      <c r="BI230" s="2" t="s">
        <v>275</v>
      </c>
      <c r="BM230"/>
      <c r="BP230" s="8"/>
      <c r="BQ230" t="s">
        <v>230</v>
      </c>
      <c r="BR230" t="s">
        <v>230</v>
      </c>
      <c r="BU230" t="s">
        <v>293</v>
      </c>
      <c r="BV230" t="s">
        <v>236</v>
      </c>
      <c r="BW230" t="s">
        <v>232</v>
      </c>
      <c r="BX230" t="s">
        <v>284</v>
      </c>
      <c r="BY230" t="s">
        <v>220</v>
      </c>
      <c r="BZ230">
        <v>0.42499999999999999</v>
      </c>
      <c r="CA230" t="s">
        <v>234</v>
      </c>
      <c r="CF230" t="s">
        <v>220</v>
      </c>
      <c r="CG230">
        <v>0.14699999999999999</v>
      </c>
      <c r="CH230" t="s">
        <v>220</v>
      </c>
      <c r="CI230">
        <v>0.18</v>
      </c>
      <c r="CK230"/>
      <c r="CL230"/>
      <c r="CM230"/>
      <c r="CS230" s="8"/>
      <c r="CW230" t="s">
        <v>220</v>
      </c>
      <c r="CX230" t="s">
        <v>220</v>
      </c>
      <c r="CY230" t="s">
        <v>231</v>
      </c>
      <c r="CZ230" t="s">
        <v>220</v>
      </c>
      <c r="DA230" t="s">
        <v>257</v>
      </c>
      <c r="DB230" t="s">
        <v>227</v>
      </c>
      <c r="DC230"/>
      <c r="DD230"/>
      <c r="DE230"/>
      <c r="DF230"/>
      <c r="DG230"/>
      <c r="DH230" s="323"/>
      <c r="DI230" s="323"/>
      <c r="DJ230" s="323"/>
      <c r="DL230" t="s">
        <v>257</v>
      </c>
      <c r="DM230" t="s">
        <v>220</v>
      </c>
      <c r="DN230" t="s">
        <v>227</v>
      </c>
      <c r="DO230" t="s">
        <v>257</v>
      </c>
      <c r="DP230" t="s">
        <v>257</v>
      </c>
      <c r="DS230" s="309">
        <v>57.941000000000003</v>
      </c>
      <c r="DU230" s="309">
        <v>467.80399999999997</v>
      </c>
      <c r="DW230">
        <v>666</v>
      </c>
      <c r="DX230" t="s">
        <v>238</v>
      </c>
      <c r="DY230"/>
      <c r="DZ230" t="s">
        <v>235</v>
      </c>
      <c r="EA230"/>
      <c r="EB230"/>
      <c r="ED230" s="410"/>
      <c r="EE230" s="1"/>
      <c r="EG230" s="410"/>
      <c r="EI230" s="410"/>
      <c r="EK230" s="1"/>
      <c r="EM230"/>
      <c r="EQ230" s="344"/>
      <c r="EU230" s="344"/>
      <c r="EW230" s="409"/>
      <c r="EY230" s="1"/>
      <c r="FA230">
        <v>45.94</v>
      </c>
      <c r="FB230" t="s">
        <v>236</v>
      </c>
      <c r="FC230" s="7">
        <v>70.048687123168278</v>
      </c>
      <c r="FD230" s="357" t="s">
        <v>223</v>
      </c>
      <c r="FE230" s="8">
        <v>135.17612728214164</v>
      </c>
      <c r="FF230" t="s">
        <v>237</v>
      </c>
      <c r="FH230" s="9">
        <v>674.37272975980602</v>
      </c>
      <c r="FI230" s="9" t="s">
        <v>223</v>
      </c>
      <c r="FJ230">
        <v>984</v>
      </c>
      <c r="FK230" t="s">
        <v>238</v>
      </c>
      <c r="FL230">
        <v>298</v>
      </c>
      <c r="FM230">
        <v>321.66217928790428</v>
      </c>
      <c r="FN230" s="5" t="s">
        <v>237</v>
      </c>
      <c r="FP230" s="6">
        <v>16.083108964395215</v>
      </c>
      <c r="FQ230" t="s">
        <v>277</v>
      </c>
      <c r="FS230" t="s">
        <v>240</v>
      </c>
      <c r="FU230" s="8">
        <v>2</v>
      </c>
      <c r="FV230" s="8">
        <v>10</v>
      </c>
      <c r="FW230" s="8">
        <v>10</v>
      </c>
      <c r="FX230" s="8">
        <v>10</v>
      </c>
      <c r="FY230" s="8">
        <v>3</v>
      </c>
      <c r="FZ230">
        <f t="shared" si="3"/>
        <v>6000</v>
      </c>
      <c r="GA230" s="7" t="s">
        <v>241</v>
      </c>
      <c r="GB230" s="7" t="s">
        <v>241</v>
      </c>
      <c r="GC230" s="6">
        <v>30</v>
      </c>
      <c r="GD230" s="348" t="s">
        <v>242</v>
      </c>
      <c r="GF230" s="6">
        <v>9.9333333333333329E-2</v>
      </c>
      <c r="GH230" s="7"/>
      <c r="GI230" s="441">
        <v>0.35699999999999998</v>
      </c>
      <c r="GJ230" s="441">
        <v>0.67</v>
      </c>
      <c r="GK230" s="441">
        <v>1.0720000000000001</v>
      </c>
      <c r="GL230" s="441">
        <v>2.681</v>
      </c>
      <c r="GM230" s="452" t="s">
        <v>262</v>
      </c>
      <c r="GN230" s="6">
        <v>0.2</v>
      </c>
      <c r="GO230" s="6">
        <v>0.375</v>
      </c>
      <c r="GP230" s="6">
        <v>0.6</v>
      </c>
      <c r="GQ230" s="6">
        <v>1.5</v>
      </c>
      <c r="GR230" s="6" t="s">
        <v>230</v>
      </c>
      <c r="GU230" t="s">
        <v>243</v>
      </c>
      <c r="GV230" t="s">
        <v>225</v>
      </c>
      <c r="GW230" t="s">
        <v>244</v>
      </c>
      <c r="GX230" t="s">
        <v>236</v>
      </c>
      <c r="GY230" t="s">
        <v>245</v>
      </c>
      <c r="HE230" t="s">
        <v>384</v>
      </c>
      <c r="HF230" t="s">
        <v>223</v>
      </c>
      <c r="HG230" t="s">
        <v>231</v>
      </c>
      <c r="HH230" t="s">
        <v>223</v>
      </c>
      <c r="HI230" t="s">
        <v>247</v>
      </c>
      <c r="HJ230" t="s">
        <v>223</v>
      </c>
      <c r="HK230" t="s">
        <v>248</v>
      </c>
      <c r="HO230" t="s">
        <v>231</v>
      </c>
      <c r="HP230" t="s">
        <v>223</v>
      </c>
      <c r="HQ230" t="s">
        <v>231</v>
      </c>
      <c r="HR230" t="s">
        <v>223</v>
      </c>
      <c r="HU230" t="s">
        <v>231</v>
      </c>
      <c r="HV230" t="s">
        <v>223</v>
      </c>
      <c r="HW230" t="s">
        <v>246</v>
      </c>
      <c r="HX230" t="s">
        <v>236</v>
      </c>
      <c r="IA230" t="s">
        <v>231</v>
      </c>
      <c r="IB230" t="s">
        <v>250</v>
      </c>
      <c r="IC230">
        <v>0.35699999999999998</v>
      </c>
      <c r="ID230">
        <v>0.67</v>
      </c>
      <c r="IE230">
        <v>1.0720000000000001</v>
      </c>
      <c r="IF230">
        <v>2.681</v>
      </c>
      <c r="IH230" t="s">
        <v>267</v>
      </c>
    </row>
    <row r="231" spans="1:242" x14ac:dyDescent="0.35">
      <c r="A231" s="310" t="s">
        <v>1456</v>
      </c>
      <c r="B231" s="313" t="s">
        <v>1457</v>
      </c>
      <c r="C231" s="310" t="s">
        <v>1458</v>
      </c>
      <c r="D231" s="316"/>
      <c r="F231" t="s">
        <v>1459</v>
      </c>
      <c r="I231" s="310" t="s">
        <v>1460</v>
      </c>
      <c r="M231" s="313"/>
      <c r="O231"/>
      <c r="P231" s="381"/>
      <c r="Q231"/>
      <c r="T231" s="8"/>
      <c r="U231"/>
      <c r="V231" s="313"/>
      <c r="W231"/>
      <c r="X231"/>
      <c r="Z231"/>
      <c r="AB231"/>
      <c r="AD231" s="8" t="s">
        <v>230</v>
      </c>
      <c r="AF231" s="8" t="s">
        <v>230</v>
      </c>
      <c r="AG231"/>
      <c r="AH231"/>
      <c r="AI231"/>
      <c r="AJ231" t="s">
        <v>221</v>
      </c>
      <c r="AK231">
        <v>0.05</v>
      </c>
      <c r="AL231">
        <v>0.25</v>
      </c>
      <c r="AM231" t="s">
        <v>221</v>
      </c>
      <c r="AN231" t="s">
        <v>236</v>
      </c>
      <c r="AO231" t="s">
        <v>224</v>
      </c>
      <c r="AP231" t="s">
        <v>236</v>
      </c>
      <c r="AQ231" t="s">
        <v>221</v>
      </c>
      <c r="AR231" t="s">
        <v>225</v>
      </c>
      <c r="AS231" t="s">
        <v>414</v>
      </c>
      <c r="AT231" t="s">
        <v>236</v>
      </c>
      <c r="AU231" t="s">
        <v>220</v>
      </c>
      <c r="AV231"/>
      <c r="AW231" s="313" t="s">
        <v>220</v>
      </c>
      <c r="AX231" t="s">
        <v>226</v>
      </c>
      <c r="AY231" s="313" t="s">
        <v>220</v>
      </c>
      <c r="AZ231" s="313">
        <v>0.104</v>
      </c>
      <c r="BB231" s="313" t="s">
        <v>220</v>
      </c>
      <c r="BC231">
        <v>5.4699999999999999E-2</v>
      </c>
      <c r="BD231" t="s">
        <v>227</v>
      </c>
      <c r="BE231">
        <v>0.108</v>
      </c>
      <c r="BF231" s="2" t="s">
        <v>220</v>
      </c>
      <c r="BG231" s="2" t="s">
        <v>653</v>
      </c>
      <c r="BH231" s="2" t="s">
        <v>274</v>
      </c>
      <c r="BI231" s="2" t="s">
        <v>275</v>
      </c>
      <c r="BM231"/>
      <c r="BP231" s="8"/>
      <c r="BQ231" t="s">
        <v>230</v>
      </c>
      <c r="BR231" t="s">
        <v>230</v>
      </c>
      <c r="BU231" t="s">
        <v>293</v>
      </c>
      <c r="BV231" t="s">
        <v>236</v>
      </c>
      <c r="BW231" t="s">
        <v>232</v>
      </c>
      <c r="BX231" t="s">
        <v>276</v>
      </c>
      <c r="BY231" t="s">
        <v>220</v>
      </c>
      <c r="BZ231">
        <v>0.23499999999999999</v>
      </c>
      <c r="CA231" t="s">
        <v>234</v>
      </c>
      <c r="CF231" t="s">
        <v>227</v>
      </c>
      <c r="CG231">
        <v>0.20300000000000001</v>
      </c>
      <c r="CH231" t="s">
        <v>227</v>
      </c>
      <c r="CI231">
        <v>0.161</v>
      </c>
      <c r="CK231"/>
      <c r="CL231"/>
      <c r="CM231"/>
      <c r="CS231" s="8"/>
      <c r="CW231" t="s">
        <v>220</v>
      </c>
      <c r="CX231" t="s">
        <v>220</v>
      </c>
      <c r="CY231" t="s">
        <v>231</v>
      </c>
      <c r="CZ231" t="s">
        <v>220</v>
      </c>
      <c r="DA231" t="s">
        <v>227</v>
      </c>
      <c r="DB231" t="s">
        <v>220</v>
      </c>
      <c r="DC231"/>
      <c r="DD231"/>
      <c r="DE231"/>
      <c r="DF231"/>
      <c r="DG231"/>
      <c r="DH231" s="323"/>
      <c r="DI231" s="323"/>
      <c r="DJ231" s="323"/>
      <c r="DL231" t="s">
        <v>220</v>
      </c>
      <c r="DM231" t="s">
        <v>220</v>
      </c>
      <c r="DN231" t="s">
        <v>257</v>
      </c>
      <c r="DO231" t="s">
        <v>227</v>
      </c>
      <c r="DP231" t="s">
        <v>227</v>
      </c>
      <c r="DS231" s="309">
        <v>41.890999999999998</v>
      </c>
      <c r="DU231" s="309">
        <v>143.249</v>
      </c>
      <c r="DW231">
        <v>25.6</v>
      </c>
      <c r="DX231" t="s">
        <v>238</v>
      </c>
      <c r="DY231">
        <v>109</v>
      </c>
      <c r="DZ231" t="s">
        <v>238</v>
      </c>
      <c r="EA231"/>
      <c r="EB231"/>
      <c r="ED231" s="410"/>
      <c r="EE231" s="1"/>
      <c r="EG231" s="410"/>
      <c r="EI231" s="410"/>
      <c r="EK231" s="1"/>
      <c r="EM231"/>
      <c r="EQ231" s="344"/>
      <c r="EU231" s="344"/>
      <c r="EW231" s="409"/>
      <c r="EY231" s="1"/>
      <c r="FA231">
        <v>2.2000000000000002</v>
      </c>
      <c r="FB231" t="s">
        <v>225</v>
      </c>
      <c r="FC231" s="7">
        <v>98.220015877425325</v>
      </c>
      <c r="FD231" s="357" t="s">
        <v>225</v>
      </c>
      <c r="FE231" s="8">
        <v>24.417432734967349</v>
      </c>
      <c r="FF231" t="s">
        <v>237</v>
      </c>
      <c r="FH231" s="9">
        <v>303.80855564655451</v>
      </c>
      <c r="FI231" s="9" t="s">
        <v>225</v>
      </c>
      <c r="FJ231">
        <v>30.6</v>
      </c>
      <c r="FK231" t="s">
        <v>238</v>
      </c>
      <c r="FL231">
        <v>57.9</v>
      </c>
      <c r="FM231">
        <v>116.76158990380131</v>
      </c>
      <c r="FN231" s="5" t="s">
        <v>237</v>
      </c>
      <c r="FP231" s="6">
        <v>1.1000000000000001</v>
      </c>
      <c r="FQ231" t="s">
        <v>275</v>
      </c>
      <c r="FS231" t="s">
        <v>240</v>
      </c>
      <c r="FU231" s="8">
        <v>2</v>
      </c>
      <c r="FV231" s="8">
        <v>10</v>
      </c>
      <c r="FW231" s="8">
        <v>10</v>
      </c>
      <c r="FX231" s="8">
        <v>1</v>
      </c>
      <c r="FY231" s="8">
        <v>3</v>
      </c>
      <c r="FZ231">
        <f t="shared" si="3"/>
        <v>600</v>
      </c>
      <c r="GA231" s="7" t="s">
        <v>326</v>
      </c>
      <c r="GB231" s="7" t="s">
        <v>326</v>
      </c>
      <c r="GC231" s="6">
        <v>1.5</v>
      </c>
      <c r="GD231" s="348" t="s">
        <v>242</v>
      </c>
      <c r="GF231" s="6">
        <v>3.666666666666667E-3</v>
      </c>
      <c r="GH231" s="7"/>
      <c r="GI231" s="441">
        <v>2.4E-2</v>
      </c>
      <c r="GJ231" s="441">
        <v>4.5999999999999999E-2</v>
      </c>
      <c r="GK231" s="441">
        <v>7.2999999999999995E-2</v>
      </c>
      <c r="GL231" s="441">
        <v>0.183</v>
      </c>
      <c r="GM231" s="452" t="s">
        <v>262</v>
      </c>
      <c r="GN231" s="6">
        <v>0.01</v>
      </c>
      <c r="GO231" s="6">
        <v>1.8749999999999999E-2</v>
      </c>
      <c r="GP231" s="6">
        <v>0.03</v>
      </c>
      <c r="GQ231" s="6">
        <v>7.4999999999999997E-2</v>
      </c>
      <c r="GR231" s="6" t="s">
        <v>230</v>
      </c>
      <c r="GU231" t="s">
        <v>243</v>
      </c>
      <c r="GV231" t="s">
        <v>225</v>
      </c>
      <c r="GW231" t="s">
        <v>244</v>
      </c>
      <c r="GX231" t="s">
        <v>236</v>
      </c>
      <c r="GY231" t="s">
        <v>245</v>
      </c>
      <c r="HE231" t="s">
        <v>246</v>
      </c>
      <c r="HF231" t="s">
        <v>236</v>
      </c>
      <c r="HG231" t="s">
        <v>231</v>
      </c>
      <c r="HH231" t="s">
        <v>223</v>
      </c>
      <c r="HI231" t="s">
        <v>247</v>
      </c>
      <c r="HJ231" t="s">
        <v>225</v>
      </c>
      <c r="HK231" t="s">
        <v>248</v>
      </c>
      <c r="HO231" t="s">
        <v>231</v>
      </c>
      <c r="HP231" t="s">
        <v>223</v>
      </c>
      <c r="HQ231" t="s">
        <v>231</v>
      </c>
      <c r="HR231" t="s">
        <v>223</v>
      </c>
      <c r="HU231" t="s">
        <v>231</v>
      </c>
      <c r="HV231" t="s">
        <v>223</v>
      </c>
      <c r="HW231" t="s">
        <v>246</v>
      </c>
      <c r="HX231" t="s">
        <v>236</v>
      </c>
      <c r="IA231" t="s">
        <v>231</v>
      </c>
      <c r="IB231" t="s">
        <v>250</v>
      </c>
      <c r="IC231">
        <v>2.4E-2</v>
      </c>
      <c r="ID231">
        <v>4.5999999999999999E-2</v>
      </c>
      <c r="IE231">
        <v>7.2999999999999995E-2</v>
      </c>
      <c r="IF231">
        <v>0.183</v>
      </c>
      <c r="IH231" t="s">
        <v>267</v>
      </c>
    </row>
    <row r="232" spans="1:242" x14ac:dyDescent="0.35">
      <c r="A232" s="310" t="s">
        <v>1461</v>
      </c>
      <c r="B232" s="313" t="s">
        <v>1462</v>
      </c>
      <c r="C232" s="310" t="s">
        <v>1463</v>
      </c>
      <c r="D232" s="316"/>
      <c r="F232" t="s">
        <v>1464</v>
      </c>
      <c r="I232" s="310" t="s">
        <v>1465</v>
      </c>
      <c r="M232" s="313"/>
      <c r="O232"/>
      <c r="P232" s="381"/>
      <c r="Q232"/>
      <c r="T232" s="8"/>
      <c r="U232"/>
      <c r="V232" s="313"/>
      <c r="W232"/>
      <c r="X232"/>
      <c r="Z232"/>
      <c r="AB232"/>
      <c r="AD232" s="8" t="s">
        <v>230</v>
      </c>
      <c r="AF232" s="8" t="s">
        <v>230</v>
      </c>
      <c r="AG232"/>
      <c r="AH232"/>
      <c r="AI232"/>
      <c r="AJ232" t="s">
        <v>221</v>
      </c>
      <c r="AK232">
        <v>0</v>
      </c>
      <c r="AL232">
        <v>0.2</v>
      </c>
      <c r="AM232" t="s">
        <v>221</v>
      </c>
      <c r="AN232" t="s">
        <v>236</v>
      </c>
      <c r="AO232" t="s">
        <v>221</v>
      </c>
      <c r="AP232" t="s">
        <v>236</v>
      </c>
      <c r="AQ232" t="s">
        <v>221</v>
      </c>
      <c r="AR232" t="s">
        <v>236</v>
      </c>
      <c r="AS232" t="s">
        <v>221</v>
      </c>
      <c r="AT232" t="s">
        <v>236</v>
      </c>
      <c r="AU232" t="s">
        <v>220</v>
      </c>
      <c r="AV232"/>
      <c r="AW232" s="313" t="s">
        <v>220</v>
      </c>
      <c r="AX232" t="s">
        <v>226</v>
      </c>
      <c r="AY232" s="313" t="s">
        <v>220</v>
      </c>
      <c r="AZ232" s="313">
        <v>0.318</v>
      </c>
      <c r="BA232" s="3" t="s">
        <v>415</v>
      </c>
      <c r="BB232" s="313" t="s">
        <v>220</v>
      </c>
      <c r="BC232">
        <v>1.5800000000000002E-2</v>
      </c>
      <c r="BD232" t="s">
        <v>220</v>
      </c>
      <c r="BE232">
        <v>0.114</v>
      </c>
      <c r="BF232" s="2" t="s">
        <v>220</v>
      </c>
      <c r="BG232" s="2" t="s">
        <v>653</v>
      </c>
      <c r="BH232" s="2" t="s">
        <v>274</v>
      </c>
      <c r="BI232" s="2" t="s">
        <v>275</v>
      </c>
      <c r="BM232"/>
      <c r="BP232" s="8"/>
      <c r="BQ232" t="s">
        <v>230</v>
      </c>
      <c r="BR232" t="s">
        <v>230</v>
      </c>
      <c r="BU232" t="s">
        <v>317</v>
      </c>
      <c r="BV232" t="s">
        <v>236</v>
      </c>
      <c r="BW232" t="s">
        <v>321</v>
      </c>
      <c r="BX232" t="s">
        <v>474</v>
      </c>
      <c r="BY232" t="s">
        <v>257</v>
      </c>
      <c r="BZ232">
        <v>0.53</v>
      </c>
      <c r="CA232" t="s">
        <v>234</v>
      </c>
      <c r="CF232" t="s">
        <v>227</v>
      </c>
      <c r="CG232">
        <v>0.435</v>
      </c>
      <c r="CH232" t="s">
        <v>227</v>
      </c>
      <c r="CI232">
        <v>0.38900000000000001</v>
      </c>
      <c r="CK232"/>
      <c r="CL232"/>
      <c r="CM232"/>
      <c r="CS232" s="8"/>
      <c r="CW232" t="s">
        <v>220</v>
      </c>
      <c r="CX232" t="s">
        <v>257</v>
      </c>
      <c r="CY232" t="s">
        <v>231</v>
      </c>
      <c r="CZ232" t="s">
        <v>220</v>
      </c>
      <c r="DA232" t="s">
        <v>227</v>
      </c>
      <c r="DB232" t="s">
        <v>227</v>
      </c>
      <c r="DC232"/>
      <c r="DD232"/>
      <c r="DE232"/>
      <c r="DF232"/>
      <c r="DG232"/>
      <c r="DH232" s="323"/>
      <c r="DI232" s="323"/>
      <c r="DJ232" s="323"/>
      <c r="DL232" t="s">
        <v>257</v>
      </c>
      <c r="DM232" t="s">
        <v>220</v>
      </c>
      <c r="DN232" t="s">
        <v>257</v>
      </c>
      <c r="DO232" t="s">
        <v>227</v>
      </c>
      <c r="DP232" t="s">
        <v>227</v>
      </c>
      <c r="DS232" s="309">
        <v>95.11</v>
      </c>
      <c r="DU232" s="309">
        <v>335.56599999999997</v>
      </c>
      <c r="DW232"/>
      <c r="DX232" t="s">
        <v>235</v>
      </c>
      <c r="DY232"/>
      <c r="DZ232" t="s">
        <v>235</v>
      </c>
      <c r="EA232"/>
      <c r="EB232"/>
      <c r="ED232" s="410"/>
      <c r="EE232" s="1"/>
      <c r="EG232" s="410"/>
      <c r="EI232" s="410"/>
      <c r="EK232" s="1"/>
      <c r="EM232"/>
      <c r="EQ232" s="344"/>
      <c r="EU232" s="344"/>
      <c r="EW232" s="409"/>
      <c r="EY232" s="1"/>
      <c r="FA232">
        <v>1.93</v>
      </c>
      <c r="FB232" t="s">
        <v>236</v>
      </c>
      <c r="FC232" s="7">
        <v>79.983425500702907</v>
      </c>
      <c r="FD232" s="357" t="s">
        <v>236</v>
      </c>
      <c r="FE232" s="8">
        <v>43.812698202249315</v>
      </c>
      <c r="FF232" t="s">
        <v>237</v>
      </c>
      <c r="FH232" s="9">
        <v>89.454048377886906</v>
      </c>
      <c r="FI232" s="9" t="s">
        <v>236</v>
      </c>
      <c r="FK232" t="s">
        <v>235</v>
      </c>
      <c r="FL232">
        <v>97.3</v>
      </c>
      <c r="FM232">
        <v>126.444516469007</v>
      </c>
      <c r="FN232" s="5" t="s">
        <v>237</v>
      </c>
      <c r="FP232" s="6">
        <v>0.96499999999999997</v>
      </c>
      <c r="FQ232" t="s">
        <v>275</v>
      </c>
      <c r="FS232" t="s">
        <v>240</v>
      </c>
      <c r="FU232" s="8">
        <v>2</v>
      </c>
      <c r="FV232" s="8">
        <v>10</v>
      </c>
      <c r="FW232" s="8">
        <v>10</v>
      </c>
      <c r="FX232" s="8">
        <v>1</v>
      </c>
      <c r="FY232" s="8">
        <v>3</v>
      </c>
      <c r="FZ232">
        <f t="shared" si="3"/>
        <v>600</v>
      </c>
      <c r="GA232" s="7" t="s">
        <v>326</v>
      </c>
      <c r="GB232" s="7" t="s">
        <v>326</v>
      </c>
      <c r="GC232" s="6">
        <v>1.5</v>
      </c>
      <c r="GD232" s="348" t="s">
        <v>242</v>
      </c>
      <c r="GF232" s="6">
        <v>3.2433333333333335E-2</v>
      </c>
      <c r="GH232" s="7"/>
      <c r="GI232" s="441" t="s">
        <v>395</v>
      </c>
      <c r="GJ232" s="441" t="s">
        <v>395</v>
      </c>
      <c r="GK232" s="441" t="s">
        <v>395</v>
      </c>
      <c r="GL232" s="441" t="s">
        <v>395</v>
      </c>
      <c r="GM232" s="452" t="s">
        <v>529</v>
      </c>
      <c r="GN232" s="6">
        <v>0.01</v>
      </c>
      <c r="GO232" s="6">
        <v>1.8749999999999999E-2</v>
      </c>
      <c r="GP232" s="6">
        <v>0.03</v>
      </c>
      <c r="GQ232" s="6">
        <v>7.4999999999999997E-2</v>
      </c>
      <c r="GR232" s="6" t="s">
        <v>230</v>
      </c>
      <c r="GU232" t="s">
        <v>365</v>
      </c>
      <c r="GV232" t="s">
        <v>236</v>
      </c>
      <c r="GW232" t="s">
        <v>359</v>
      </c>
      <c r="GX232" t="s">
        <v>236</v>
      </c>
      <c r="GY232" t="s">
        <v>245</v>
      </c>
      <c r="HE232" t="s">
        <v>246</v>
      </c>
      <c r="HF232" t="s">
        <v>236</v>
      </c>
      <c r="HG232" t="s">
        <v>231</v>
      </c>
      <c r="HH232" t="s">
        <v>236</v>
      </c>
      <c r="HI232" t="s">
        <v>247</v>
      </c>
      <c r="HJ232" t="s">
        <v>236</v>
      </c>
      <c r="HK232" t="s">
        <v>248</v>
      </c>
      <c r="HO232" t="s">
        <v>231</v>
      </c>
      <c r="HP232" t="s">
        <v>225</v>
      </c>
      <c r="HQ232" t="s">
        <v>231</v>
      </c>
      <c r="HR232" t="s">
        <v>225</v>
      </c>
      <c r="HU232" t="s">
        <v>231</v>
      </c>
      <c r="HV232" t="s">
        <v>236</v>
      </c>
      <c r="HW232" t="s">
        <v>246</v>
      </c>
      <c r="HX232" t="s">
        <v>236</v>
      </c>
      <c r="IA232" t="s">
        <v>231</v>
      </c>
      <c r="IB232" t="s">
        <v>250</v>
      </c>
      <c r="IC232" t="s">
        <v>395</v>
      </c>
      <c r="ID232" t="s">
        <v>395</v>
      </c>
      <c r="IE232" t="s">
        <v>395</v>
      </c>
      <c r="IF232" t="s">
        <v>395</v>
      </c>
      <c r="IH232" t="s">
        <v>235</v>
      </c>
    </row>
    <row r="233" spans="1:242" x14ac:dyDescent="0.35">
      <c r="A233" s="310" t="s">
        <v>1466</v>
      </c>
      <c r="B233" s="313" t="s">
        <v>1467</v>
      </c>
      <c r="C233" s="310" t="s">
        <v>1468</v>
      </c>
      <c r="D233" s="316"/>
      <c r="F233" t="s">
        <v>1469</v>
      </c>
      <c r="I233" s="310" t="s">
        <v>1470</v>
      </c>
      <c r="M233" s="313"/>
      <c r="O233"/>
      <c r="P233" s="381"/>
      <c r="Q233"/>
      <c r="T233" s="8"/>
      <c r="U233"/>
      <c r="V233" s="313"/>
      <c r="W233"/>
      <c r="X233"/>
      <c r="Z233"/>
      <c r="AB233"/>
      <c r="AD233" s="8" t="s">
        <v>230</v>
      </c>
      <c r="AF233" s="8" t="s">
        <v>230</v>
      </c>
      <c r="AG233"/>
      <c r="AH233"/>
      <c r="AI233"/>
      <c r="AJ233" t="s">
        <v>221</v>
      </c>
      <c r="AK233">
        <v>0</v>
      </c>
      <c r="AL233">
        <v>0.4</v>
      </c>
      <c r="AM233" t="s">
        <v>221</v>
      </c>
      <c r="AN233" t="s">
        <v>225</v>
      </c>
      <c r="AO233" t="s">
        <v>221</v>
      </c>
      <c r="AP233" t="s">
        <v>225</v>
      </c>
      <c r="AQ233" t="s">
        <v>221</v>
      </c>
      <c r="AR233" t="s">
        <v>236</v>
      </c>
      <c r="AS233" t="s">
        <v>221</v>
      </c>
      <c r="AT233" t="s">
        <v>236</v>
      </c>
      <c r="AU233" t="s">
        <v>220</v>
      </c>
      <c r="AV233"/>
      <c r="AW233" s="313" t="s">
        <v>220</v>
      </c>
      <c r="AX233" t="s">
        <v>226</v>
      </c>
      <c r="AY233" s="313" t="s">
        <v>220</v>
      </c>
      <c r="AZ233" s="313">
        <v>6.0499999999999998E-2</v>
      </c>
      <c r="BB233" s="313" t="s">
        <v>220</v>
      </c>
      <c r="BC233">
        <v>3.0200000000000001E-2</v>
      </c>
      <c r="BD233" t="s">
        <v>227</v>
      </c>
      <c r="BE233">
        <v>5.3999999999999999E-2</v>
      </c>
      <c r="BF233" s="2" t="s">
        <v>220</v>
      </c>
      <c r="BG233" s="2" t="s">
        <v>653</v>
      </c>
      <c r="BH233" s="2" t="s">
        <v>274</v>
      </c>
      <c r="BI233" s="2" t="s">
        <v>275</v>
      </c>
      <c r="BM233"/>
      <c r="BP233" s="8"/>
      <c r="BQ233" t="s">
        <v>230</v>
      </c>
      <c r="BR233" t="s">
        <v>230</v>
      </c>
      <c r="BU233" t="s">
        <v>231</v>
      </c>
      <c r="BV233" t="s">
        <v>236</v>
      </c>
      <c r="BW233" t="s">
        <v>232</v>
      </c>
      <c r="BX233" t="s">
        <v>276</v>
      </c>
      <c r="BY233" t="s">
        <v>220</v>
      </c>
      <c r="BZ233">
        <v>0.154</v>
      </c>
      <c r="CA233" t="s">
        <v>234</v>
      </c>
      <c r="CF233" t="s">
        <v>227</v>
      </c>
      <c r="CG233">
        <v>8.8099999999999998E-2</v>
      </c>
      <c r="CH233" t="s">
        <v>227</v>
      </c>
      <c r="CI233">
        <v>6.9099999999999995E-2</v>
      </c>
      <c r="CK233"/>
      <c r="CL233"/>
      <c r="CM233"/>
      <c r="CS233" s="8"/>
      <c r="CW233" t="s">
        <v>220</v>
      </c>
      <c r="CX233" t="s">
        <v>220</v>
      </c>
      <c r="CY233" t="s">
        <v>231</v>
      </c>
      <c r="CZ233" t="s">
        <v>220</v>
      </c>
      <c r="DA233" t="s">
        <v>227</v>
      </c>
      <c r="DB233" t="s">
        <v>220</v>
      </c>
      <c r="DC233"/>
      <c r="DD233"/>
      <c r="DE233"/>
      <c r="DF233"/>
      <c r="DG233"/>
      <c r="DH233" s="323"/>
      <c r="DI233" s="323"/>
      <c r="DJ233" s="323"/>
      <c r="DL233" t="s">
        <v>220</v>
      </c>
      <c r="DM233" t="s">
        <v>220</v>
      </c>
      <c r="DN233" t="s">
        <v>257</v>
      </c>
      <c r="DO233" t="s">
        <v>227</v>
      </c>
      <c r="DP233" t="s">
        <v>227</v>
      </c>
      <c r="DS233" s="309">
        <v>62.045000000000002</v>
      </c>
      <c r="DU233" s="309">
        <v>154.59</v>
      </c>
      <c r="DW233">
        <v>177</v>
      </c>
      <c r="DX233" t="s">
        <v>238</v>
      </c>
      <c r="DY233">
        <v>150</v>
      </c>
      <c r="DZ233" t="s">
        <v>238</v>
      </c>
      <c r="EA233"/>
      <c r="EB233"/>
      <c r="ED233" s="410"/>
      <c r="EE233" s="1"/>
      <c r="EG233" s="410"/>
      <c r="EI233" s="410"/>
      <c r="EK233" s="1"/>
      <c r="EM233"/>
      <c r="EQ233" s="344"/>
      <c r="EU233" s="344"/>
      <c r="EW233" s="409"/>
      <c r="EY233" s="1"/>
      <c r="FA233">
        <v>2.57</v>
      </c>
      <c r="FB233" t="s">
        <v>225</v>
      </c>
      <c r="FC233" s="7">
        <v>89.022543801021129</v>
      </c>
      <c r="FD233" s="357" t="s">
        <v>225</v>
      </c>
      <c r="FE233" s="8">
        <v>20.300185198596846</v>
      </c>
      <c r="FF233" t="s">
        <v>237</v>
      </c>
      <c r="FH233" s="9">
        <v>621.01201106854091</v>
      </c>
      <c r="FI233" s="9" t="s">
        <v>225</v>
      </c>
      <c r="FJ233">
        <v>35.4</v>
      </c>
      <c r="FK233" t="s">
        <v>238</v>
      </c>
      <c r="FL233">
        <v>64.7</v>
      </c>
      <c r="FM233">
        <v>114.18261895482225</v>
      </c>
      <c r="FN233" s="5" t="s">
        <v>237</v>
      </c>
      <c r="FP233" s="6">
        <v>1.2849999999999999</v>
      </c>
      <c r="FQ233" t="s">
        <v>275</v>
      </c>
      <c r="FS233" t="s">
        <v>240</v>
      </c>
      <c r="FU233" s="8">
        <v>2</v>
      </c>
      <c r="FV233" s="8">
        <v>10</v>
      </c>
      <c r="FW233" s="8">
        <v>10</v>
      </c>
      <c r="FX233" s="8">
        <v>1</v>
      </c>
      <c r="FY233" s="8">
        <v>3</v>
      </c>
      <c r="FZ233">
        <f t="shared" si="3"/>
        <v>600</v>
      </c>
      <c r="GA233" s="7" t="s">
        <v>326</v>
      </c>
      <c r="GB233" s="7" t="s">
        <v>326</v>
      </c>
      <c r="GC233" s="6">
        <v>1.5</v>
      </c>
      <c r="GD233" s="348" t="s">
        <v>242</v>
      </c>
      <c r="GF233" s="6">
        <v>4.2833333333333326E-3</v>
      </c>
      <c r="GH233" s="7"/>
      <c r="GI233" s="441">
        <v>2.9000000000000001E-2</v>
      </c>
      <c r="GJ233" s="441">
        <v>5.3999999999999999E-2</v>
      </c>
      <c r="GK233" s="441">
        <v>8.5999999999999993E-2</v>
      </c>
      <c r="GL233" s="441">
        <v>0.214</v>
      </c>
      <c r="GM233" s="452" t="s">
        <v>262</v>
      </c>
      <c r="GN233" s="6">
        <v>0.01</v>
      </c>
      <c r="GO233" s="6">
        <v>1.8749999999999999E-2</v>
      </c>
      <c r="GP233" s="6">
        <v>0.03</v>
      </c>
      <c r="GQ233" s="6">
        <v>7.4999999999999997E-2</v>
      </c>
      <c r="GR233" s="6" t="s">
        <v>230</v>
      </c>
      <c r="GU233" t="s">
        <v>243</v>
      </c>
      <c r="GV233" t="s">
        <v>225</v>
      </c>
      <c r="GW233" t="s">
        <v>244</v>
      </c>
      <c r="GX233" t="s">
        <v>236</v>
      </c>
      <c r="GY233" t="s">
        <v>245</v>
      </c>
      <c r="HE233" t="s">
        <v>246</v>
      </c>
      <c r="HF233" t="s">
        <v>236</v>
      </c>
      <c r="HG233" t="s">
        <v>231</v>
      </c>
      <c r="HH233" t="s">
        <v>223</v>
      </c>
      <c r="HI233" t="s">
        <v>247</v>
      </c>
      <c r="HJ233" t="s">
        <v>225</v>
      </c>
      <c r="HK233" t="s">
        <v>248</v>
      </c>
      <c r="HO233" t="s">
        <v>231</v>
      </c>
      <c r="HP233" t="s">
        <v>223</v>
      </c>
      <c r="HQ233" t="s">
        <v>231</v>
      </c>
      <c r="HR233" t="s">
        <v>223</v>
      </c>
      <c r="HU233" t="s">
        <v>231</v>
      </c>
      <c r="HV233" t="s">
        <v>223</v>
      </c>
      <c r="HW233" t="s">
        <v>246</v>
      </c>
      <c r="HX233" t="s">
        <v>236</v>
      </c>
      <c r="IA233" t="s">
        <v>231</v>
      </c>
      <c r="IB233" t="s">
        <v>250</v>
      </c>
      <c r="IC233">
        <v>2.9000000000000001E-2</v>
      </c>
      <c r="ID233">
        <v>5.3999999999999999E-2</v>
      </c>
      <c r="IE233">
        <v>8.5999999999999993E-2</v>
      </c>
      <c r="IF233">
        <v>0.214</v>
      </c>
      <c r="IH233" t="s">
        <v>267</v>
      </c>
    </row>
    <row r="234" spans="1:242" x14ac:dyDescent="0.35">
      <c r="A234" s="310" t="s">
        <v>1471</v>
      </c>
      <c r="B234" s="313" t="s">
        <v>1472</v>
      </c>
      <c r="C234" s="310" t="s">
        <v>1473</v>
      </c>
      <c r="D234" s="316"/>
      <c r="F234" t="s">
        <v>1473</v>
      </c>
      <c r="I234" s="310" t="s">
        <v>1474</v>
      </c>
      <c r="M234" s="313"/>
      <c r="O234"/>
      <c r="P234" s="381"/>
      <c r="Q234"/>
      <c r="T234" s="8"/>
      <c r="U234"/>
      <c r="V234" s="313"/>
      <c r="W234"/>
      <c r="X234"/>
      <c r="Z234"/>
      <c r="AB234"/>
      <c r="AD234" s="8" t="s">
        <v>230</v>
      </c>
      <c r="AF234" s="8" t="s">
        <v>230</v>
      </c>
      <c r="AG234"/>
      <c r="AH234"/>
      <c r="AI234"/>
      <c r="AJ234" t="s">
        <v>221</v>
      </c>
      <c r="AK234">
        <v>0.05</v>
      </c>
      <c r="AL234">
        <v>0.67500000000000004</v>
      </c>
      <c r="AM234" s="442" t="s">
        <v>414</v>
      </c>
      <c r="AN234" t="s">
        <v>236</v>
      </c>
      <c r="AO234" t="s">
        <v>224</v>
      </c>
      <c r="AP234" t="s">
        <v>223</v>
      </c>
      <c r="AQ234" t="s">
        <v>221</v>
      </c>
      <c r="AR234" t="s">
        <v>223</v>
      </c>
      <c r="AS234" t="s">
        <v>221</v>
      </c>
      <c r="AT234" t="s">
        <v>223</v>
      </c>
      <c r="AU234" t="s">
        <v>220</v>
      </c>
      <c r="AV234"/>
      <c r="AW234" s="313" t="s">
        <v>220</v>
      </c>
      <c r="AX234" t="s">
        <v>226</v>
      </c>
      <c r="AY234" s="313" t="s">
        <v>220</v>
      </c>
      <c r="AZ234" s="313">
        <v>0.22500000000000001</v>
      </c>
      <c r="BA234" s="3" t="s">
        <v>415</v>
      </c>
      <c r="BB234" s="313" t="s">
        <v>220</v>
      </c>
      <c r="BC234">
        <v>0.11600000000000001</v>
      </c>
      <c r="BD234" t="s">
        <v>220</v>
      </c>
      <c r="BE234">
        <v>3.6499999999999998E-2</v>
      </c>
      <c r="BF234" s="2" t="s">
        <v>220</v>
      </c>
      <c r="BG234" s="3" t="s">
        <v>416</v>
      </c>
      <c r="BH234" s="2" t="s">
        <v>274</v>
      </c>
      <c r="BI234" s="2" t="s">
        <v>275</v>
      </c>
      <c r="BM234"/>
      <c r="BP234" s="8"/>
      <c r="BQ234" t="s">
        <v>230</v>
      </c>
      <c r="BR234" t="s">
        <v>230</v>
      </c>
      <c r="BU234" t="s">
        <v>231</v>
      </c>
      <c r="BV234" t="s">
        <v>225</v>
      </c>
      <c r="BW234" t="s">
        <v>232</v>
      </c>
      <c r="BX234" t="s">
        <v>276</v>
      </c>
      <c r="BY234" t="s">
        <v>257</v>
      </c>
      <c r="BZ234">
        <v>0.625</v>
      </c>
      <c r="CA234" t="s">
        <v>234</v>
      </c>
      <c r="CF234" t="s">
        <v>227</v>
      </c>
      <c r="CG234">
        <v>0.34599999999999997</v>
      </c>
      <c r="CH234" t="s">
        <v>227</v>
      </c>
      <c r="CI234">
        <v>0.48199999999999998</v>
      </c>
      <c r="CK234"/>
      <c r="CL234"/>
      <c r="CM234"/>
      <c r="CS234" s="8"/>
      <c r="CW234" t="s">
        <v>220</v>
      </c>
      <c r="CX234" t="s">
        <v>227</v>
      </c>
      <c r="CY234" t="s">
        <v>231</v>
      </c>
      <c r="CZ234" t="s">
        <v>220</v>
      </c>
      <c r="DA234" t="s">
        <v>220</v>
      </c>
      <c r="DB234" t="s">
        <v>220</v>
      </c>
      <c r="DC234"/>
      <c r="DD234"/>
      <c r="DE234"/>
      <c r="DF234"/>
      <c r="DG234"/>
      <c r="DH234" s="323"/>
      <c r="DI234" s="323"/>
      <c r="DJ234" s="323"/>
      <c r="DL234" t="s">
        <v>257</v>
      </c>
      <c r="DM234" t="s">
        <v>220</v>
      </c>
      <c r="DN234" t="s">
        <v>227</v>
      </c>
      <c r="DO234" t="s">
        <v>257</v>
      </c>
      <c r="DP234" t="s">
        <v>220</v>
      </c>
      <c r="DS234" s="309">
        <v>64.462000000000003</v>
      </c>
      <c r="DU234" s="309">
        <v>259.26900000000001</v>
      </c>
      <c r="DW234"/>
      <c r="DX234" t="s">
        <v>235</v>
      </c>
      <c r="DY234"/>
      <c r="DZ234" t="s">
        <v>235</v>
      </c>
      <c r="EA234"/>
      <c r="EB234"/>
      <c r="ED234" s="410"/>
      <c r="EE234" s="1"/>
      <c r="EG234" s="410"/>
      <c r="EI234" s="410"/>
      <c r="EK234" s="1"/>
      <c r="EM234"/>
      <c r="EQ234" s="344"/>
      <c r="EU234" s="344"/>
      <c r="EW234" s="409"/>
      <c r="EY234" s="1"/>
      <c r="FA234">
        <v>53.29</v>
      </c>
      <c r="FB234" t="s">
        <v>236</v>
      </c>
      <c r="FC234" s="7">
        <v>177.09243113450657</v>
      </c>
      <c r="FD234" s="357" t="s">
        <v>236</v>
      </c>
      <c r="FE234" s="8">
        <v>59.115313898082761</v>
      </c>
      <c r="FF234" t="s">
        <v>237</v>
      </c>
      <c r="FH234" s="9">
        <v>193.64219639466071</v>
      </c>
      <c r="FI234" s="9" t="s">
        <v>236</v>
      </c>
      <c r="FK234" t="s">
        <v>235</v>
      </c>
      <c r="FL234">
        <v>65.099999999999994</v>
      </c>
      <c r="FM234">
        <v>214.48651854918018</v>
      </c>
      <c r="FN234" s="5" t="s">
        <v>237</v>
      </c>
      <c r="FP234" s="6">
        <v>6.51</v>
      </c>
      <c r="FQ234" t="s">
        <v>239</v>
      </c>
      <c r="FS234" t="s">
        <v>240</v>
      </c>
      <c r="FU234" s="8">
        <v>1</v>
      </c>
      <c r="FV234" s="8">
        <v>10</v>
      </c>
      <c r="FW234" s="8">
        <v>10</v>
      </c>
      <c r="FX234" s="8">
        <v>10</v>
      </c>
      <c r="FY234" s="8">
        <v>3</v>
      </c>
      <c r="FZ234">
        <f t="shared" si="3"/>
        <v>3000</v>
      </c>
      <c r="GA234" s="7" t="s">
        <v>326</v>
      </c>
      <c r="GB234" s="7" t="s">
        <v>326</v>
      </c>
      <c r="GC234" s="6">
        <v>1.5</v>
      </c>
      <c r="GD234" s="348" t="s">
        <v>242</v>
      </c>
      <c r="GF234" s="6">
        <v>2.1700000000000001E-2</v>
      </c>
      <c r="GH234" s="7"/>
      <c r="GI234" s="441">
        <v>0.14499999999999999</v>
      </c>
      <c r="GJ234" s="441">
        <v>0.27100000000000002</v>
      </c>
      <c r="GK234" s="441">
        <v>0.434</v>
      </c>
      <c r="GL234" s="441">
        <v>1.085</v>
      </c>
      <c r="GM234" s="452" t="s">
        <v>262</v>
      </c>
      <c r="GN234" s="6">
        <v>0.01</v>
      </c>
      <c r="GO234" s="6">
        <v>1.8749999999999999E-2</v>
      </c>
      <c r="GP234" s="6">
        <v>0.03</v>
      </c>
      <c r="GQ234" s="6">
        <v>7.4999999999999997E-2</v>
      </c>
      <c r="GR234" s="6" t="s">
        <v>230</v>
      </c>
      <c r="GU234" t="s">
        <v>365</v>
      </c>
      <c r="GV234" t="s">
        <v>236</v>
      </c>
      <c r="GW234" t="s">
        <v>359</v>
      </c>
      <c r="GX234" t="s">
        <v>225</v>
      </c>
      <c r="GY234" t="s">
        <v>245</v>
      </c>
      <c r="HE234" t="s">
        <v>247</v>
      </c>
      <c r="HF234" t="s">
        <v>225</v>
      </c>
      <c r="HG234" t="s">
        <v>231</v>
      </c>
      <c r="HH234" t="s">
        <v>225</v>
      </c>
      <c r="HI234" t="s">
        <v>247</v>
      </c>
      <c r="HJ234" t="s">
        <v>223</v>
      </c>
      <c r="HK234" t="s">
        <v>248</v>
      </c>
      <c r="HO234" t="s">
        <v>231</v>
      </c>
      <c r="HP234" t="s">
        <v>223</v>
      </c>
      <c r="HQ234" t="s">
        <v>231</v>
      </c>
      <c r="HR234" t="s">
        <v>223</v>
      </c>
      <c r="HU234" t="s">
        <v>231</v>
      </c>
      <c r="HV234" t="s">
        <v>223</v>
      </c>
      <c r="HW234" t="s">
        <v>506</v>
      </c>
      <c r="HX234" t="s">
        <v>236</v>
      </c>
      <c r="IA234" t="s">
        <v>231</v>
      </c>
      <c r="IB234" t="s">
        <v>250</v>
      </c>
      <c r="IC234">
        <v>0.14499999999999999</v>
      </c>
      <c r="ID234">
        <v>0.27100000000000002</v>
      </c>
      <c r="IE234">
        <v>0.434</v>
      </c>
      <c r="IF234">
        <v>1.085</v>
      </c>
      <c r="IH234" t="s">
        <v>267</v>
      </c>
    </row>
    <row r="235" spans="1:242" x14ac:dyDescent="0.35">
      <c r="A235" s="310" t="s">
        <v>1475</v>
      </c>
      <c r="B235" s="313" t="s">
        <v>1476</v>
      </c>
      <c r="C235" s="310" t="s">
        <v>1477</v>
      </c>
      <c r="D235" s="316"/>
      <c r="F235" t="s">
        <v>1478</v>
      </c>
      <c r="I235" s="310" t="s">
        <v>1479</v>
      </c>
      <c r="M235" s="313"/>
      <c r="O235"/>
      <c r="P235" s="381"/>
      <c r="Q235"/>
      <c r="T235" s="8"/>
      <c r="U235"/>
      <c r="V235" s="313"/>
      <c r="W235"/>
      <c r="X235"/>
      <c r="Z235"/>
      <c r="AB235"/>
      <c r="AD235" s="8" t="s">
        <v>230</v>
      </c>
      <c r="AF235" s="8" t="s">
        <v>230</v>
      </c>
      <c r="AG235"/>
      <c r="AH235"/>
      <c r="AI235"/>
      <c r="AJ235" t="s">
        <v>221</v>
      </c>
      <c r="AK235">
        <v>0</v>
      </c>
      <c r="AL235">
        <v>0.67500000000000004</v>
      </c>
      <c r="AM235" t="s">
        <v>221</v>
      </c>
      <c r="AN235" t="s">
        <v>225</v>
      </c>
      <c r="AO235" t="s">
        <v>221</v>
      </c>
      <c r="AP235" t="s">
        <v>225</v>
      </c>
      <c r="AQ235" t="s">
        <v>221</v>
      </c>
      <c r="AR235" t="s">
        <v>225</v>
      </c>
      <c r="AS235" t="s">
        <v>221</v>
      </c>
      <c r="AT235" t="s">
        <v>223</v>
      </c>
      <c r="AU235" t="s">
        <v>220</v>
      </c>
      <c r="AV235"/>
      <c r="AW235" s="313" t="s">
        <v>220</v>
      </c>
      <c r="AX235" t="s">
        <v>226</v>
      </c>
      <c r="AY235" s="313" t="s">
        <v>220</v>
      </c>
      <c r="AZ235" s="313">
        <v>0.26700000000000002</v>
      </c>
      <c r="BB235" s="313" t="s">
        <v>220</v>
      </c>
      <c r="BC235">
        <v>0.16500000000000001</v>
      </c>
      <c r="BD235" t="s">
        <v>220</v>
      </c>
      <c r="BE235">
        <v>0.11799999999999999</v>
      </c>
      <c r="BF235" s="2" t="s">
        <v>220</v>
      </c>
      <c r="BG235" s="2" t="s">
        <v>273</v>
      </c>
      <c r="BH235" s="2" t="s">
        <v>274</v>
      </c>
      <c r="BI235" s="2" t="s">
        <v>275</v>
      </c>
      <c r="BM235"/>
      <c r="BP235" s="8"/>
      <c r="BQ235" t="s">
        <v>230</v>
      </c>
      <c r="BR235" t="s">
        <v>230</v>
      </c>
      <c r="BU235" t="s">
        <v>231</v>
      </c>
      <c r="BV235" t="s">
        <v>223</v>
      </c>
      <c r="BW235" t="s">
        <v>232</v>
      </c>
      <c r="BX235" t="s">
        <v>276</v>
      </c>
      <c r="BY235" t="s">
        <v>220</v>
      </c>
      <c r="BZ235">
        <v>0.28100000000000003</v>
      </c>
      <c r="CA235" t="s">
        <v>234</v>
      </c>
      <c r="CF235" t="s">
        <v>220</v>
      </c>
      <c r="CG235">
        <v>0.214</v>
      </c>
      <c r="CH235" t="s">
        <v>220</v>
      </c>
      <c r="CI235">
        <v>0.23200000000000001</v>
      </c>
      <c r="CK235"/>
      <c r="CL235"/>
      <c r="CM235"/>
      <c r="CS235" s="8"/>
      <c r="CW235" t="s">
        <v>227</v>
      </c>
      <c r="CX235" t="s">
        <v>220</v>
      </c>
      <c r="CY235" t="s">
        <v>231</v>
      </c>
      <c r="CZ235" t="s">
        <v>257</v>
      </c>
      <c r="DA235" t="s">
        <v>220</v>
      </c>
      <c r="DB235" t="s">
        <v>220</v>
      </c>
      <c r="DC235"/>
      <c r="DD235"/>
      <c r="DE235"/>
      <c r="DF235"/>
      <c r="DG235"/>
      <c r="DH235" s="323"/>
      <c r="DI235" s="323"/>
      <c r="DJ235" s="323"/>
      <c r="DL235" t="s">
        <v>257</v>
      </c>
      <c r="DM235" t="s">
        <v>220</v>
      </c>
      <c r="DN235" t="s">
        <v>227</v>
      </c>
      <c r="DO235" t="s">
        <v>220</v>
      </c>
      <c r="DP235" t="s">
        <v>220</v>
      </c>
      <c r="DS235" s="309">
        <v>51.798999999999999</v>
      </c>
      <c r="DU235" s="309">
        <v>334.70699999999999</v>
      </c>
      <c r="DW235"/>
      <c r="DX235" t="s">
        <v>235</v>
      </c>
      <c r="DY235"/>
      <c r="DZ235" t="s">
        <v>235</v>
      </c>
      <c r="EA235"/>
      <c r="EB235"/>
      <c r="ED235" s="410"/>
      <c r="EE235" s="1"/>
      <c r="EG235" s="410"/>
      <c r="EI235" s="410"/>
      <c r="EK235" s="1"/>
      <c r="EM235"/>
      <c r="EQ235" s="344"/>
      <c r="EU235" s="344"/>
      <c r="EW235" s="409"/>
      <c r="EY235" s="1"/>
      <c r="FA235">
        <v>55.2</v>
      </c>
      <c r="FB235" t="s">
        <v>225</v>
      </c>
      <c r="FC235" s="7">
        <v>116.35900529847595</v>
      </c>
      <c r="FD235" s="357" t="s">
        <v>225</v>
      </c>
      <c r="FE235" s="8">
        <v>120.64240881970022</v>
      </c>
      <c r="FF235" t="s">
        <v>237</v>
      </c>
      <c r="FH235" s="9">
        <v>51.132850030196472</v>
      </c>
      <c r="FI235" s="9" t="s">
        <v>223</v>
      </c>
      <c r="FK235" t="s">
        <v>235</v>
      </c>
      <c r="FL235">
        <v>97.7</v>
      </c>
      <c r="FM235">
        <v>248.77114210033102</v>
      </c>
      <c r="FN235" s="5" t="s">
        <v>237</v>
      </c>
      <c r="FP235" s="6">
        <v>9.77</v>
      </c>
      <c r="FQ235" t="s">
        <v>239</v>
      </c>
      <c r="FS235" t="s">
        <v>240</v>
      </c>
      <c r="FU235" s="8">
        <v>1</v>
      </c>
      <c r="FV235" s="8">
        <v>10</v>
      </c>
      <c r="FW235" s="8">
        <v>10</v>
      </c>
      <c r="FX235" s="8">
        <v>10</v>
      </c>
      <c r="FY235" s="8">
        <v>3</v>
      </c>
      <c r="FZ235">
        <f t="shared" si="3"/>
        <v>3000</v>
      </c>
      <c r="GA235" s="7" t="s">
        <v>303</v>
      </c>
      <c r="GB235" s="7" t="s">
        <v>303</v>
      </c>
      <c r="GC235" s="6">
        <v>9</v>
      </c>
      <c r="GD235" s="348" t="s">
        <v>383</v>
      </c>
      <c r="GF235" s="6">
        <v>3.256666666666666E-2</v>
      </c>
      <c r="GH235" s="7"/>
      <c r="GI235" s="441">
        <v>0.217</v>
      </c>
      <c r="GJ235" s="441">
        <v>0.40699999999999997</v>
      </c>
      <c r="GK235" s="441">
        <v>0.65100000000000002</v>
      </c>
      <c r="GL235" s="441">
        <v>1.6279999999999999</v>
      </c>
      <c r="GM235" s="452" t="s">
        <v>262</v>
      </c>
      <c r="GN235" s="6">
        <v>0.06</v>
      </c>
      <c r="GO235" s="6">
        <v>0.1125</v>
      </c>
      <c r="GP235" s="6">
        <v>0.18</v>
      </c>
      <c r="GQ235" s="6">
        <v>0.45</v>
      </c>
      <c r="GR235" s="6" t="s">
        <v>230</v>
      </c>
      <c r="GU235" t="s">
        <v>365</v>
      </c>
      <c r="GV235" t="s">
        <v>223</v>
      </c>
      <c r="GW235" t="s">
        <v>244</v>
      </c>
      <c r="GX235" t="s">
        <v>236</v>
      </c>
      <c r="GY235" t="s">
        <v>245</v>
      </c>
      <c r="HE235" t="s">
        <v>384</v>
      </c>
      <c r="HF235" t="s">
        <v>223</v>
      </c>
      <c r="HG235" t="s">
        <v>231</v>
      </c>
      <c r="HH235" t="s">
        <v>223</v>
      </c>
      <c r="HI235" t="s">
        <v>247</v>
      </c>
      <c r="HJ235" t="s">
        <v>223</v>
      </c>
      <c r="HK235" t="s">
        <v>248</v>
      </c>
      <c r="HO235" t="s">
        <v>231</v>
      </c>
      <c r="HP235" t="s">
        <v>223</v>
      </c>
      <c r="HQ235" t="s">
        <v>231</v>
      </c>
      <c r="HR235" t="s">
        <v>223</v>
      </c>
      <c r="HU235" t="s">
        <v>231</v>
      </c>
      <c r="HV235" t="s">
        <v>223</v>
      </c>
      <c r="HW235" t="s">
        <v>246</v>
      </c>
      <c r="HX235" t="s">
        <v>236</v>
      </c>
      <c r="IA235" t="s">
        <v>231</v>
      </c>
      <c r="IB235" t="s">
        <v>250</v>
      </c>
      <c r="IC235">
        <v>0.217</v>
      </c>
      <c r="ID235">
        <v>0.40699999999999997</v>
      </c>
      <c r="IE235">
        <v>0.65100000000000002</v>
      </c>
      <c r="IF235">
        <v>1.6279999999999999</v>
      </c>
      <c r="IH235" t="s">
        <v>267</v>
      </c>
    </row>
    <row r="236" spans="1:242" x14ac:dyDescent="0.35">
      <c r="A236" s="310" t="s">
        <v>1480</v>
      </c>
      <c r="B236" s="313" t="s">
        <v>1481</v>
      </c>
      <c r="C236" s="310" t="s">
        <v>1482</v>
      </c>
      <c r="D236" s="316"/>
      <c r="F236" t="s">
        <v>1483</v>
      </c>
      <c r="I236" s="310" t="s">
        <v>1484</v>
      </c>
      <c r="M236" s="313"/>
      <c r="O236"/>
      <c r="P236" s="381"/>
      <c r="Q236"/>
      <c r="T236" s="8"/>
      <c r="U236"/>
      <c r="V236" s="313"/>
      <c r="W236" t="s">
        <v>301</v>
      </c>
      <c r="X236"/>
      <c r="Z236"/>
      <c r="AB236"/>
      <c r="AD236" s="8" t="s">
        <v>222</v>
      </c>
      <c r="AF236" s="8" t="s">
        <v>230</v>
      </c>
      <c r="AG236"/>
      <c r="AH236"/>
      <c r="AI236"/>
      <c r="AJ236" t="s">
        <v>221</v>
      </c>
      <c r="AK236">
        <v>0</v>
      </c>
      <c r="AL236">
        <v>0.9</v>
      </c>
      <c r="AM236" t="s">
        <v>221</v>
      </c>
      <c r="AN236" t="s">
        <v>223</v>
      </c>
      <c r="AO236" t="s">
        <v>221</v>
      </c>
      <c r="AP236" t="s">
        <v>223</v>
      </c>
      <c r="AQ236" t="s">
        <v>221</v>
      </c>
      <c r="AR236" t="s">
        <v>223</v>
      </c>
      <c r="AS236" t="s">
        <v>221</v>
      </c>
      <c r="AT236" t="s">
        <v>223</v>
      </c>
      <c r="AU236" t="s">
        <v>220</v>
      </c>
      <c r="AV236"/>
      <c r="AW236" s="313" t="s">
        <v>220</v>
      </c>
      <c r="AX236" t="s">
        <v>226</v>
      </c>
      <c r="AY236" s="313" t="s">
        <v>220</v>
      </c>
      <c r="AZ236" s="313">
        <v>0.13100000000000001</v>
      </c>
      <c r="BB236" s="313" t="s">
        <v>220</v>
      </c>
      <c r="BC236">
        <v>5.3999999999999999E-2</v>
      </c>
      <c r="BD236" t="s">
        <v>220</v>
      </c>
      <c r="BE236">
        <v>5.5899999999999998E-2</v>
      </c>
      <c r="BF236" s="2" t="s">
        <v>220</v>
      </c>
      <c r="BH236" s="2" t="s">
        <v>228</v>
      </c>
      <c r="BI236" s="2" t="s">
        <v>302</v>
      </c>
      <c r="BM236"/>
      <c r="BP236" s="8"/>
      <c r="BQ236" t="s">
        <v>230</v>
      </c>
      <c r="BR236" t="s">
        <v>230</v>
      </c>
      <c r="BU236" t="s">
        <v>317</v>
      </c>
      <c r="BV236" t="s">
        <v>236</v>
      </c>
      <c r="BW236" t="s">
        <v>232</v>
      </c>
      <c r="BX236" t="s">
        <v>284</v>
      </c>
      <c r="BY236" t="s">
        <v>220</v>
      </c>
      <c r="BZ236">
        <v>0.33</v>
      </c>
      <c r="CA236" t="s">
        <v>372</v>
      </c>
      <c r="CF236" t="s">
        <v>220</v>
      </c>
      <c r="CG236">
        <v>1.1299999999999999E-2</v>
      </c>
      <c r="CH236" t="s">
        <v>257</v>
      </c>
      <c r="CI236">
        <v>0.55900000000000005</v>
      </c>
      <c r="CK236"/>
      <c r="CL236"/>
      <c r="CM236"/>
      <c r="CS236" s="8"/>
      <c r="CW236" t="s">
        <v>220</v>
      </c>
      <c r="CX236" t="s">
        <v>257</v>
      </c>
      <c r="CY236" t="s">
        <v>231</v>
      </c>
      <c r="CZ236" t="s">
        <v>220</v>
      </c>
      <c r="DA236" t="s">
        <v>220</v>
      </c>
      <c r="DB236" t="s">
        <v>220</v>
      </c>
      <c r="DC236"/>
      <c r="DD236"/>
      <c r="DE236"/>
      <c r="DF236"/>
      <c r="DG236"/>
      <c r="DH236" s="323"/>
      <c r="DI236" s="323"/>
      <c r="DJ236" s="323"/>
      <c r="DL236" t="s">
        <v>257</v>
      </c>
      <c r="DM236" t="s">
        <v>220</v>
      </c>
      <c r="DN236" t="s">
        <v>227</v>
      </c>
      <c r="DO236" t="s">
        <v>257</v>
      </c>
      <c r="DP236" t="s">
        <v>257</v>
      </c>
      <c r="DS236" s="309">
        <v>121.724</v>
      </c>
      <c r="DU236" s="309">
        <v>566.51099999999997</v>
      </c>
      <c r="DW236">
        <v>141</v>
      </c>
      <c r="DX236" t="s">
        <v>238</v>
      </c>
      <c r="DY236">
        <v>2470</v>
      </c>
      <c r="DZ236" t="s">
        <v>238</v>
      </c>
      <c r="EA236">
        <v>100</v>
      </c>
      <c r="EB236"/>
      <c r="ED236" s="410"/>
      <c r="EE236" s="1"/>
      <c r="EG236" s="410"/>
      <c r="EI236" s="410"/>
      <c r="EK236" s="1"/>
      <c r="EM236"/>
      <c r="EQ236" s="344"/>
      <c r="EU236" s="344"/>
      <c r="EW236" s="409"/>
      <c r="EY236" s="1"/>
      <c r="FA236">
        <v>180.3</v>
      </c>
      <c r="FB236"/>
      <c r="FC236" s="7">
        <v>854.27952990484891</v>
      </c>
      <c r="FD236" s="357" t="s">
        <v>225</v>
      </c>
      <c r="FE236" s="8">
        <v>35.228974399145585</v>
      </c>
      <c r="FF236" t="s">
        <v>237</v>
      </c>
      <c r="FH236" s="9">
        <v>282.55305024595594</v>
      </c>
      <c r="FI236" s="9" t="s">
        <v>225</v>
      </c>
      <c r="FJ236">
        <v>364</v>
      </c>
      <c r="FK236" t="s">
        <v>238</v>
      </c>
      <c r="FL236">
        <v>374</v>
      </c>
      <c r="FM236">
        <v>95.257679985546076</v>
      </c>
      <c r="FN236" s="5" t="s">
        <v>237</v>
      </c>
      <c r="FP236" s="6">
        <v>50</v>
      </c>
      <c r="FQ236" t="s">
        <v>535</v>
      </c>
      <c r="FS236" t="s">
        <v>261</v>
      </c>
      <c r="FU236" s="8">
        <v>2</v>
      </c>
      <c r="FV236" s="8">
        <v>10</v>
      </c>
      <c r="FW236" s="8">
        <v>10</v>
      </c>
      <c r="FX236" s="8">
        <v>1</v>
      </c>
      <c r="FY236" s="8">
        <v>3</v>
      </c>
      <c r="FZ236">
        <f t="shared" si="3"/>
        <v>600</v>
      </c>
      <c r="GA236" s="7" t="s">
        <v>241</v>
      </c>
      <c r="GB236" s="7" t="s">
        <v>241</v>
      </c>
      <c r="GC236" s="6">
        <v>30</v>
      </c>
      <c r="GD236" s="348" t="s">
        <v>242</v>
      </c>
      <c r="GF236" s="6">
        <v>5.8714957331909304E-2</v>
      </c>
      <c r="GH236" s="7"/>
      <c r="GI236" s="441">
        <v>1.111</v>
      </c>
      <c r="GJ236" s="441">
        <v>2.0830000000000002</v>
      </c>
      <c r="GK236" s="441">
        <v>3.3330000000000002</v>
      </c>
      <c r="GL236" s="441">
        <v>8.3330000000000002</v>
      </c>
      <c r="GM236" s="452" t="s">
        <v>529</v>
      </c>
      <c r="GN236" s="6">
        <v>0.2</v>
      </c>
      <c r="GO236" s="6">
        <v>0.375</v>
      </c>
      <c r="GP236" s="6">
        <v>0.6</v>
      </c>
      <c r="GQ236" s="6">
        <v>1.5</v>
      </c>
      <c r="GR236" s="6" t="s">
        <v>230</v>
      </c>
      <c r="GU236" t="s">
        <v>243</v>
      </c>
      <c r="GV236" t="s">
        <v>236</v>
      </c>
      <c r="GW236" t="s">
        <v>244</v>
      </c>
      <c r="GX236" t="s">
        <v>236</v>
      </c>
      <c r="GY236" t="s">
        <v>245</v>
      </c>
      <c r="GZ236" t="s">
        <v>376</v>
      </c>
      <c r="HB236" t="s">
        <v>376</v>
      </c>
      <c r="HE236" t="s">
        <v>247</v>
      </c>
      <c r="HF236" t="s">
        <v>249</v>
      </c>
      <c r="HG236" t="s">
        <v>317</v>
      </c>
      <c r="HH236" t="s">
        <v>236</v>
      </c>
      <c r="HI236" t="s">
        <v>247</v>
      </c>
      <c r="HJ236" t="s">
        <v>249</v>
      </c>
      <c r="HK236" t="s">
        <v>266</v>
      </c>
      <c r="HL236" t="s">
        <v>231</v>
      </c>
      <c r="HM236" t="s">
        <v>231</v>
      </c>
      <c r="HO236" t="s">
        <v>231</v>
      </c>
      <c r="HP236" t="s">
        <v>249</v>
      </c>
      <c r="HQ236" t="s">
        <v>231</v>
      </c>
      <c r="HR236" t="s">
        <v>249</v>
      </c>
      <c r="HS236" t="s">
        <v>231</v>
      </c>
      <c r="HU236" t="s">
        <v>231</v>
      </c>
      <c r="HV236" t="s">
        <v>249</v>
      </c>
      <c r="HW236" t="s">
        <v>563</v>
      </c>
      <c r="HX236" t="s">
        <v>236</v>
      </c>
      <c r="IA236" t="s">
        <v>231</v>
      </c>
      <c r="IB236" t="s">
        <v>250</v>
      </c>
      <c r="IC236">
        <v>1.111</v>
      </c>
      <c r="ID236">
        <v>2.0830000000000002</v>
      </c>
      <c r="IE236">
        <v>3.3330000000000002</v>
      </c>
      <c r="IF236">
        <v>8.3330000000000002</v>
      </c>
      <c r="IH236" t="s">
        <v>267</v>
      </c>
    </row>
    <row r="237" spans="1:242" x14ac:dyDescent="0.35">
      <c r="A237" s="310" t="s">
        <v>1485</v>
      </c>
      <c r="B237" s="313" t="s">
        <v>1486</v>
      </c>
      <c r="C237" s="310" t="s">
        <v>1487</v>
      </c>
      <c r="D237" s="316"/>
      <c r="F237" t="s">
        <v>1487</v>
      </c>
      <c r="I237" s="310" t="s">
        <v>1488</v>
      </c>
      <c r="M237" s="313"/>
      <c r="O237"/>
      <c r="P237" s="381"/>
      <c r="Q237"/>
      <c r="T237" s="8"/>
      <c r="U237"/>
      <c r="V237" s="313"/>
      <c r="W237"/>
      <c r="X237"/>
      <c r="Z237"/>
      <c r="AB237"/>
      <c r="AD237" s="8" t="s">
        <v>230</v>
      </c>
      <c r="AF237" s="8" t="s">
        <v>230</v>
      </c>
      <c r="AG237"/>
      <c r="AH237"/>
      <c r="AI237"/>
      <c r="AJ237" t="s">
        <v>221</v>
      </c>
      <c r="AK237">
        <v>0</v>
      </c>
      <c r="AL237">
        <v>0.9</v>
      </c>
      <c r="AM237" t="s">
        <v>221</v>
      </c>
      <c r="AN237" t="s">
        <v>223</v>
      </c>
      <c r="AO237" t="s">
        <v>224</v>
      </c>
      <c r="AP237" t="s">
        <v>223</v>
      </c>
      <c r="AQ237" t="s">
        <v>221</v>
      </c>
      <c r="AR237" t="s">
        <v>223</v>
      </c>
      <c r="AS237" t="s">
        <v>221</v>
      </c>
      <c r="AT237" t="s">
        <v>223</v>
      </c>
      <c r="AU237" t="s">
        <v>220</v>
      </c>
      <c r="AV237"/>
      <c r="AW237" s="313" t="s">
        <v>220</v>
      </c>
      <c r="AX237" t="s">
        <v>226</v>
      </c>
      <c r="AY237" s="313" t="s">
        <v>220</v>
      </c>
      <c r="AZ237" s="313">
        <v>0.23699999999999999</v>
      </c>
      <c r="BB237" s="313" t="s">
        <v>220</v>
      </c>
      <c r="BC237">
        <v>0.20200000000000001</v>
      </c>
      <c r="BD237" t="s">
        <v>220</v>
      </c>
      <c r="BE237">
        <v>0.248</v>
      </c>
      <c r="BF237" s="2" t="s">
        <v>220</v>
      </c>
      <c r="BG237" s="2" t="s">
        <v>273</v>
      </c>
      <c r="BH237" s="2" t="s">
        <v>274</v>
      </c>
      <c r="BI237" s="2" t="s">
        <v>275</v>
      </c>
      <c r="BM237"/>
      <c r="BP237" s="8"/>
      <c r="BQ237" t="s">
        <v>230</v>
      </c>
      <c r="BR237" t="s">
        <v>230</v>
      </c>
      <c r="BU237" t="s">
        <v>293</v>
      </c>
      <c r="BV237" t="s">
        <v>236</v>
      </c>
      <c r="BW237" t="s">
        <v>232</v>
      </c>
      <c r="BX237" t="s">
        <v>276</v>
      </c>
      <c r="BY237" t="s">
        <v>220</v>
      </c>
      <c r="BZ237">
        <v>0.45600000000000002</v>
      </c>
      <c r="CA237" t="s">
        <v>234</v>
      </c>
      <c r="CF237" t="s">
        <v>227</v>
      </c>
      <c r="CG237">
        <v>0.58399999999999996</v>
      </c>
      <c r="CH237" t="s">
        <v>257</v>
      </c>
      <c r="CI237">
        <v>0.65900000000000003</v>
      </c>
      <c r="CK237"/>
      <c r="CL237"/>
      <c r="CM237"/>
      <c r="CS237" s="8"/>
      <c r="CW237" t="s">
        <v>227</v>
      </c>
      <c r="CX237" t="s">
        <v>220</v>
      </c>
      <c r="CY237" t="s">
        <v>231</v>
      </c>
      <c r="CZ237" t="s">
        <v>220</v>
      </c>
      <c r="DA237" t="s">
        <v>227</v>
      </c>
      <c r="DB237" t="s">
        <v>220</v>
      </c>
      <c r="DC237"/>
      <c r="DD237"/>
      <c r="DE237"/>
      <c r="DF237"/>
      <c r="DG237"/>
      <c r="DH237" s="323"/>
      <c r="DI237" s="323"/>
      <c r="DJ237" s="323"/>
      <c r="DL237" t="s">
        <v>257</v>
      </c>
      <c r="DM237" t="s">
        <v>257</v>
      </c>
      <c r="DN237" t="s">
        <v>257</v>
      </c>
      <c r="DO237" t="s">
        <v>220</v>
      </c>
      <c r="DP237" t="s">
        <v>220</v>
      </c>
      <c r="DS237" s="309">
        <v>84.784000000000006</v>
      </c>
      <c r="DU237" s="309">
        <v>175.00800000000001</v>
      </c>
      <c r="DW237"/>
      <c r="DX237" t="s">
        <v>235</v>
      </c>
      <c r="DY237"/>
      <c r="DZ237" t="s">
        <v>235</v>
      </c>
      <c r="EA237"/>
      <c r="EB237"/>
      <c r="ED237" s="410"/>
      <c r="EE237" s="1"/>
      <c r="EG237" s="410"/>
      <c r="EI237" s="410"/>
      <c r="EK237" s="1"/>
      <c r="EM237"/>
      <c r="EQ237" s="344"/>
      <c r="EU237" s="344"/>
      <c r="EW237" s="409"/>
      <c r="EY237" s="1"/>
      <c r="FA237">
        <v>69.010000000000005</v>
      </c>
      <c r="FB237" t="s">
        <v>236</v>
      </c>
      <c r="FC237" s="7">
        <v>80.445174855213224</v>
      </c>
      <c r="FD237" s="357" t="s">
        <v>225</v>
      </c>
      <c r="FE237" s="8">
        <v>42.121128675406688</v>
      </c>
      <c r="FF237" t="s">
        <v>237</v>
      </c>
      <c r="FH237" s="9">
        <v>99.403116346577789</v>
      </c>
      <c r="FI237" s="9" t="s">
        <v>225</v>
      </c>
      <c r="FK237" t="s">
        <v>235</v>
      </c>
      <c r="FL237">
        <v>236</v>
      </c>
      <c r="FM237">
        <v>76.665504868917438</v>
      </c>
      <c r="FN237" s="5" t="s">
        <v>237</v>
      </c>
      <c r="FP237" s="6">
        <v>3.8332752434458719</v>
      </c>
      <c r="FQ237" t="s">
        <v>277</v>
      </c>
      <c r="FS237" t="s">
        <v>240</v>
      </c>
      <c r="FU237" s="8">
        <v>2</v>
      </c>
      <c r="FV237" s="8">
        <v>10</v>
      </c>
      <c r="FW237" s="8">
        <v>10</v>
      </c>
      <c r="FX237" s="8">
        <v>10</v>
      </c>
      <c r="FY237" s="8">
        <v>3</v>
      </c>
      <c r="FZ237">
        <f t="shared" si="3"/>
        <v>6000</v>
      </c>
      <c r="GA237" s="7" t="s">
        <v>241</v>
      </c>
      <c r="GB237" s="7" t="s">
        <v>241</v>
      </c>
      <c r="GC237" s="6">
        <v>30</v>
      </c>
      <c r="GD237" s="348" t="s">
        <v>242</v>
      </c>
      <c r="GF237" s="6">
        <v>7.0201881125677809E-2</v>
      </c>
      <c r="GH237" s="7"/>
      <c r="GI237" s="445"/>
      <c r="GJ237" s="445"/>
      <c r="GK237" s="445"/>
      <c r="GL237" s="445"/>
      <c r="GM237" s="453"/>
      <c r="GN237" s="6">
        <v>0.2</v>
      </c>
      <c r="GO237" s="6">
        <v>0.375</v>
      </c>
      <c r="GP237" s="6">
        <v>0.6</v>
      </c>
      <c r="GQ237" s="6">
        <v>1.5</v>
      </c>
      <c r="GR237" s="6" t="s">
        <v>230</v>
      </c>
      <c r="GU237" t="s">
        <v>365</v>
      </c>
      <c r="GV237" t="s">
        <v>223</v>
      </c>
      <c r="GW237" t="s">
        <v>359</v>
      </c>
      <c r="GX237" t="s">
        <v>223</v>
      </c>
      <c r="GY237" t="s">
        <v>245</v>
      </c>
      <c r="HE237" t="s">
        <v>246</v>
      </c>
      <c r="HF237" t="s">
        <v>236</v>
      </c>
      <c r="HG237" t="s">
        <v>231</v>
      </c>
      <c r="HH237" t="s">
        <v>223</v>
      </c>
      <c r="HI237" t="s">
        <v>247</v>
      </c>
      <c r="HJ237" t="s">
        <v>223</v>
      </c>
      <c r="HK237" t="s">
        <v>266</v>
      </c>
      <c r="HO237" t="s">
        <v>231</v>
      </c>
      <c r="HP237" t="s">
        <v>223</v>
      </c>
      <c r="HQ237" t="s">
        <v>231</v>
      </c>
      <c r="HR237" t="s">
        <v>223</v>
      </c>
      <c r="HU237" t="s">
        <v>231</v>
      </c>
      <c r="HV237" t="s">
        <v>223</v>
      </c>
      <c r="HW237" t="s">
        <v>246</v>
      </c>
      <c r="HX237" t="s">
        <v>236</v>
      </c>
      <c r="IA237" t="s">
        <v>231</v>
      </c>
      <c r="IB237" t="s">
        <v>250</v>
      </c>
      <c r="IC237" s="447"/>
      <c r="ID237" s="447"/>
      <c r="IE237" s="447"/>
      <c r="IF237" s="447"/>
      <c r="IH237" t="s">
        <v>235</v>
      </c>
    </row>
    <row r="238" spans="1:242" hidden="1" x14ac:dyDescent="0.35">
      <c r="A238" s="310" t="s">
        <v>1489</v>
      </c>
      <c r="B238" s="313" t="s">
        <v>1490</v>
      </c>
      <c r="C238" s="310" t="s">
        <v>1491</v>
      </c>
      <c r="D238" s="316"/>
      <c r="F238" t="s">
        <v>1492</v>
      </c>
      <c r="I238" s="310" t="s">
        <v>1493</v>
      </c>
      <c r="M238" s="313"/>
      <c r="O238"/>
      <c r="P238" s="381"/>
      <c r="Q238"/>
      <c r="T238" s="8"/>
      <c r="U238"/>
      <c r="V238" s="313"/>
      <c r="W238"/>
      <c r="X238"/>
      <c r="Z238"/>
      <c r="AB238"/>
      <c r="AD238" s="8" t="s">
        <v>230</v>
      </c>
      <c r="AF238" s="8" t="s">
        <v>230</v>
      </c>
      <c r="AG238"/>
      <c r="AH238"/>
      <c r="AI238"/>
      <c r="AJ238" t="s">
        <v>221</v>
      </c>
      <c r="AK238">
        <v>0.05</v>
      </c>
      <c r="AL238">
        <v>0.45</v>
      </c>
      <c r="AM238" t="s">
        <v>221</v>
      </c>
      <c r="AN238" t="s">
        <v>225</v>
      </c>
      <c r="AO238" t="s">
        <v>221</v>
      </c>
      <c r="AP238" t="s">
        <v>225</v>
      </c>
      <c r="AQ238" t="s">
        <v>414</v>
      </c>
      <c r="AR238" t="s">
        <v>236</v>
      </c>
      <c r="AS238" t="s">
        <v>221</v>
      </c>
      <c r="AT238" t="s">
        <v>225</v>
      </c>
      <c r="AU238" t="s">
        <v>257</v>
      </c>
      <c r="AV238"/>
      <c r="AW238" s="313" t="s">
        <v>257</v>
      </c>
      <c r="AX238" t="s">
        <v>768</v>
      </c>
      <c r="AY238" s="313" t="s">
        <v>431</v>
      </c>
      <c r="AZ238" s="313">
        <v>0.40500000000000003</v>
      </c>
      <c r="BB238" s="313" t="s">
        <v>431</v>
      </c>
      <c r="BC238">
        <v>0.47299999999999998</v>
      </c>
      <c r="BD238" t="s">
        <v>220</v>
      </c>
      <c r="BE238">
        <v>0.26100000000000001</v>
      </c>
      <c r="BF238" s="2" t="s">
        <v>257</v>
      </c>
      <c r="BG238" s="2" t="s">
        <v>230</v>
      </c>
      <c r="BH238" s="2" t="s">
        <v>274</v>
      </c>
      <c r="BI238" s="2" t="s">
        <v>432</v>
      </c>
      <c r="BM238"/>
      <c r="BP238" s="8"/>
      <c r="BQ238" t="s">
        <v>230</v>
      </c>
      <c r="BR238" t="s">
        <v>230</v>
      </c>
      <c r="BU238" t="s">
        <v>317</v>
      </c>
      <c r="BV238" t="s">
        <v>236</v>
      </c>
      <c r="BW238" t="s">
        <v>232</v>
      </c>
      <c r="BX238" t="s">
        <v>276</v>
      </c>
      <c r="BY238" t="s">
        <v>220</v>
      </c>
      <c r="BZ238">
        <v>0.191</v>
      </c>
      <c r="CA238" t="s">
        <v>372</v>
      </c>
      <c r="CF238" t="s">
        <v>220</v>
      </c>
      <c r="CG238">
        <v>0.16600000000000001</v>
      </c>
      <c r="CH238" t="s">
        <v>220</v>
      </c>
      <c r="CI238">
        <v>0.19900000000000001</v>
      </c>
      <c r="CK238"/>
      <c r="CL238"/>
      <c r="CM238"/>
      <c r="CS238" s="8"/>
      <c r="CW238" t="s">
        <v>220</v>
      </c>
      <c r="CX238" t="s">
        <v>220</v>
      </c>
      <c r="CY238" t="s">
        <v>231</v>
      </c>
      <c r="CZ238" t="s">
        <v>220</v>
      </c>
      <c r="DA238" t="s">
        <v>220</v>
      </c>
      <c r="DB238" t="s">
        <v>220</v>
      </c>
      <c r="DC238"/>
      <c r="DD238"/>
      <c r="DE238"/>
      <c r="DF238"/>
      <c r="DG238"/>
      <c r="DH238" s="323"/>
      <c r="DI238" s="323"/>
      <c r="DJ238" s="323"/>
      <c r="DL238" t="s">
        <v>257</v>
      </c>
      <c r="DM238" t="s">
        <v>220</v>
      </c>
      <c r="DN238" t="s">
        <v>257</v>
      </c>
      <c r="DO238" t="s">
        <v>220</v>
      </c>
      <c r="DP238" t="s">
        <v>257</v>
      </c>
      <c r="DS238" s="309">
        <v>71.111999999999995</v>
      </c>
      <c r="DU238" s="309">
        <v>374.339</v>
      </c>
      <c r="DW238">
        <v>8.2200000000000006</v>
      </c>
      <c r="DX238" t="s">
        <v>238</v>
      </c>
      <c r="DY238">
        <v>900</v>
      </c>
      <c r="DZ238" t="s">
        <v>238</v>
      </c>
      <c r="EA238"/>
      <c r="EB238"/>
      <c r="ED238" s="410"/>
      <c r="EE238" s="1"/>
      <c r="EG238" s="410"/>
      <c r="EI238" s="410"/>
      <c r="EK238" s="1"/>
      <c r="EM238"/>
      <c r="EQ238" s="344"/>
      <c r="EU238" s="344"/>
      <c r="EW238" s="409"/>
      <c r="EY238" s="1"/>
      <c r="FA238">
        <v>94.23</v>
      </c>
      <c r="FB238" t="s">
        <v>236</v>
      </c>
      <c r="FC238" s="7">
        <v>196.9699614899925</v>
      </c>
      <c r="FD238" s="357" t="s">
        <v>236</v>
      </c>
      <c r="FE238" s="8">
        <v>33.790918743772309</v>
      </c>
      <c r="FF238" t="s">
        <v>237</v>
      </c>
      <c r="FH238" s="9">
        <v>78.995072133581687</v>
      </c>
      <c r="FI238" s="9" t="s">
        <v>236</v>
      </c>
      <c r="FJ238">
        <v>362</v>
      </c>
      <c r="FK238" t="s">
        <v>238</v>
      </c>
      <c r="FL238">
        <v>190</v>
      </c>
      <c r="FM238">
        <v>78.180780176358653</v>
      </c>
      <c r="FN238" s="419" t="s">
        <v>237</v>
      </c>
      <c r="FV238" s="8"/>
      <c r="FW238" s="8"/>
      <c r="FX238" s="8"/>
      <c r="GC238" s="7">
        <v>2.5000000000000001E-3</v>
      </c>
      <c r="GH238" s="7"/>
      <c r="GI238" s="441" t="s">
        <v>395</v>
      </c>
      <c r="GJ238" s="441" t="s">
        <v>395</v>
      </c>
      <c r="GK238" s="441" t="s">
        <v>395</v>
      </c>
      <c r="GL238" s="441" t="s">
        <v>395</v>
      </c>
      <c r="GM238" s="452" t="s">
        <v>230</v>
      </c>
      <c r="GN238" s="6" t="s">
        <v>395</v>
      </c>
      <c r="GO238" s="6" t="s">
        <v>395</v>
      </c>
      <c r="GP238" s="6" t="s">
        <v>395</v>
      </c>
      <c r="GQ238" s="6" t="s">
        <v>395</v>
      </c>
      <c r="GR238" s="6" t="s">
        <v>230</v>
      </c>
      <c r="GU238" t="s">
        <v>243</v>
      </c>
      <c r="GV238" t="s">
        <v>236</v>
      </c>
      <c r="GW238" t="s">
        <v>244</v>
      </c>
      <c r="GX238" t="s">
        <v>225</v>
      </c>
      <c r="GY238" t="s">
        <v>245</v>
      </c>
      <c r="HE238" t="s">
        <v>384</v>
      </c>
      <c r="HF238" t="s">
        <v>223</v>
      </c>
      <c r="HG238" t="s">
        <v>231</v>
      </c>
      <c r="HH238" t="s">
        <v>236</v>
      </c>
      <c r="HI238" t="s">
        <v>247</v>
      </c>
      <c r="HJ238" t="s">
        <v>223</v>
      </c>
      <c r="HK238" t="s">
        <v>266</v>
      </c>
      <c r="HL238" t="s">
        <v>231</v>
      </c>
      <c r="HM238" t="s">
        <v>231</v>
      </c>
      <c r="HO238" t="s">
        <v>231</v>
      </c>
      <c r="HP238" t="s">
        <v>249</v>
      </c>
      <c r="HQ238" t="s">
        <v>231</v>
      </c>
      <c r="HR238" t="s">
        <v>249</v>
      </c>
      <c r="HU238" t="s">
        <v>231</v>
      </c>
      <c r="HV238" t="s">
        <v>223</v>
      </c>
      <c r="HW238" t="s">
        <v>246</v>
      </c>
      <c r="HX238" t="s">
        <v>236</v>
      </c>
      <c r="IA238" t="s">
        <v>231</v>
      </c>
      <c r="IB238" t="s">
        <v>250</v>
      </c>
      <c r="IC238" t="s">
        <v>395</v>
      </c>
      <c r="ID238" t="s">
        <v>395</v>
      </c>
      <c r="IE238" t="s">
        <v>395</v>
      </c>
      <c r="IF238" t="s">
        <v>395</v>
      </c>
      <c r="IH238" t="s">
        <v>235</v>
      </c>
    </row>
    <row r="239" spans="1:242" x14ac:dyDescent="0.35">
      <c r="A239" s="310" t="s">
        <v>1494</v>
      </c>
      <c r="B239" s="313" t="s">
        <v>1495</v>
      </c>
      <c r="C239" s="310" t="s">
        <v>1496</v>
      </c>
      <c r="D239" s="316"/>
      <c r="F239" t="s">
        <v>1497</v>
      </c>
      <c r="I239" s="310" t="s">
        <v>1498</v>
      </c>
      <c r="M239" s="313"/>
      <c r="O239" t="s">
        <v>221</v>
      </c>
      <c r="P239" s="381"/>
      <c r="Q239" t="s">
        <v>221</v>
      </c>
      <c r="T239" s="8"/>
      <c r="U239" t="s">
        <v>221</v>
      </c>
      <c r="V239" s="313"/>
      <c r="W239" t="s">
        <v>220</v>
      </c>
      <c r="X239" t="s">
        <v>220</v>
      </c>
      <c r="Z239" t="s">
        <v>220</v>
      </c>
      <c r="AB239"/>
      <c r="AD239" s="8" t="s">
        <v>222</v>
      </c>
      <c r="AF239" s="8" t="s">
        <v>222</v>
      </c>
      <c r="AG239"/>
      <c r="AH239"/>
      <c r="AI239"/>
      <c r="AJ239" t="s">
        <v>221</v>
      </c>
      <c r="AK239">
        <v>0</v>
      </c>
      <c r="AL239">
        <v>1</v>
      </c>
      <c r="AM239" t="s">
        <v>221</v>
      </c>
      <c r="AN239" t="s">
        <v>249</v>
      </c>
      <c r="AO239" t="s">
        <v>221</v>
      </c>
      <c r="AP239"/>
      <c r="AQ239" t="s">
        <v>221</v>
      </c>
      <c r="AR239" t="s">
        <v>223</v>
      </c>
      <c r="AS239" t="s">
        <v>221</v>
      </c>
      <c r="AT239"/>
      <c r="AU239" t="s">
        <v>220</v>
      </c>
      <c r="AV239"/>
      <c r="AW239" s="313" t="s">
        <v>220</v>
      </c>
      <c r="AX239" t="s">
        <v>226</v>
      </c>
      <c r="AY239" s="313" t="s">
        <v>220</v>
      </c>
      <c r="AZ239" s="313">
        <v>7.5999999999999998E-2</v>
      </c>
      <c r="BB239" s="313" t="s">
        <v>220</v>
      </c>
      <c r="BC239">
        <v>5.0299999999999997E-2</v>
      </c>
      <c r="BD239" t="s">
        <v>220</v>
      </c>
      <c r="BE239">
        <v>4.7800000000000002E-2</v>
      </c>
      <c r="BF239" s="2" t="s">
        <v>220</v>
      </c>
      <c r="BH239" s="2" t="s">
        <v>228</v>
      </c>
      <c r="BI239" s="2" t="s">
        <v>229</v>
      </c>
      <c r="BM239"/>
      <c r="BP239" s="8"/>
      <c r="BQ239" t="s">
        <v>230</v>
      </c>
      <c r="BR239" t="s">
        <v>230</v>
      </c>
      <c r="BU239" t="s">
        <v>231</v>
      </c>
      <c r="BV239" t="s">
        <v>225</v>
      </c>
      <c r="BW239" t="s">
        <v>232</v>
      </c>
      <c r="BX239" t="s">
        <v>276</v>
      </c>
      <c r="BY239" t="s">
        <v>220</v>
      </c>
      <c r="BZ239">
        <v>0.27900000000000003</v>
      </c>
      <c r="CA239" t="s">
        <v>234</v>
      </c>
      <c r="CC239" t="s">
        <v>220</v>
      </c>
      <c r="CD239" t="s">
        <v>220</v>
      </c>
      <c r="CF239" t="s">
        <v>220</v>
      </c>
      <c r="CG239">
        <v>0.29199999999999998</v>
      </c>
      <c r="CH239" t="s">
        <v>220</v>
      </c>
      <c r="CI239">
        <v>0.219</v>
      </c>
      <c r="CK239"/>
      <c r="CL239"/>
      <c r="CM239"/>
      <c r="CS239" s="8"/>
      <c r="CW239" t="s">
        <v>220</v>
      </c>
      <c r="CX239" t="s">
        <v>220</v>
      </c>
      <c r="CY239" t="s">
        <v>231</v>
      </c>
      <c r="CZ239" t="s">
        <v>220</v>
      </c>
      <c r="DA239" t="s">
        <v>220</v>
      </c>
      <c r="DB239" t="s">
        <v>220</v>
      </c>
      <c r="DC239"/>
      <c r="DD239"/>
      <c r="DE239"/>
      <c r="DF239"/>
      <c r="DG239"/>
      <c r="DH239" s="323"/>
      <c r="DI239" s="323"/>
      <c r="DJ239" s="323"/>
      <c r="DL239" t="s">
        <v>257</v>
      </c>
      <c r="DM239" t="s">
        <v>220</v>
      </c>
      <c r="DN239" t="s">
        <v>257</v>
      </c>
      <c r="DO239" t="s">
        <v>227</v>
      </c>
      <c r="DP239" t="s">
        <v>227</v>
      </c>
      <c r="DS239" s="309">
        <v>255.53700000000001</v>
      </c>
      <c r="DU239" s="309">
        <v>923.87300000000005</v>
      </c>
      <c r="DW239">
        <v>27.4</v>
      </c>
      <c r="DX239" t="s">
        <v>238</v>
      </c>
      <c r="DY239"/>
      <c r="DZ239" t="s">
        <v>235</v>
      </c>
      <c r="EA239"/>
      <c r="EB239"/>
      <c r="ED239" s="410"/>
      <c r="EE239" s="1"/>
      <c r="EG239" s="410"/>
      <c r="EI239" s="410">
        <v>250</v>
      </c>
      <c r="EJ239" s="8" t="s">
        <v>323</v>
      </c>
      <c r="EK239" s="1">
        <v>750</v>
      </c>
      <c r="EL239" s="8" t="s">
        <v>324</v>
      </c>
      <c r="EM239"/>
      <c r="EQ239" s="344"/>
      <c r="EU239" s="344"/>
      <c r="EW239" s="409"/>
      <c r="EY239" s="1"/>
      <c r="FA239">
        <v>376.72</v>
      </c>
      <c r="FB239" t="s">
        <v>225</v>
      </c>
      <c r="FC239" s="7">
        <v>144.41090844161235</v>
      </c>
      <c r="FD239" s="357" t="s">
        <v>225</v>
      </c>
      <c r="FE239" s="8">
        <v>159.66142459934144</v>
      </c>
      <c r="FF239" t="s">
        <v>237</v>
      </c>
      <c r="FH239" s="9">
        <v>517.60683195056811</v>
      </c>
      <c r="FI239" s="9" t="s">
        <v>225</v>
      </c>
      <c r="FK239" t="s">
        <v>235</v>
      </c>
      <c r="FL239">
        <v>364</v>
      </c>
      <c r="FM239">
        <v>504.77751350094741</v>
      </c>
      <c r="FN239" s="5" t="s">
        <v>237</v>
      </c>
      <c r="FP239" s="6">
        <v>250</v>
      </c>
      <c r="FQ239" t="s">
        <v>294</v>
      </c>
      <c r="FS239" t="s">
        <v>261</v>
      </c>
      <c r="FU239" s="8">
        <v>1</v>
      </c>
      <c r="FV239" s="8">
        <v>10</v>
      </c>
      <c r="FW239" s="8">
        <v>10</v>
      </c>
      <c r="FX239" s="8">
        <v>1</v>
      </c>
      <c r="FY239" s="8">
        <v>1</v>
      </c>
      <c r="FZ239">
        <f t="shared" si="3"/>
        <v>100</v>
      </c>
      <c r="GA239" s="7" t="s">
        <v>241</v>
      </c>
      <c r="GB239" s="7" t="s">
        <v>241</v>
      </c>
      <c r="GC239" s="6">
        <v>30</v>
      </c>
      <c r="GD239" s="348" t="s">
        <v>242</v>
      </c>
      <c r="GF239" s="6">
        <v>0.36399999999999999</v>
      </c>
      <c r="GH239" s="7"/>
      <c r="GI239" s="441"/>
      <c r="GJ239" s="441"/>
      <c r="GK239" s="441"/>
      <c r="GL239" s="441"/>
      <c r="GM239" s="454"/>
      <c r="GN239" s="441"/>
      <c r="GO239" s="441"/>
      <c r="GP239" s="441"/>
      <c r="GQ239" s="441"/>
      <c r="GR239" s="441"/>
      <c r="GS239" s="441"/>
      <c r="GT239" s="441"/>
      <c r="GU239" s="441"/>
      <c r="GV239" s="441"/>
      <c r="GW239" s="441"/>
      <c r="GX239" s="441"/>
      <c r="GY239" s="441"/>
      <c r="GZ239" s="441"/>
      <c r="HA239" s="441"/>
      <c r="HB239" s="441"/>
      <c r="HC239" s="441"/>
      <c r="HD239" s="441"/>
      <c r="HE239" s="441"/>
      <c r="HF239" s="441"/>
      <c r="HG239" s="441"/>
      <c r="HH239" s="441"/>
      <c r="HI239" s="441"/>
      <c r="HJ239" s="441"/>
      <c r="HK239" s="441"/>
      <c r="HL239" s="441"/>
      <c r="HM239" s="441"/>
      <c r="HN239" s="441"/>
      <c r="HO239" s="441"/>
      <c r="HP239" s="441"/>
      <c r="HQ239" s="441"/>
      <c r="HR239" s="441"/>
      <c r="HS239" s="441"/>
      <c r="HT239" s="441"/>
      <c r="HU239" s="441"/>
      <c r="HV239" s="441"/>
      <c r="HW239" s="441"/>
      <c r="HX239" s="441"/>
      <c r="HY239" s="441"/>
      <c r="HZ239" s="441"/>
      <c r="IA239" s="441"/>
      <c r="IB239" s="441"/>
      <c r="IC239" s="441"/>
      <c r="ID239" s="441"/>
      <c r="IE239" s="441"/>
      <c r="IF239" s="441"/>
      <c r="IH239" t="s">
        <v>235</v>
      </c>
    </row>
    <row r="240" spans="1:242" x14ac:dyDescent="0.35">
      <c r="A240" s="310" t="s">
        <v>1499</v>
      </c>
      <c r="B240" s="313" t="s">
        <v>1500</v>
      </c>
      <c r="C240" s="310" t="s">
        <v>1501</v>
      </c>
      <c r="D240" s="316"/>
      <c r="F240" t="s">
        <v>1502</v>
      </c>
      <c r="I240" s="310" t="s">
        <v>1503</v>
      </c>
      <c r="M240" s="313"/>
      <c r="O240"/>
      <c r="P240" s="381"/>
      <c r="Q240"/>
      <c r="T240" s="8"/>
      <c r="U240"/>
      <c r="V240" s="313"/>
      <c r="W240"/>
      <c r="X240"/>
      <c r="Z240"/>
      <c r="AB240"/>
      <c r="AD240" s="8" t="s">
        <v>230</v>
      </c>
      <c r="AF240" s="8" t="s">
        <v>230</v>
      </c>
      <c r="AG240"/>
      <c r="AH240"/>
      <c r="AI240"/>
      <c r="AJ240" t="s">
        <v>221</v>
      </c>
      <c r="AK240">
        <v>0</v>
      </c>
      <c r="AL240">
        <v>0.9</v>
      </c>
      <c r="AM240" t="s">
        <v>221</v>
      </c>
      <c r="AN240" t="s">
        <v>223</v>
      </c>
      <c r="AO240" t="s">
        <v>221</v>
      </c>
      <c r="AP240" t="s">
        <v>223</v>
      </c>
      <c r="AQ240" t="s">
        <v>221</v>
      </c>
      <c r="AR240" t="s">
        <v>223</v>
      </c>
      <c r="AS240" t="s">
        <v>221</v>
      </c>
      <c r="AT240" t="s">
        <v>223</v>
      </c>
      <c r="AU240" t="s">
        <v>220</v>
      </c>
      <c r="AV240"/>
      <c r="AW240" s="313" t="s">
        <v>220</v>
      </c>
      <c r="AX240" t="s">
        <v>226</v>
      </c>
      <c r="AY240" s="313" t="s">
        <v>220</v>
      </c>
      <c r="AZ240" s="313">
        <v>0.06</v>
      </c>
      <c r="BB240" s="313" t="s">
        <v>220</v>
      </c>
      <c r="BC240">
        <v>2.7E-2</v>
      </c>
      <c r="BD240" t="s">
        <v>220</v>
      </c>
      <c r="BE240">
        <v>0.03</v>
      </c>
      <c r="BF240" s="2" t="s">
        <v>220</v>
      </c>
      <c r="BG240" s="2" t="s">
        <v>273</v>
      </c>
      <c r="BH240" s="2" t="s">
        <v>274</v>
      </c>
      <c r="BI240" s="2" t="s">
        <v>275</v>
      </c>
      <c r="BM240"/>
      <c r="BP240" s="8"/>
      <c r="BQ240" t="s">
        <v>230</v>
      </c>
      <c r="BR240" t="s">
        <v>230</v>
      </c>
      <c r="BU240" t="s">
        <v>231</v>
      </c>
      <c r="BV240" t="s">
        <v>223</v>
      </c>
      <c r="BW240" t="s">
        <v>232</v>
      </c>
      <c r="BX240" t="s">
        <v>284</v>
      </c>
      <c r="BY240" t="s">
        <v>220</v>
      </c>
      <c r="BZ240">
        <v>0.29099999999999998</v>
      </c>
      <c r="CA240" t="s">
        <v>234</v>
      </c>
      <c r="CF240" t="s">
        <v>220</v>
      </c>
      <c r="CG240">
        <v>0.13800000000000001</v>
      </c>
      <c r="CH240" t="s">
        <v>220</v>
      </c>
      <c r="CI240">
        <v>0.40100000000000002</v>
      </c>
      <c r="CK240"/>
      <c r="CL240"/>
      <c r="CM240"/>
      <c r="CS240" s="8"/>
      <c r="CW240" t="s">
        <v>220</v>
      </c>
      <c r="CX240" t="s">
        <v>257</v>
      </c>
      <c r="CY240" t="s">
        <v>231</v>
      </c>
      <c r="CZ240" t="s">
        <v>220</v>
      </c>
      <c r="DA240" t="s">
        <v>220</v>
      </c>
      <c r="DB240" t="s">
        <v>227</v>
      </c>
      <c r="DC240"/>
      <c r="DD240"/>
      <c r="DE240"/>
      <c r="DF240"/>
      <c r="DG240"/>
      <c r="DH240" s="323"/>
      <c r="DI240" s="323"/>
      <c r="DJ240" s="323"/>
      <c r="DL240" t="s">
        <v>257</v>
      </c>
      <c r="DM240" t="s">
        <v>220</v>
      </c>
      <c r="DN240" t="s">
        <v>257</v>
      </c>
      <c r="DO240" t="s">
        <v>257</v>
      </c>
      <c r="DP240" t="s">
        <v>257</v>
      </c>
      <c r="DS240" s="309">
        <v>53.095999999999997</v>
      </c>
      <c r="DU240" s="309">
        <v>298.476</v>
      </c>
      <c r="DW240">
        <v>552</v>
      </c>
      <c r="DX240" t="s">
        <v>238</v>
      </c>
      <c r="DY240">
        <v>3650</v>
      </c>
      <c r="DZ240" t="s">
        <v>238</v>
      </c>
      <c r="EA240"/>
      <c r="EB240"/>
      <c r="ED240" s="410"/>
      <c r="EE240" s="1"/>
      <c r="EG240" s="410"/>
      <c r="EI240" s="410"/>
      <c r="EK240" s="1"/>
      <c r="EM240"/>
      <c r="EQ240" s="344"/>
      <c r="EU240" s="344"/>
      <c r="EW240" s="409"/>
      <c r="EY240" s="1"/>
      <c r="FA240">
        <v>111.73</v>
      </c>
      <c r="FB240" t="s">
        <v>225</v>
      </c>
      <c r="FC240" s="7">
        <v>171.63268634905947</v>
      </c>
      <c r="FD240" s="357" t="s">
        <v>236</v>
      </c>
      <c r="FE240" s="8">
        <v>15.918421496485887</v>
      </c>
      <c r="FF240" t="s">
        <v>237</v>
      </c>
      <c r="FH240" s="9">
        <v>97.454074176630698</v>
      </c>
      <c r="FI240" s="9" t="s">
        <v>225</v>
      </c>
      <c r="FJ240">
        <v>208</v>
      </c>
      <c r="FK240" t="s">
        <v>238</v>
      </c>
      <c r="FL240">
        <v>210</v>
      </c>
      <c r="FM240">
        <v>46.078676869027184</v>
      </c>
      <c r="FN240" s="5" t="s">
        <v>237</v>
      </c>
      <c r="FP240" s="6">
        <v>2.3039338434513592</v>
      </c>
      <c r="FQ240" t="s">
        <v>277</v>
      </c>
      <c r="FS240" t="s">
        <v>240</v>
      </c>
      <c r="FU240" s="8">
        <v>2</v>
      </c>
      <c r="FV240" s="8">
        <v>10</v>
      </c>
      <c r="FW240" s="8">
        <v>10</v>
      </c>
      <c r="FX240" s="8">
        <v>10</v>
      </c>
      <c r="FY240" s="8">
        <v>3</v>
      </c>
      <c r="FZ240">
        <f t="shared" si="3"/>
        <v>6000</v>
      </c>
      <c r="GA240" s="7" t="s">
        <v>326</v>
      </c>
      <c r="GB240" s="7" t="s">
        <v>326</v>
      </c>
      <c r="GC240" s="6">
        <v>1.5</v>
      </c>
      <c r="GD240" s="348" t="s">
        <v>242</v>
      </c>
      <c r="GF240" s="6">
        <v>1.624234569610512E-2</v>
      </c>
      <c r="GH240" s="7"/>
      <c r="GI240" s="441">
        <v>5.0999999999999997E-2</v>
      </c>
      <c r="GJ240" s="441">
        <v>9.6000000000000002E-2</v>
      </c>
      <c r="GK240" s="441">
        <v>0.154</v>
      </c>
      <c r="GL240" s="441">
        <v>0.38400000000000001</v>
      </c>
      <c r="GM240" s="452" t="s">
        <v>529</v>
      </c>
      <c r="GN240" s="6">
        <v>0.01</v>
      </c>
      <c r="GO240" s="6">
        <v>1.8749999999999999E-2</v>
      </c>
      <c r="GP240" s="6">
        <v>0.03</v>
      </c>
      <c r="GQ240" s="6">
        <v>7.4999999999999997E-2</v>
      </c>
      <c r="GR240" s="6" t="s">
        <v>230</v>
      </c>
      <c r="GU240" t="s">
        <v>243</v>
      </c>
      <c r="GV240" t="s">
        <v>236</v>
      </c>
      <c r="GW240" t="s">
        <v>359</v>
      </c>
      <c r="GX240" t="s">
        <v>225</v>
      </c>
      <c r="GY240" t="s">
        <v>245</v>
      </c>
      <c r="HE240" t="s">
        <v>384</v>
      </c>
      <c r="HF240" t="s">
        <v>223</v>
      </c>
      <c r="HG240" t="s">
        <v>231</v>
      </c>
      <c r="HH240" t="s">
        <v>223</v>
      </c>
      <c r="HI240" t="s">
        <v>247</v>
      </c>
      <c r="HJ240" t="s">
        <v>223</v>
      </c>
      <c r="HK240" t="s">
        <v>266</v>
      </c>
      <c r="HO240" t="s">
        <v>231</v>
      </c>
      <c r="HP240" t="s">
        <v>223</v>
      </c>
      <c r="HQ240" t="s">
        <v>231</v>
      </c>
      <c r="HR240" t="s">
        <v>223</v>
      </c>
      <c r="HU240" t="s">
        <v>231</v>
      </c>
      <c r="HV240" t="s">
        <v>223</v>
      </c>
      <c r="HW240" t="s">
        <v>506</v>
      </c>
      <c r="HX240" t="s">
        <v>236</v>
      </c>
      <c r="IA240" t="s">
        <v>231</v>
      </c>
      <c r="IB240" t="s">
        <v>250</v>
      </c>
      <c r="IC240">
        <v>5.0999999999999997E-2</v>
      </c>
      <c r="ID240">
        <v>9.6000000000000002E-2</v>
      </c>
      <c r="IE240">
        <v>0.154</v>
      </c>
      <c r="IF240">
        <v>0.38400000000000001</v>
      </c>
      <c r="IH240" t="s">
        <v>267</v>
      </c>
    </row>
    <row r="241" spans="1:242" x14ac:dyDescent="0.35">
      <c r="A241" s="310" t="s">
        <v>1504</v>
      </c>
      <c r="B241" s="313" t="s">
        <v>1505</v>
      </c>
      <c r="C241" s="310" t="s">
        <v>1506</v>
      </c>
      <c r="D241" s="316"/>
      <c r="F241" t="s">
        <v>1507</v>
      </c>
      <c r="I241" s="310" t="s">
        <v>1508</v>
      </c>
      <c r="M241" s="313"/>
      <c r="O241"/>
      <c r="P241" s="381"/>
      <c r="Q241"/>
      <c r="T241" s="8"/>
      <c r="U241"/>
      <c r="V241" s="313"/>
      <c r="W241"/>
      <c r="X241"/>
      <c r="Z241"/>
      <c r="AB241"/>
      <c r="AD241" s="8" t="s">
        <v>230</v>
      </c>
      <c r="AF241" s="8" t="s">
        <v>230</v>
      </c>
      <c r="AG241"/>
      <c r="AH241"/>
      <c r="AI241"/>
      <c r="AJ241" t="s">
        <v>221</v>
      </c>
      <c r="AK241">
        <v>0</v>
      </c>
      <c r="AL241">
        <v>0.9</v>
      </c>
      <c r="AM241" t="s">
        <v>221</v>
      </c>
      <c r="AN241" t="s">
        <v>223</v>
      </c>
      <c r="AO241" t="s">
        <v>221</v>
      </c>
      <c r="AP241" t="s">
        <v>223</v>
      </c>
      <c r="AQ241" t="s">
        <v>221</v>
      </c>
      <c r="AR241" t="s">
        <v>223</v>
      </c>
      <c r="AS241" t="s">
        <v>221</v>
      </c>
      <c r="AT241" t="s">
        <v>223</v>
      </c>
      <c r="AU241" t="s">
        <v>220</v>
      </c>
      <c r="AV241"/>
      <c r="AW241" s="313" t="s">
        <v>220</v>
      </c>
      <c r="AX241" t="s">
        <v>226</v>
      </c>
      <c r="AY241" s="313" t="s">
        <v>220</v>
      </c>
      <c r="AZ241" s="313">
        <v>5.3499999999999999E-2</v>
      </c>
      <c r="BB241" s="313" t="s">
        <v>220</v>
      </c>
      <c r="BC241">
        <v>4.1300000000000003E-2</v>
      </c>
      <c r="BD241" t="s">
        <v>220</v>
      </c>
      <c r="BE241">
        <v>6.0499999999999998E-2</v>
      </c>
      <c r="BF241" s="2" t="s">
        <v>220</v>
      </c>
      <c r="BG241" s="2" t="s">
        <v>273</v>
      </c>
      <c r="BH241" s="2" t="s">
        <v>274</v>
      </c>
      <c r="BI241" s="2" t="s">
        <v>275</v>
      </c>
      <c r="BM241"/>
      <c r="BP241" s="8"/>
      <c r="BQ241" t="s">
        <v>230</v>
      </c>
      <c r="BR241" t="s">
        <v>230</v>
      </c>
      <c r="BU241" t="s">
        <v>317</v>
      </c>
      <c r="BV241" t="s">
        <v>223</v>
      </c>
      <c r="BW241" t="s">
        <v>232</v>
      </c>
      <c r="BX241" t="s">
        <v>284</v>
      </c>
      <c r="BY241" t="s">
        <v>220</v>
      </c>
      <c r="BZ241">
        <v>0.28000000000000003</v>
      </c>
      <c r="CA241" t="s">
        <v>234</v>
      </c>
      <c r="CF241" t="s">
        <v>220</v>
      </c>
      <c r="CG241">
        <v>0.316</v>
      </c>
      <c r="CH241" t="s">
        <v>220</v>
      </c>
      <c r="CI241">
        <v>6.25E-2</v>
      </c>
      <c r="CK241"/>
      <c r="CL241"/>
      <c r="CM241"/>
      <c r="CS241" s="8"/>
      <c r="CW241" t="s">
        <v>257</v>
      </c>
      <c r="CX241" t="s">
        <v>220</v>
      </c>
      <c r="CY241" t="s">
        <v>231</v>
      </c>
      <c r="CZ241" t="s">
        <v>220</v>
      </c>
      <c r="DA241" t="s">
        <v>220</v>
      </c>
      <c r="DB241" t="s">
        <v>220</v>
      </c>
      <c r="DC241"/>
      <c r="DD241"/>
      <c r="DE241"/>
      <c r="DF241"/>
      <c r="DG241"/>
      <c r="DH241" s="323"/>
      <c r="DI241" s="323"/>
      <c r="DJ241" s="323"/>
      <c r="DL241" t="s">
        <v>257</v>
      </c>
      <c r="DM241" t="s">
        <v>220</v>
      </c>
      <c r="DN241" t="s">
        <v>227</v>
      </c>
      <c r="DO241" t="s">
        <v>257</v>
      </c>
      <c r="DP241" t="s">
        <v>257</v>
      </c>
      <c r="DS241" s="309">
        <v>463.11399999999998</v>
      </c>
      <c r="DU241" s="309">
        <v>957.34100000000001</v>
      </c>
      <c r="DW241"/>
      <c r="DX241" t="s">
        <v>235</v>
      </c>
      <c r="DY241">
        <v>1920</v>
      </c>
      <c r="DZ241" t="s">
        <v>238</v>
      </c>
      <c r="EA241"/>
      <c r="EB241"/>
      <c r="ED241" s="410"/>
      <c r="EE241" s="1"/>
      <c r="EG241" s="410"/>
      <c r="EI241" s="410"/>
      <c r="EK241" s="1"/>
      <c r="EM241"/>
      <c r="EQ241" s="344"/>
      <c r="EU241" s="344"/>
      <c r="EW241" s="409"/>
      <c r="EY241" s="1"/>
      <c r="FA241">
        <v>35.5</v>
      </c>
      <c r="FB241" t="s">
        <v>236</v>
      </c>
      <c r="FC241" s="7">
        <v>58.938625024058112</v>
      </c>
      <c r="FD241" s="357" t="s">
        <v>236</v>
      </c>
      <c r="FE241" s="8">
        <v>15.903766838224666</v>
      </c>
      <c r="FF241" t="s">
        <v>237</v>
      </c>
      <c r="FH241" s="9">
        <v>26.460619028529468</v>
      </c>
      <c r="FI241" s="9" t="s">
        <v>225</v>
      </c>
      <c r="FK241" t="s">
        <v>235</v>
      </c>
      <c r="FL241">
        <v>123</v>
      </c>
      <c r="FM241">
        <v>92.875250898906287</v>
      </c>
      <c r="FN241" s="5" t="s">
        <v>237</v>
      </c>
      <c r="FP241" s="6">
        <v>12.3</v>
      </c>
      <c r="FQ241" t="s">
        <v>239</v>
      </c>
      <c r="FS241" t="s">
        <v>240</v>
      </c>
      <c r="FU241" s="8">
        <v>1</v>
      </c>
      <c r="FV241" s="8">
        <v>10</v>
      </c>
      <c r="FW241" s="8">
        <v>10</v>
      </c>
      <c r="FX241" s="8">
        <v>10</v>
      </c>
      <c r="FY241" s="8">
        <v>3</v>
      </c>
      <c r="FZ241">
        <f t="shared" si="3"/>
        <v>3000</v>
      </c>
      <c r="GA241" s="7" t="s">
        <v>326</v>
      </c>
      <c r="GB241" s="7" t="s">
        <v>326</v>
      </c>
      <c r="GC241" s="6">
        <v>1.5</v>
      </c>
      <c r="GD241" s="348" t="s">
        <v>383</v>
      </c>
      <c r="GF241" s="6">
        <v>4.4101031714215777E-3</v>
      </c>
      <c r="GH241" s="7"/>
      <c r="GI241" s="441">
        <v>0.27300000000000002</v>
      </c>
      <c r="GJ241" s="441">
        <v>0.51300000000000001</v>
      </c>
      <c r="GK241" s="441">
        <v>0.82</v>
      </c>
      <c r="GL241" s="441">
        <v>2.0499999999999998</v>
      </c>
      <c r="GM241" s="452" t="s">
        <v>262</v>
      </c>
      <c r="GN241" s="6">
        <v>0.01</v>
      </c>
      <c r="GO241" s="6">
        <v>1.8749999999999999E-2</v>
      </c>
      <c r="GP241" s="6">
        <v>0.03</v>
      </c>
      <c r="GQ241" s="6">
        <v>7.4999999999999997E-2</v>
      </c>
      <c r="GR241" s="6" t="s">
        <v>230</v>
      </c>
      <c r="GU241" t="s">
        <v>365</v>
      </c>
      <c r="GV241" t="s">
        <v>223</v>
      </c>
      <c r="GW241" t="s">
        <v>359</v>
      </c>
      <c r="GX241" t="s">
        <v>223</v>
      </c>
      <c r="GY241" t="s">
        <v>900</v>
      </c>
      <c r="HE241" t="s">
        <v>901</v>
      </c>
      <c r="HF241" t="s">
        <v>223</v>
      </c>
      <c r="HG241" t="s">
        <v>231</v>
      </c>
      <c r="HH241" t="s">
        <v>223</v>
      </c>
      <c r="HI241" t="s">
        <v>247</v>
      </c>
      <c r="HJ241" t="s">
        <v>223</v>
      </c>
      <c r="HK241" t="s">
        <v>418</v>
      </c>
      <c r="HO241" t="s">
        <v>231</v>
      </c>
      <c r="HP241" t="s">
        <v>223</v>
      </c>
      <c r="HQ241" t="s">
        <v>231</v>
      </c>
      <c r="HR241" t="s">
        <v>223</v>
      </c>
      <c r="HU241" t="s">
        <v>231</v>
      </c>
      <c r="HV241" t="s">
        <v>223</v>
      </c>
      <c r="HW241" t="s">
        <v>246</v>
      </c>
      <c r="HX241" t="s">
        <v>236</v>
      </c>
      <c r="IA241" t="s">
        <v>231</v>
      </c>
      <c r="IB241" t="s">
        <v>250</v>
      </c>
      <c r="IC241">
        <v>0.27300000000000002</v>
      </c>
      <c r="ID241">
        <v>0.51300000000000001</v>
      </c>
      <c r="IE241">
        <v>0.82</v>
      </c>
      <c r="IF241">
        <v>2.0499999999999998</v>
      </c>
      <c r="IH241" t="s">
        <v>267</v>
      </c>
    </row>
    <row r="242" spans="1:242" ht="159.5" x14ac:dyDescent="0.35">
      <c r="A242" s="310" t="s">
        <v>1509</v>
      </c>
      <c r="B242" t="s">
        <v>1510</v>
      </c>
      <c r="C242" s="310" t="s">
        <v>1511</v>
      </c>
      <c r="D242" s="316"/>
      <c r="F242" t="s">
        <v>1512</v>
      </c>
      <c r="I242" s="310" t="s">
        <v>1513</v>
      </c>
      <c r="M242" s="313"/>
      <c r="O242"/>
      <c r="P242" s="381"/>
      <c r="Q242"/>
      <c r="T242" s="8"/>
      <c r="U242"/>
      <c r="V242" s="313"/>
      <c r="W242" t="s">
        <v>301</v>
      </c>
      <c r="X242"/>
      <c r="Z242"/>
      <c r="AB242"/>
      <c r="AD242" s="8" t="s">
        <v>230</v>
      </c>
      <c r="AF242" s="8" t="s">
        <v>230</v>
      </c>
      <c r="AG242"/>
      <c r="AH242"/>
      <c r="AI242"/>
      <c r="AJ242" t="s">
        <v>221</v>
      </c>
      <c r="AK242">
        <v>0.22500000000000001</v>
      </c>
      <c r="AL242">
        <v>0.25</v>
      </c>
      <c r="AM242" t="s">
        <v>414</v>
      </c>
      <c r="AN242" t="s">
        <v>223</v>
      </c>
      <c r="AO242" t="s">
        <v>221</v>
      </c>
      <c r="AP242" t="s">
        <v>236</v>
      </c>
      <c r="AQ242" t="s">
        <v>221</v>
      </c>
      <c r="AR242" t="s">
        <v>236</v>
      </c>
      <c r="AS242" t="s">
        <v>221</v>
      </c>
      <c r="AT242" t="s">
        <v>225</v>
      </c>
      <c r="AU242" t="s">
        <v>220</v>
      </c>
      <c r="AV242"/>
      <c r="AW242" s="313" t="s">
        <v>220</v>
      </c>
      <c r="AX242" t="s">
        <v>226</v>
      </c>
      <c r="AY242" s="313" t="s">
        <v>220</v>
      </c>
      <c r="AZ242" s="313">
        <v>0.28299999999999997</v>
      </c>
      <c r="BA242" s="3" t="s">
        <v>415</v>
      </c>
      <c r="BB242" s="313" t="s">
        <v>220</v>
      </c>
      <c r="BC242">
        <v>0.153</v>
      </c>
      <c r="BD242" t="s">
        <v>220</v>
      </c>
      <c r="BE242">
        <v>0.22600000000000001</v>
      </c>
      <c r="BF242" s="2" t="s">
        <v>220</v>
      </c>
      <c r="BG242" s="2" t="s">
        <v>653</v>
      </c>
      <c r="BH242" s="2" t="s">
        <v>274</v>
      </c>
      <c r="BI242" s="2" t="s">
        <v>275</v>
      </c>
      <c r="BM242"/>
      <c r="BP242" s="8"/>
      <c r="BQ242" t="s">
        <v>230</v>
      </c>
      <c r="BR242" t="s">
        <v>230</v>
      </c>
      <c r="BU242" t="s">
        <v>231</v>
      </c>
      <c r="BV242" t="s">
        <v>223</v>
      </c>
      <c r="BW242" t="s">
        <v>232</v>
      </c>
      <c r="BX242" t="s">
        <v>276</v>
      </c>
      <c r="BY242" t="s">
        <v>257</v>
      </c>
      <c r="BZ242">
        <v>0.628</v>
      </c>
      <c r="CA242" t="s">
        <v>372</v>
      </c>
      <c r="CF242" t="s">
        <v>220</v>
      </c>
      <c r="CG242">
        <v>0.48599999999999999</v>
      </c>
      <c r="CH242" t="s">
        <v>257</v>
      </c>
      <c r="CI242">
        <v>0.59899999999999998</v>
      </c>
      <c r="CK242"/>
      <c r="CL242"/>
      <c r="CM242"/>
      <c r="CS242" s="8"/>
      <c r="CW242" t="s">
        <v>227</v>
      </c>
      <c r="CX242" t="s">
        <v>257</v>
      </c>
      <c r="CY242" t="s">
        <v>231</v>
      </c>
      <c r="CZ242" t="s">
        <v>220</v>
      </c>
      <c r="DA242" t="s">
        <v>220</v>
      </c>
      <c r="DB242" t="s">
        <v>227</v>
      </c>
      <c r="DC242"/>
      <c r="DD242"/>
      <c r="DE242"/>
      <c r="DF242"/>
      <c r="DG242"/>
      <c r="DH242" s="323"/>
      <c r="DI242" s="323"/>
      <c r="DJ242" s="323"/>
      <c r="DL242" t="s">
        <v>257</v>
      </c>
      <c r="DM242" t="s">
        <v>220</v>
      </c>
      <c r="DN242" t="s">
        <v>227</v>
      </c>
      <c r="DO242" t="s">
        <v>220</v>
      </c>
      <c r="DP242" t="s">
        <v>257</v>
      </c>
      <c r="DS242" s="309">
        <v>115.503</v>
      </c>
      <c r="DU242" s="309">
        <v>398.1</v>
      </c>
      <c r="DW242">
        <v>417</v>
      </c>
      <c r="DX242" t="s">
        <v>238</v>
      </c>
      <c r="DY242">
        <v>347</v>
      </c>
      <c r="DZ242" t="s">
        <v>238</v>
      </c>
      <c r="EA242"/>
      <c r="EB242"/>
      <c r="ED242" s="410"/>
      <c r="EE242" s="1"/>
      <c r="EG242" s="410"/>
      <c r="EI242" s="410"/>
      <c r="EK242" s="1"/>
      <c r="EM242"/>
      <c r="EQ242" s="344"/>
      <c r="EU242" s="344"/>
      <c r="EW242" s="409"/>
      <c r="EY242" s="1"/>
      <c r="FA242">
        <v>137.62</v>
      </c>
      <c r="FB242" t="s">
        <v>225</v>
      </c>
      <c r="FC242" s="7">
        <v>121.73066653544747</v>
      </c>
      <c r="FD242" s="357" t="s">
        <v>225</v>
      </c>
      <c r="FE242" s="8">
        <v>816.01849101973721</v>
      </c>
      <c r="FF242" t="s">
        <v>237</v>
      </c>
      <c r="FH242" s="9">
        <v>167.07058757733137</v>
      </c>
      <c r="FI242" s="9" t="s">
        <v>225</v>
      </c>
      <c r="FJ242">
        <v>1880</v>
      </c>
      <c r="FK242" t="s">
        <v>238</v>
      </c>
      <c r="FL242">
        <v>129</v>
      </c>
      <c r="FM242">
        <v>1355.8136438624351</v>
      </c>
      <c r="FN242" s="5" t="s">
        <v>237</v>
      </c>
      <c r="FP242" s="6">
        <v>12.9</v>
      </c>
      <c r="FQ242" t="s">
        <v>239</v>
      </c>
      <c r="FS242" t="s">
        <v>240</v>
      </c>
      <c r="FU242" s="8">
        <v>1</v>
      </c>
      <c r="FV242" s="8">
        <v>10</v>
      </c>
      <c r="FW242" s="8">
        <v>10</v>
      </c>
      <c r="FX242" s="8">
        <v>10</v>
      </c>
      <c r="FY242" s="8">
        <v>3</v>
      </c>
      <c r="FZ242">
        <f t="shared" si="3"/>
        <v>3000</v>
      </c>
      <c r="GA242" s="7" t="s">
        <v>326</v>
      </c>
      <c r="GB242" s="7" t="s">
        <v>326</v>
      </c>
      <c r="GC242" s="6">
        <v>1.5</v>
      </c>
      <c r="GD242" s="348" t="s">
        <v>1514</v>
      </c>
      <c r="GF242" s="6">
        <v>4.2999999999999997E-2</v>
      </c>
      <c r="GH242" s="7"/>
      <c r="GI242" s="441">
        <v>0.28699999999999998</v>
      </c>
      <c r="GJ242" s="441">
        <v>0.53800000000000003</v>
      </c>
      <c r="GK242" s="441">
        <v>0.86</v>
      </c>
      <c r="GL242" s="441">
        <v>2.15</v>
      </c>
      <c r="GM242" s="461" t="s">
        <v>790</v>
      </c>
      <c r="GN242" s="6">
        <v>0.01</v>
      </c>
      <c r="GO242" s="6">
        <v>1.8749999999999999E-2</v>
      </c>
      <c r="GP242" s="6">
        <v>0.03</v>
      </c>
      <c r="GQ242" s="6">
        <v>7.4999999999999997E-2</v>
      </c>
      <c r="GR242" s="461" t="s">
        <v>790</v>
      </c>
      <c r="GU242" t="s">
        <v>365</v>
      </c>
      <c r="GV242" t="s">
        <v>225</v>
      </c>
      <c r="GW242" t="s">
        <v>359</v>
      </c>
      <c r="GX242" t="s">
        <v>223</v>
      </c>
      <c r="GY242" t="s">
        <v>245</v>
      </c>
      <c r="HE242" t="s">
        <v>247</v>
      </c>
      <c r="HF242" t="s">
        <v>223</v>
      </c>
      <c r="HG242" t="s">
        <v>231</v>
      </c>
      <c r="HH242" t="s">
        <v>223</v>
      </c>
      <c r="HI242" t="s">
        <v>247</v>
      </c>
      <c r="HJ242" t="s">
        <v>223</v>
      </c>
      <c r="HK242" t="s">
        <v>248</v>
      </c>
      <c r="HO242" t="s">
        <v>231</v>
      </c>
      <c r="HP242" t="s">
        <v>223</v>
      </c>
      <c r="HQ242" t="s">
        <v>231</v>
      </c>
      <c r="HR242" t="s">
        <v>223</v>
      </c>
      <c r="HU242" t="s">
        <v>231</v>
      </c>
      <c r="HV242" t="s">
        <v>223</v>
      </c>
      <c r="HW242" t="s">
        <v>563</v>
      </c>
      <c r="HX242" t="s">
        <v>236</v>
      </c>
      <c r="IA242" t="s">
        <v>231</v>
      </c>
      <c r="IB242" t="s">
        <v>250</v>
      </c>
      <c r="IC242">
        <v>0.28699999999999998</v>
      </c>
      <c r="ID242">
        <v>0.53800000000000003</v>
      </c>
      <c r="IE242">
        <v>0.86</v>
      </c>
      <c r="IF242">
        <v>2.15</v>
      </c>
      <c r="IG242" s="459" t="s">
        <v>451</v>
      </c>
      <c r="IH242" t="s">
        <v>267</v>
      </c>
    </row>
    <row r="243" spans="1:242" hidden="1" x14ac:dyDescent="0.35">
      <c r="A243" s="310" t="s">
        <v>537</v>
      </c>
      <c r="B243" t="s">
        <v>1515</v>
      </c>
      <c r="C243" s="310" t="s">
        <v>1516</v>
      </c>
      <c r="D243" s="316"/>
      <c r="F243" t="s">
        <v>1517</v>
      </c>
      <c r="I243" s="310" t="s">
        <v>1518</v>
      </c>
      <c r="M243" s="313"/>
      <c r="O243"/>
      <c r="P243" s="381"/>
      <c r="Q243"/>
      <c r="T243" s="8"/>
      <c r="U243"/>
      <c r="V243" s="313"/>
      <c r="W243"/>
      <c r="X243"/>
      <c r="Z243"/>
      <c r="AB243"/>
      <c r="AD243" s="8" t="s">
        <v>230</v>
      </c>
      <c r="AF243" s="8" t="s">
        <v>230</v>
      </c>
      <c r="AG243"/>
      <c r="AH243"/>
      <c r="AI243"/>
      <c r="AJ243" t="s">
        <v>414</v>
      </c>
      <c r="AK243">
        <v>0.2</v>
      </c>
      <c r="AL243">
        <v>0.2</v>
      </c>
      <c r="AM243" t="s">
        <v>414</v>
      </c>
      <c r="AN243" t="s">
        <v>225</v>
      </c>
      <c r="AO243" t="s">
        <v>221</v>
      </c>
      <c r="AP243" t="s">
        <v>225</v>
      </c>
      <c r="AQ243" t="s">
        <v>221</v>
      </c>
      <c r="AR243" t="s">
        <v>236</v>
      </c>
      <c r="AS243" t="s">
        <v>414</v>
      </c>
      <c r="AT243" t="s">
        <v>236</v>
      </c>
      <c r="AU243" t="s">
        <v>220</v>
      </c>
      <c r="AV243"/>
      <c r="AW243" s="313" t="s">
        <v>220</v>
      </c>
      <c r="AX243" t="s">
        <v>226</v>
      </c>
      <c r="AY243" s="313" t="s">
        <v>220</v>
      </c>
      <c r="AZ243" s="313">
        <v>0.28599999999999998</v>
      </c>
      <c r="BB243" s="313" t="s">
        <v>220</v>
      </c>
      <c r="BC243">
        <v>0.158</v>
      </c>
      <c r="BD243" t="s">
        <v>220</v>
      </c>
      <c r="BE243">
        <v>7.9000000000000001E-2</v>
      </c>
      <c r="BF243" s="2" t="s">
        <v>257</v>
      </c>
      <c r="BG243" s="2" t="s">
        <v>230</v>
      </c>
      <c r="BH243" s="2" t="s">
        <v>274</v>
      </c>
      <c r="BI243" s="2" t="s">
        <v>275</v>
      </c>
      <c r="BM243"/>
      <c r="BP243" s="8"/>
      <c r="BQ243" t="s">
        <v>230</v>
      </c>
      <c r="BR243" t="s">
        <v>230</v>
      </c>
      <c r="BU243" t="s">
        <v>293</v>
      </c>
      <c r="BV243" t="s">
        <v>236</v>
      </c>
      <c r="BW243" t="s">
        <v>232</v>
      </c>
      <c r="BX243" t="s">
        <v>276</v>
      </c>
      <c r="BY243" t="s">
        <v>257</v>
      </c>
      <c r="BZ243">
        <v>0.60699999999999998</v>
      </c>
      <c r="CA243" t="s">
        <v>372</v>
      </c>
      <c r="CF243" t="s">
        <v>257</v>
      </c>
      <c r="CG243">
        <v>0.503</v>
      </c>
      <c r="CH243" t="s">
        <v>257</v>
      </c>
      <c r="CI243">
        <v>0.628</v>
      </c>
      <c r="CK243"/>
      <c r="CL243"/>
      <c r="CM243"/>
      <c r="CS243" s="8"/>
      <c r="CW243" t="s">
        <v>227</v>
      </c>
      <c r="CX243" t="s">
        <v>257</v>
      </c>
      <c r="CY243" t="s">
        <v>231</v>
      </c>
      <c r="CZ243" t="s">
        <v>227</v>
      </c>
      <c r="DA243" t="s">
        <v>227</v>
      </c>
      <c r="DB243" t="s">
        <v>227</v>
      </c>
      <c r="DC243"/>
      <c r="DD243"/>
      <c r="DE243"/>
      <c r="DF243"/>
      <c r="DG243"/>
      <c r="DH243" s="323"/>
      <c r="DI243" s="323"/>
      <c r="DJ243" s="323"/>
      <c r="DL243" t="s">
        <v>257</v>
      </c>
      <c r="DM243" t="s">
        <v>257</v>
      </c>
      <c r="DN243" t="s">
        <v>227</v>
      </c>
      <c r="DO243" t="s">
        <v>227</v>
      </c>
      <c r="DP243" t="s">
        <v>227</v>
      </c>
      <c r="DS243" s="338">
        <v>11.17</v>
      </c>
      <c r="DT243" s="8" t="s">
        <v>394</v>
      </c>
      <c r="DU243" s="309">
        <v>457.108</v>
      </c>
      <c r="DW243"/>
      <c r="DX243" t="s">
        <v>235</v>
      </c>
      <c r="DY243"/>
      <c r="DZ243" t="s">
        <v>235</v>
      </c>
      <c r="EA243"/>
      <c r="EB243"/>
      <c r="ED243" s="410"/>
      <c r="EE243" s="1"/>
      <c r="EG243" s="410"/>
      <c r="EI243" s="410"/>
      <c r="EK243" s="1"/>
      <c r="EM243"/>
      <c r="EQ243" s="344"/>
      <c r="EU243" s="344"/>
      <c r="EW243" s="409"/>
      <c r="EY243" s="1"/>
      <c r="FA243">
        <v>162.47</v>
      </c>
      <c r="FB243" t="s">
        <v>225</v>
      </c>
      <c r="FC243" s="7">
        <v>108.39269140212046</v>
      </c>
      <c r="FD243" s="357" t="s">
        <v>225</v>
      </c>
      <c r="FE243" s="8">
        <v>692.30903592188224</v>
      </c>
      <c r="FF243" t="s">
        <v>237</v>
      </c>
      <c r="FH243" s="9">
        <v>425.8925076672075</v>
      </c>
      <c r="FI243" s="9" t="s">
        <v>225</v>
      </c>
      <c r="FK243" t="s">
        <v>235</v>
      </c>
      <c r="FL243">
        <v>111</v>
      </c>
      <c r="FM243">
        <v>1249.1080292324857</v>
      </c>
      <c r="FN243" s="419" t="s">
        <v>237</v>
      </c>
      <c r="FV243" s="8"/>
      <c r="FW243" s="8"/>
      <c r="FX243" s="8"/>
      <c r="GC243" s="7">
        <v>2.5000000000000001E-3</v>
      </c>
      <c r="GH243" s="7"/>
      <c r="GI243" s="441" t="s">
        <v>395</v>
      </c>
      <c r="GJ243" s="441" t="s">
        <v>395</v>
      </c>
      <c r="GK243" s="441" t="s">
        <v>395</v>
      </c>
      <c r="GL243" s="441" t="s">
        <v>395</v>
      </c>
      <c r="GM243" s="452" t="s">
        <v>230</v>
      </c>
      <c r="GN243" s="6" t="s">
        <v>395</v>
      </c>
      <c r="GO243" s="6" t="s">
        <v>395</v>
      </c>
      <c r="GP243" s="6" t="s">
        <v>395</v>
      </c>
      <c r="GQ243" s="6" t="s">
        <v>395</v>
      </c>
      <c r="GR243" s="6" t="s">
        <v>230</v>
      </c>
      <c r="GU243" t="s">
        <v>243</v>
      </c>
      <c r="GV243" t="s">
        <v>223</v>
      </c>
      <c r="GW243" t="s">
        <v>359</v>
      </c>
      <c r="GX243" t="s">
        <v>225</v>
      </c>
      <c r="GY243" t="s">
        <v>245</v>
      </c>
      <c r="HE243" t="s">
        <v>384</v>
      </c>
      <c r="HF243" t="s">
        <v>223</v>
      </c>
      <c r="HG243" t="s">
        <v>231</v>
      </c>
      <c r="HH243" t="s">
        <v>223</v>
      </c>
      <c r="HI243" t="s">
        <v>247</v>
      </c>
      <c r="HJ243" t="s">
        <v>223</v>
      </c>
      <c r="HK243" t="s">
        <v>248</v>
      </c>
      <c r="HO243" t="s">
        <v>231</v>
      </c>
      <c r="HP243" t="s">
        <v>223</v>
      </c>
      <c r="HQ243" t="s">
        <v>231</v>
      </c>
      <c r="HR243" t="s">
        <v>223</v>
      </c>
      <c r="HU243" t="s">
        <v>231</v>
      </c>
      <c r="HV243" t="s">
        <v>223</v>
      </c>
      <c r="HW243" t="s">
        <v>563</v>
      </c>
      <c r="HX243" t="s">
        <v>223</v>
      </c>
      <c r="IA243" t="s">
        <v>231</v>
      </c>
      <c r="IB243" t="s">
        <v>250</v>
      </c>
      <c r="IC243" t="s">
        <v>395</v>
      </c>
      <c r="ID243" t="s">
        <v>395</v>
      </c>
      <c r="IE243" t="s">
        <v>395</v>
      </c>
      <c r="IF243" t="s">
        <v>395</v>
      </c>
      <c r="IH243" t="s">
        <v>235</v>
      </c>
    </row>
    <row r="244" spans="1:242" x14ac:dyDescent="0.35">
      <c r="A244" s="310" t="s">
        <v>1519</v>
      </c>
      <c r="B244" s="313" t="s">
        <v>1520</v>
      </c>
      <c r="C244" s="310" t="s">
        <v>1521</v>
      </c>
      <c r="D244" s="316"/>
      <c r="F244" t="s">
        <v>1522</v>
      </c>
      <c r="I244" s="310" t="s">
        <v>1523</v>
      </c>
      <c r="M244" s="313"/>
      <c r="O244"/>
      <c r="P244" s="381"/>
      <c r="Q244"/>
      <c r="T244" s="8"/>
      <c r="U244"/>
      <c r="V244" s="313"/>
      <c r="W244"/>
      <c r="X244"/>
      <c r="Z244"/>
      <c r="AB244"/>
      <c r="AD244" s="8" t="s">
        <v>230</v>
      </c>
      <c r="AF244" s="8" t="s">
        <v>230</v>
      </c>
      <c r="AG244"/>
      <c r="AH244"/>
      <c r="AI244"/>
      <c r="AJ244" t="s">
        <v>221</v>
      </c>
      <c r="AK244">
        <v>0</v>
      </c>
      <c r="AL244">
        <v>0.5</v>
      </c>
      <c r="AM244" t="s">
        <v>221</v>
      </c>
      <c r="AN244" t="s">
        <v>225</v>
      </c>
      <c r="AO244" t="s">
        <v>221</v>
      </c>
      <c r="AP244" t="s">
        <v>225</v>
      </c>
      <c r="AQ244" t="s">
        <v>221</v>
      </c>
      <c r="AR244" t="s">
        <v>236</v>
      </c>
      <c r="AS244" t="s">
        <v>221</v>
      </c>
      <c r="AT244" t="s">
        <v>225</v>
      </c>
      <c r="AU244" t="s">
        <v>220</v>
      </c>
      <c r="AV244"/>
      <c r="AW244" s="313" t="s">
        <v>220</v>
      </c>
      <c r="AX244" t="s">
        <v>226</v>
      </c>
      <c r="AY244" s="313" t="s">
        <v>220</v>
      </c>
      <c r="AZ244" s="313">
        <v>4.8000000000000001E-2</v>
      </c>
      <c r="BB244" s="313" t="s">
        <v>220</v>
      </c>
      <c r="BC244">
        <v>2.4799999999999999E-2</v>
      </c>
      <c r="BD244" t="s">
        <v>220</v>
      </c>
      <c r="BE244">
        <v>8.2500000000000004E-2</v>
      </c>
      <c r="BF244" s="2" t="s">
        <v>220</v>
      </c>
      <c r="BG244" s="2" t="s">
        <v>273</v>
      </c>
      <c r="BH244" s="2" t="s">
        <v>274</v>
      </c>
      <c r="BI244" s="2" t="s">
        <v>275</v>
      </c>
      <c r="BM244"/>
      <c r="BP244" s="8"/>
      <c r="BQ244" t="s">
        <v>230</v>
      </c>
      <c r="BR244" t="s">
        <v>230</v>
      </c>
      <c r="BU244" t="s">
        <v>231</v>
      </c>
      <c r="BV244" t="s">
        <v>236</v>
      </c>
      <c r="BW244" t="s">
        <v>232</v>
      </c>
      <c r="BX244" t="s">
        <v>500</v>
      </c>
      <c r="BY244" t="s">
        <v>220</v>
      </c>
      <c r="BZ244">
        <v>0.248</v>
      </c>
      <c r="CA244" t="s">
        <v>234</v>
      </c>
      <c r="CF244" t="s">
        <v>220</v>
      </c>
      <c r="CG244">
        <v>0.128</v>
      </c>
      <c r="CH244" t="s">
        <v>220</v>
      </c>
      <c r="CI244">
        <v>0.153</v>
      </c>
      <c r="CK244"/>
      <c r="CL244"/>
      <c r="CM244"/>
      <c r="CS244" s="8"/>
      <c r="CW244" t="s">
        <v>220</v>
      </c>
      <c r="CX244" t="s">
        <v>220</v>
      </c>
      <c r="CY244" t="s">
        <v>231</v>
      </c>
      <c r="CZ244" t="s">
        <v>227</v>
      </c>
      <c r="DA244" t="s">
        <v>227</v>
      </c>
      <c r="DB244" t="s">
        <v>227</v>
      </c>
      <c r="DC244"/>
      <c r="DD244"/>
      <c r="DE244"/>
      <c r="DF244"/>
      <c r="DG244"/>
      <c r="DH244" s="323"/>
      <c r="DI244" s="323"/>
      <c r="DJ244" s="323"/>
      <c r="DL244" t="s">
        <v>220</v>
      </c>
      <c r="DM244" t="s">
        <v>220</v>
      </c>
      <c r="DN244" t="s">
        <v>227</v>
      </c>
      <c r="DO244" t="s">
        <v>227</v>
      </c>
      <c r="DP244" t="s">
        <v>227</v>
      </c>
      <c r="DS244" s="309">
        <v>233.98599999999999</v>
      </c>
      <c r="DU244" s="309">
        <v>334.702</v>
      </c>
      <c r="DW244">
        <v>2.86</v>
      </c>
      <c r="DX244" t="s">
        <v>238</v>
      </c>
      <c r="DY244">
        <v>3130</v>
      </c>
      <c r="DZ244" t="s">
        <v>238</v>
      </c>
      <c r="EA244"/>
      <c r="EB244"/>
      <c r="ED244" s="410"/>
      <c r="EE244" s="1"/>
      <c r="EG244" s="410"/>
      <c r="EI244" s="410"/>
      <c r="EK244" s="1"/>
      <c r="EM244"/>
      <c r="EQ244" s="344"/>
      <c r="EU244" s="344"/>
      <c r="EW244" s="409"/>
      <c r="EY244" s="1"/>
      <c r="FA244">
        <v>22.54</v>
      </c>
      <c r="FB244" t="s">
        <v>236</v>
      </c>
      <c r="FC244" s="7">
        <v>483.05880203977324</v>
      </c>
      <c r="FD244" s="357" t="s">
        <v>225</v>
      </c>
      <c r="FE244" s="8">
        <v>2.5066863724536375</v>
      </c>
      <c r="FF244" t="s">
        <v>237</v>
      </c>
      <c r="FH244" s="9">
        <v>50.792548036502104</v>
      </c>
      <c r="FI244" s="9" t="s">
        <v>236</v>
      </c>
      <c r="FK244" t="s">
        <v>235</v>
      </c>
      <c r="FL244">
        <v>73.599999999999994</v>
      </c>
      <c r="FM244">
        <v>22.609970723504723</v>
      </c>
      <c r="FN244" s="5" t="s">
        <v>237</v>
      </c>
      <c r="FP244" s="6">
        <v>7.3599999999999994</v>
      </c>
      <c r="FQ244" t="s">
        <v>239</v>
      </c>
      <c r="FS244" t="s">
        <v>240</v>
      </c>
      <c r="FU244" s="8">
        <v>1</v>
      </c>
      <c r="FV244" s="8">
        <v>10</v>
      </c>
      <c r="FW244" s="8">
        <v>10</v>
      </c>
      <c r="FX244" s="8">
        <v>10</v>
      </c>
      <c r="FY244" s="8">
        <v>3</v>
      </c>
      <c r="FZ244">
        <f t="shared" si="3"/>
        <v>3000</v>
      </c>
      <c r="GA244" s="7" t="s">
        <v>326</v>
      </c>
      <c r="GB244" s="7" t="s">
        <v>326</v>
      </c>
      <c r="GC244" s="6">
        <v>1.5</v>
      </c>
      <c r="GD244" s="348" t="s">
        <v>242</v>
      </c>
      <c r="GF244" s="6">
        <v>8.4654246727503494E-3</v>
      </c>
      <c r="GH244" s="7"/>
      <c r="GI244" s="441">
        <v>0.16400000000000001</v>
      </c>
      <c r="GJ244" s="441">
        <v>0.307</v>
      </c>
      <c r="GK244" s="441">
        <v>0.49099999999999999</v>
      </c>
      <c r="GL244" s="441">
        <v>1.2270000000000001</v>
      </c>
      <c r="GM244" s="452" t="s">
        <v>262</v>
      </c>
      <c r="GN244" s="6">
        <v>0.01</v>
      </c>
      <c r="GO244" s="6">
        <v>1.8749999999999999E-2</v>
      </c>
      <c r="GP244" s="6">
        <v>0.03</v>
      </c>
      <c r="GQ244" s="6">
        <v>7.4999999999999997E-2</v>
      </c>
      <c r="GR244" s="6" t="s">
        <v>230</v>
      </c>
      <c r="GU244" t="s">
        <v>243</v>
      </c>
      <c r="GV244" t="s">
        <v>236</v>
      </c>
      <c r="GW244" t="s">
        <v>244</v>
      </c>
      <c r="GX244" t="s">
        <v>236</v>
      </c>
      <c r="GY244" t="s">
        <v>245</v>
      </c>
      <c r="HE244" t="s">
        <v>247</v>
      </c>
      <c r="HF244" t="s">
        <v>236</v>
      </c>
      <c r="HG244" t="s">
        <v>317</v>
      </c>
      <c r="HH244" t="s">
        <v>236</v>
      </c>
      <c r="HI244" t="s">
        <v>247</v>
      </c>
      <c r="HJ244" t="s">
        <v>236</v>
      </c>
      <c r="HK244" t="s">
        <v>266</v>
      </c>
      <c r="HO244" t="s">
        <v>231</v>
      </c>
      <c r="HP244" t="s">
        <v>223</v>
      </c>
      <c r="HQ244" t="s">
        <v>231</v>
      </c>
      <c r="HR244" t="s">
        <v>223</v>
      </c>
      <c r="HU244" t="s">
        <v>231</v>
      </c>
      <c r="HV244" t="s">
        <v>223</v>
      </c>
      <c r="HW244" t="s">
        <v>482</v>
      </c>
      <c r="HX244" t="s">
        <v>225</v>
      </c>
      <c r="IA244" t="s">
        <v>231</v>
      </c>
      <c r="IB244" t="s">
        <v>250</v>
      </c>
      <c r="IC244">
        <v>0.16400000000000001</v>
      </c>
      <c r="ID244">
        <v>0.307</v>
      </c>
      <c r="IE244">
        <v>0.49099999999999999</v>
      </c>
      <c r="IF244">
        <v>1.2270000000000001</v>
      </c>
      <c r="IH244" t="s">
        <v>267</v>
      </c>
    </row>
    <row r="245" spans="1:242" x14ac:dyDescent="0.35">
      <c r="A245" s="310" t="s">
        <v>1524</v>
      </c>
      <c r="B245" s="313" t="s">
        <v>1525</v>
      </c>
      <c r="C245" s="310" t="s">
        <v>1526</v>
      </c>
      <c r="D245" s="316"/>
      <c r="F245" t="s">
        <v>1527</v>
      </c>
      <c r="I245" s="310" t="s">
        <v>1528</v>
      </c>
      <c r="M245" s="313"/>
      <c r="O245" t="s">
        <v>221</v>
      </c>
      <c r="P245" s="381"/>
      <c r="Q245" t="s">
        <v>221</v>
      </c>
      <c r="T245" s="8"/>
      <c r="U245" t="s">
        <v>221</v>
      </c>
      <c r="V245" s="313"/>
      <c r="W245" t="s">
        <v>220</v>
      </c>
      <c r="X245" t="s">
        <v>220</v>
      </c>
      <c r="Z245" t="s">
        <v>220</v>
      </c>
      <c r="AB245"/>
      <c r="AD245" s="8" t="s">
        <v>222</v>
      </c>
      <c r="AF245" s="8" t="s">
        <v>230</v>
      </c>
      <c r="AG245"/>
      <c r="AH245"/>
      <c r="AI245"/>
      <c r="AJ245" t="s">
        <v>221</v>
      </c>
      <c r="AK245">
        <v>0</v>
      </c>
      <c r="AL245">
        <v>1</v>
      </c>
      <c r="AM245" t="s">
        <v>221</v>
      </c>
      <c r="AN245" t="s">
        <v>249</v>
      </c>
      <c r="AO245" t="s">
        <v>221</v>
      </c>
      <c r="AP245"/>
      <c r="AQ245" t="s">
        <v>221</v>
      </c>
      <c r="AR245" t="s">
        <v>225</v>
      </c>
      <c r="AS245" t="s">
        <v>221</v>
      </c>
      <c r="AT245"/>
      <c r="AU245" t="s">
        <v>220</v>
      </c>
      <c r="AV245"/>
      <c r="AW245" s="313" t="s">
        <v>220</v>
      </c>
      <c r="AX245" t="s">
        <v>226</v>
      </c>
      <c r="AY245" s="313" t="s">
        <v>220</v>
      </c>
      <c r="AZ245" s="313">
        <v>5.5199999999999999E-2</v>
      </c>
      <c r="BB245" s="313" t="s">
        <v>220</v>
      </c>
      <c r="BC245">
        <v>3.4200000000000001E-2</v>
      </c>
      <c r="BD245" t="s">
        <v>220</v>
      </c>
      <c r="BE245">
        <v>4.4600000000000001E-2</v>
      </c>
      <c r="BF245" s="2" t="s">
        <v>220</v>
      </c>
      <c r="BH245" s="2" t="s">
        <v>228</v>
      </c>
      <c r="BI245" s="2" t="s">
        <v>457</v>
      </c>
      <c r="BM245"/>
      <c r="BO245" t="s">
        <v>220</v>
      </c>
      <c r="BP245" s="8"/>
      <c r="BQ245" t="s">
        <v>230</v>
      </c>
      <c r="BR245" t="s">
        <v>222</v>
      </c>
      <c r="BU245" t="s">
        <v>231</v>
      </c>
      <c r="BV245" t="s">
        <v>223</v>
      </c>
      <c r="BW245" t="s">
        <v>232</v>
      </c>
      <c r="BX245" t="s">
        <v>276</v>
      </c>
      <c r="BY245" t="s">
        <v>220</v>
      </c>
      <c r="BZ245">
        <v>0.23499999999999999</v>
      </c>
      <c r="CA245" t="s">
        <v>234</v>
      </c>
      <c r="CF245" t="s">
        <v>220</v>
      </c>
      <c r="CG245">
        <v>0.10299999999999999</v>
      </c>
      <c r="CH245" t="s">
        <v>220</v>
      </c>
      <c r="CI245">
        <v>4.4999999999999998E-2</v>
      </c>
      <c r="CK245"/>
      <c r="CL245"/>
      <c r="CM245"/>
      <c r="CS245" s="8"/>
      <c r="CW245" t="s">
        <v>220</v>
      </c>
      <c r="CX245" t="s">
        <v>220</v>
      </c>
      <c r="CY245" t="s">
        <v>231</v>
      </c>
      <c r="CZ245" t="s">
        <v>220</v>
      </c>
      <c r="DA245" t="s">
        <v>220</v>
      </c>
      <c r="DB245" t="s">
        <v>220</v>
      </c>
      <c r="DC245"/>
      <c r="DD245"/>
      <c r="DE245"/>
      <c r="DF245"/>
      <c r="DG245"/>
      <c r="DH245" s="323"/>
      <c r="DI245" s="323"/>
      <c r="DJ245" s="323"/>
      <c r="DL245" t="s">
        <v>257</v>
      </c>
      <c r="DM245" t="s">
        <v>220</v>
      </c>
      <c r="DN245" t="s">
        <v>257</v>
      </c>
      <c r="DO245" t="s">
        <v>220</v>
      </c>
      <c r="DP245" t="s">
        <v>257</v>
      </c>
      <c r="DS245" s="338">
        <v>647.50199999999995</v>
      </c>
      <c r="DT245" s="8" t="s">
        <v>394</v>
      </c>
      <c r="DU245" s="309">
        <v>264.22699999999998</v>
      </c>
      <c r="DW245">
        <v>22.3</v>
      </c>
      <c r="DX245" t="s">
        <v>238</v>
      </c>
      <c r="DY245">
        <v>1250</v>
      </c>
      <c r="DZ245" t="s">
        <v>238</v>
      </c>
      <c r="EA245"/>
      <c r="EB245"/>
      <c r="ED245" s="410"/>
      <c r="EE245" s="1"/>
      <c r="EG245" s="410"/>
      <c r="EI245" s="410"/>
      <c r="EK245" s="1">
        <v>2000</v>
      </c>
      <c r="EL245" s="8" t="s">
        <v>323</v>
      </c>
      <c r="EM245"/>
      <c r="EQ245" s="344"/>
      <c r="EU245" s="344"/>
      <c r="EW245" s="409"/>
      <c r="EY245" s="1"/>
      <c r="FA245">
        <v>188.37</v>
      </c>
      <c r="FB245" t="s">
        <v>225</v>
      </c>
      <c r="FC245" s="7">
        <v>645.05983328483183</v>
      </c>
      <c r="FD245" s="357" t="s">
        <v>225</v>
      </c>
      <c r="FE245" s="8">
        <v>54.150191895348982</v>
      </c>
      <c r="FF245" t="s">
        <v>237</v>
      </c>
      <c r="FH245" s="9">
        <v>366.77523159949544</v>
      </c>
      <c r="FI245" s="9" t="s">
        <v>225</v>
      </c>
      <c r="FJ245">
        <v>170</v>
      </c>
      <c r="FK245" t="s">
        <v>238</v>
      </c>
      <c r="FL245">
        <v>470</v>
      </c>
      <c r="FM245">
        <v>379.05305394288564</v>
      </c>
      <c r="FN245" s="5" t="s">
        <v>237</v>
      </c>
      <c r="FP245" s="6">
        <v>2000</v>
      </c>
      <c r="FQ245" t="s">
        <v>260</v>
      </c>
      <c r="FS245" t="s">
        <v>261</v>
      </c>
      <c r="FU245" s="8">
        <v>1</v>
      </c>
      <c r="FV245" s="8">
        <v>10</v>
      </c>
      <c r="FW245" s="8">
        <v>10</v>
      </c>
      <c r="FX245" s="8">
        <v>1</v>
      </c>
      <c r="FY245" s="8">
        <v>1</v>
      </c>
      <c r="FZ245">
        <f t="shared" si="3"/>
        <v>100</v>
      </c>
      <c r="GA245" s="7" t="s">
        <v>241</v>
      </c>
      <c r="GB245" s="7" t="s">
        <v>241</v>
      </c>
      <c r="GC245" s="6">
        <v>30</v>
      </c>
      <c r="GD245" s="348" t="s">
        <v>242</v>
      </c>
      <c r="GF245" s="6">
        <v>0.17</v>
      </c>
      <c r="GH245" s="7"/>
      <c r="GI245" s="441"/>
      <c r="GJ245" s="441"/>
      <c r="GK245" s="441"/>
      <c r="GL245" s="441"/>
      <c r="GM245" s="454"/>
      <c r="GN245" s="441"/>
      <c r="GO245" s="441"/>
      <c r="GP245" s="441"/>
      <c r="GQ245" s="441"/>
      <c r="GR245" s="441"/>
      <c r="GS245" s="441"/>
      <c r="GT245" s="441"/>
      <c r="GU245" s="441"/>
      <c r="GV245" s="441"/>
      <c r="GW245" s="441"/>
      <c r="GX245" s="441"/>
      <c r="GY245" s="441"/>
      <c r="GZ245" s="441"/>
      <c r="HA245" s="441"/>
      <c r="HB245" s="441"/>
      <c r="HC245" s="441"/>
      <c r="HD245" s="441"/>
      <c r="HE245" s="441"/>
      <c r="HF245" s="441"/>
      <c r="HG245" s="441"/>
      <c r="HH245" s="441"/>
      <c r="HI245" s="441"/>
      <c r="HJ245" s="441"/>
      <c r="HK245" s="441"/>
      <c r="HL245" s="441"/>
      <c r="HM245" s="441"/>
      <c r="HN245" s="441"/>
      <c r="HO245" s="441"/>
      <c r="HP245" s="441"/>
      <c r="HQ245" s="441"/>
      <c r="HR245" s="441"/>
      <c r="HS245" s="441"/>
      <c r="HT245" s="441"/>
      <c r="HU245" s="441"/>
      <c r="HV245" s="441"/>
      <c r="HW245" s="441"/>
      <c r="HX245" s="441"/>
      <c r="HY245" s="441"/>
      <c r="HZ245" s="441"/>
      <c r="IA245" s="441"/>
      <c r="IB245" s="441"/>
      <c r="IC245" s="441"/>
      <c r="ID245" s="441"/>
      <c r="IE245" s="441"/>
      <c r="IF245" s="441"/>
      <c r="IH245" t="s">
        <v>235</v>
      </c>
    </row>
    <row r="246" spans="1:242" x14ac:dyDescent="0.35">
      <c r="A246" s="310" t="s">
        <v>1529</v>
      </c>
      <c r="B246" s="313" t="s">
        <v>1530</v>
      </c>
      <c r="C246" s="310" t="s">
        <v>1531</v>
      </c>
      <c r="D246" s="316"/>
      <c r="F246" t="s">
        <v>1532</v>
      </c>
      <c r="I246" s="310" t="s">
        <v>1533</v>
      </c>
      <c r="M246" s="313"/>
      <c r="O246" t="s">
        <v>221</v>
      </c>
      <c r="P246" s="381"/>
      <c r="Q246" t="s">
        <v>221</v>
      </c>
      <c r="T246" s="8"/>
      <c r="U246" t="s">
        <v>221</v>
      </c>
      <c r="V246" s="313"/>
      <c r="W246" t="s">
        <v>220</v>
      </c>
      <c r="X246" t="s">
        <v>220</v>
      </c>
      <c r="Z246"/>
      <c r="AB246"/>
      <c r="AD246" s="8" t="s">
        <v>230</v>
      </c>
      <c r="AF246" s="8" t="s">
        <v>230</v>
      </c>
      <c r="AG246"/>
      <c r="AH246"/>
      <c r="AI246"/>
      <c r="AJ246" t="s">
        <v>221</v>
      </c>
      <c r="AK246">
        <v>0</v>
      </c>
      <c r="AL246">
        <v>1</v>
      </c>
      <c r="AM246" t="s">
        <v>221</v>
      </c>
      <c r="AN246" t="s">
        <v>249</v>
      </c>
      <c r="AO246" t="s">
        <v>224</v>
      </c>
      <c r="AP246"/>
      <c r="AQ246" t="s">
        <v>221</v>
      </c>
      <c r="AR246" t="s">
        <v>225</v>
      </c>
      <c r="AS246" t="s">
        <v>221</v>
      </c>
      <c r="AT246"/>
      <c r="AU246" t="s">
        <v>220</v>
      </c>
      <c r="AV246"/>
      <c r="AW246" s="313" t="s">
        <v>220</v>
      </c>
      <c r="AX246" t="s">
        <v>226</v>
      </c>
      <c r="AY246" s="313" t="s">
        <v>220</v>
      </c>
      <c r="AZ246" s="313">
        <v>0.253</v>
      </c>
      <c r="BB246" s="313" t="s">
        <v>220</v>
      </c>
      <c r="BC246">
        <v>0.16500000000000001</v>
      </c>
      <c r="BD246" t="s">
        <v>227</v>
      </c>
      <c r="BE246">
        <v>0.114</v>
      </c>
      <c r="BF246" s="2" t="s">
        <v>220</v>
      </c>
      <c r="BH246" s="2" t="s">
        <v>228</v>
      </c>
      <c r="BI246" s="2" t="s">
        <v>424</v>
      </c>
      <c r="BM246"/>
      <c r="BP246" s="8"/>
      <c r="BQ246" t="s">
        <v>230</v>
      </c>
      <c r="BR246" t="s">
        <v>230</v>
      </c>
      <c r="BU246" t="s">
        <v>293</v>
      </c>
      <c r="BV246" t="s">
        <v>236</v>
      </c>
      <c r="BW246" t="s">
        <v>321</v>
      </c>
      <c r="BX246" t="s">
        <v>276</v>
      </c>
      <c r="BY246" t="s">
        <v>227</v>
      </c>
      <c r="BZ246">
        <v>0.58499999999999996</v>
      </c>
      <c r="CA246" t="s">
        <v>234</v>
      </c>
      <c r="CF246" t="s">
        <v>220</v>
      </c>
      <c r="CG246">
        <v>0.33400000000000002</v>
      </c>
      <c r="CH246" t="s">
        <v>220</v>
      </c>
      <c r="CI246">
        <v>0.19500000000000001</v>
      </c>
      <c r="CK246"/>
      <c r="CL246"/>
      <c r="CM246"/>
      <c r="CS246" s="8"/>
      <c r="CW246" t="s">
        <v>227</v>
      </c>
      <c r="CX246" t="s">
        <v>220</v>
      </c>
      <c r="CY246" t="s">
        <v>231</v>
      </c>
      <c r="CZ246" t="s">
        <v>227</v>
      </c>
      <c r="DA246" t="s">
        <v>227</v>
      </c>
      <c r="DB246" t="s">
        <v>227</v>
      </c>
      <c r="DC246"/>
      <c r="DD246"/>
      <c r="DE246"/>
      <c r="DF246"/>
      <c r="DG246"/>
      <c r="DH246" s="323"/>
      <c r="DI246" s="323"/>
      <c r="DJ246" s="323"/>
      <c r="DL246" t="s">
        <v>227</v>
      </c>
      <c r="DM246" t="s">
        <v>227</v>
      </c>
      <c r="DN246" t="s">
        <v>227</v>
      </c>
      <c r="DO246" t="s">
        <v>227</v>
      </c>
      <c r="DP246" t="s">
        <v>227</v>
      </c>
      <c r="DS246" s="309">
        <v>18.164999999999999</v>
      </c>
      <c r="DU246" s="309">
        <v>38.063000000000002</v>
      </c>
      <c r="DW246">
        <v>12.4</v>
      </c>
      <c r="DX246" t="s">
        <v>238</v>
      </c>
      <c r="DY246">
        <v>23</v>
      </c>
      <c r="DZ246" t="s">
        <v>267</v>
      </c>
      <c r="EA246"/>
      <c r="EB246"/>
      <c r="ED246" s="410"/>
      <c r="EE246" s="1"/>
      <c r="EG246" s="410"/>
      <c r="EI246" s="410"/>
      <c r="EK246" s="1"/>
      <c r="EM246"/>
      <c r="EQ246" s="344"/>
      <c r="EU246" s="344"/>
      <c r="EW246" s="409"/>
      <c r="EY246" s="1"/>
      <c r="FA246">
        <v>0.66739999999999999</v>
      </c>
      <c r="FB246" t="s">
        <v>236</v>
      </c>
      <c r="FC246" s="7">
        <v>31.462990561619936</v>
      </c>
      <c r="FD246" s="357" t="s">
        <v>225</v>
      </c>
      <c r="FE246" s="8">
        <v>8.0649188159509784</v>
      </c>
      <c r="FF246" t="s">
        <v>237</v>
      </c>
      <c r="FH246" s="9">
        <v>79.854611290307446</v>
      </c>
      <c r="FI246" s="9" t="s">
        <v>225</v>
      </c>
      <c r="FJ246">
        <v>131</v>
      </c>
      <c r="FK246" t="s">
        <v>238</v>
      </c>
      <c r="FL246">
        <v>38.9</v>
      </c>
      <c r="FM246">
        <v>35.677958828856234</v>
      </c>
      <c r="FN246" s="5" t="s">
        <v>237</v>
      </c>
      <c r="FP246" s="6">
        <v>0.3337</v>
      </c>
      <c r="FQ246" t="s">
        <v>275</v>
      </c>
      <c r="FS246" t="s">
        <v>240</v>
      </c>
      <c r="FU246" s="8">
        <v>2</v>
      </c>
      <c r="FV246" s="8">
        <v>10</v>
      </c>
      <c r="FW246" s="8">
        <v>10</v>
      </c>
      <c r="FX246" s="8">
        <v>1</v>
      </c>
      <c r="FY246" s="8">
        <v>1</v>
      </c>
      <c r="FZ246">
        <f t="shared" si="3"/>
        <v>200</v>
      </c>
      <c r="GA246" s="7" t="s">
        <v>326</v>
      </c>
      <c r="GB246" s="7" t="s">
        <v>326</v>
      </c>
      <c r="GC246" s="6">
        <v>1.5</v>
      </c>
      <c r="GD246" s="348" t="s">
        <v>242</v>
      </c>
      <c r="GF246" s="6">
        <v>1.2966666666666666E-2</v>
      </c>
      <c r="GH246" s="7"/>
      <c r="GI246" s="441" t="s">
        <v>395</v>
      </c>
      <c r="GJ246" s="441" t="s">
        <v>395</v>
      </c>
      <c r="GK246" s="441" t="s">
        <v>395</v>
      </c>
      <c r="GL246" s="441" t="s">
        <v>395</v>
      </c>
      <c r="GM246" s="452" t="s">
        <v>529</v>
      </c>
      <c r="GN246" s="6" t="s">
        <v>395</v>
      </c>
      <c r="GO246" s="6" t="s">
        <v>395</v>
      </c>
      <c r="GP246" s="6" t="s">
        <v>395</v>
      </c>
      <c r="GQ246" s="6" t="s">
        <v>395</v>
      </c>
      <c r="GR246" s="6" t="s">
        <v>396</v>
      </c>
      <c r="GU246" t="s">
        <v>365</v>
      </c>
      <c r="GV246" t="s">
        <v>236</v>
      </c>
      <c r="GW246" t="s">
        <v>244</v>
      </c>
      <c r="GX246" t="s">
        <v>236</v>
      </c>
      <c r="GY246" t="s">
        <v>245</v>
      </c>
      <c r="HE246" t="s">
        <v>246</v>
      </c>
      <c r="HF246" t="s">
        <v>236</v>
      </c>
      <c r="HG246" t="s">
        <v>231</v>
      </c>
      <c r="HH246" t="s">
        <v>225</v>
      </c>
      <c r="HI246" t="s">
        <v>1435</v>
      </c>
      <c r="HJ246" t="s">
        <v>225</v>
      </c>
      <c r="HK246" t="s">
        <v>248</v>
      </c>
      <c r="HO246" t="s">
        <v>231</v>
      </c>
      <c r="HP246" t="s">
        <v>223</v>
      </c>
      <c r="HQ246" t="s">
        <v>231</v>
      </c>
      <c r="HR246" t="s">
        <v>223</v>
      </c>
      <c r="HS246" t="s">
        <v>1534</v>
      </c>
      <c r="HU246" t="s">
        <v>1534</v>
      </c>
      <c r="HV246" t="s">
        <v>249</v>
      </c>
      <c r="HW246" t="s">
        <v>246</v>
      </c>
      <c r="HX246" t="s">
        <v>236</v>
      </c>
      <c r="IA246" t="s">
        <v>231</v>
      </c>
      <c r="IB246" t="s">
        <v>250</v>
      </c>
      <c r="IC246" t="s">
        <v>395</v>
      </c>
      <c r="ID246" t="s">
        <v>395</v>
      </c>
      <c r="IE246" t="s">
        <v>395</v>
      </c>
      <c r="IF246" t="s">
        <v>395</v>
      </c>
      <c r="IH246" t="s">
        <v>235</v>
      </c>
    </row>
    <row r="247" spans="1:242" x14ac:dyDescent="0.35">
      <c r="A247" s="310" t="s">
        <v>1535</v>
      </c>
      <c r="B247" s="313" t="s">
        <v>1536</v>
      </c>
      <c r="C247" s="310" t="s">
        <v>1537</v>
      </c>
      <c r="D247" s="316"/>
      <c r="F247" t="s">
        <v>1538</v>
      </c>
      <c r="I247" s="310" t="s">
        <v>1539</v>
      </c>
      <c r="M247" s="313" t="s">
        <v>220</v>
      </c>
      <c r="O247" t="s">
        <v>221</v>
      </c>
      <c r="P247" s="381"/>
      <c r="Q247" t="s">
        <v>221</v>
      </c>
      <c r="T247" s="8"/>
      <c r="U247"/>
      <c r="V247" s="313"/>
      <c r="W247" t="s">
        <v>301</v>
      </c>
      <c r="X247" t="s">
        <v>220</v>
      </c>
      <c r="Z247" t="s">
        <v>220</v>
      </c>
      <c r="AB247"/>
      <c r="AD247" s="8" t="s">
        <v>222</v>
      </c>
      <c r="AF247" s="8" t="s">
        <v>222</v>
      </c>
      <c r="AG247"/>
      <c r="AH247"/>
      <c r="AI247"/>
      <c r="AJ247" t="s">
        <v>221</v>
      </c>
      <c r="AK247">
        <v>0</v>
      </c>
      <c r="AL247">
        <v>1</v>
      </c>
      <c r="AM247" t="s">
        <v>221</v>
      </c>
      <c r="AN247" t="s">
        <v>249</v>
      </c>
      <c r="AO247" t="s">
        <v>221</v>
      </c>
      <c r="AP247"/>
      <c r="AQ247" t="s">
        <v>221</v>
      </c>
      <c r="AR247" t="s">
        <v>223</v>
      </c>
      <c r="AS247" t="s">
        <v>221</v>
      </c>
      <c r="AT247" t="s">
        <v>223</v>
      </c>
      <c r="AU247" t="s">
        <v>220</v>
      </c>
      <c r="AV247"/>
      <c r="AW247" s="313" t="s">
        <v>1184</v>
      </c>
      <c r="AX247" t="s">
        <v>226</v>
      </c>
      <c r="AY247" s="313" t="s">
        <v>220</v>
      </c>
      <c r="AZ247" s="313">
        <v>2.2499999999999999E-2</v>
      </c>
      <c r="BB247" s="313" t="s">
        <v>220</v>
      </c>
      <c r="BC247">
        <v>1.4999999999999999E-2</v>
      </c>
      <c r="BD247" t="s">
        <v>220</v>
      </c>
      <c r="BE247">
        <v>1.41E-2</v>
      </c>
      <c r="BF247" s="2" t="s">
        <v>220</v>
      </c>
      <c r="BH247" s="2" t="s">
        <v>228</v>
      </c>
      <c r="BI247" s="2" t="s">
        <v>1445</v>
      </c>
      <c r="BM247"/>
      <c r="BP247" s="8"/>
      <c r="BQ247" t="s">
        <v>230</v>
      </c>
      <c r="BR247" t="s">
        <v>230</v>
      </c>
      <c r="BU247" t="s">
        <v>231</v>
      </c>
      <c r="BV247" t="s">
        <v>223</v>
      </c>
      <c r="BW247" t="s">
        <v>232</v>
      </c>
      <c r="BX247" t="s">
        <v>284</v>
      </c>
      <c r="BY247" t="s">
        <v>220</v>
      </c>
      <c r="BZ247">
        <v>0.16</v>
      </c>
      <c r="CA247" t="s">
        <v>234</v>
      </c>
      <c r="CF247" t="s">
        <v>220</v>
      </c>
      <c r="CG247">
        <v>5.45E-2</v>
      </c>
      <c r="CH247" t="s">
        <v>220</v>
      </c>
      <c r="CI247">
        <v>2.5399999999999999E-2</v>
      </c>
      <c r="CK247"/>
      <c r="CL247"/>
      <c r="CM247"/>
      <c r="CS247" s="8"/>
      <c r="CW247" t="s">
        <v>220</v>
      </c>
      <c r="CX247" t="s">
        <v>220</v>
      </c>
      <c r="CY247" t="s">
        <v>231</v>
      </c>
      <c r="CZ247" t="s">
        <v>220</v>
      </c>
      <c r="DA247" t="s">
        <v>220</v>
      </c>
      <c r="DB247" t="s">
        <v>220</v>
      </c>
      <c r="DC247"/>
      <c r="DD247"/>
      <c r="DE247"/>
      <c r="DF247"/>
      <c r="DG247"/>
      <c r="DH247" s="323"/>
      <c r="DI247" s="323"/>
      <c r="DJ247" s="323"/>
      <c r="DL247" t="s">
        <v>257</v>
      </c>
      <c r="DM247" t="s">
        <v>220</v>
      </c>
      <c r="DN247" t="s">
        <v>257</v>
      </c>
      <c r="DO247" t="s">
        <v>220</v>
      </c>
      <c r="DP247" t="s">
        <v>257</v>
      </c>
      <c r="DS247" s="338">
        <v>706.19100000000003</v>
      </c>
      <c r="DT247" s="8" t="s">
        <v>394</v>
      </c>
      <c r="DU247" s="309">
        <v>732.70699999999999</v>
      </c>
      <c r="DW247">
        <v>107</v>
      </c>
      <c r="DX247" t="s">
        <v>238</v>
      </c>
      <c r="DY247">
        <v>1170</v>
      </c>
      <c r="DZ247" t="s">
        <v>238</v>
      </c>
      <c r="EA247"/>
      <c r="EB247"/>
      <c r="ED247" s="410">
        <v>450</v>
      </c>
      <c r="EE247" s="1"/>
      <c r="EF247" s="8" t="s">
        <v>259</v>
      </c>
      <c r="EG247" s="410">
        <v>450</v>
      </c>
      <c r="EH247" s="8" t="s">
        <v>259</v>
      </c>
      <c r="EI247" s="410"/>
      <c r="EK247" s="1"/>
      <c r="EM247"/>
      <c r="EQ247" s="344"/>
      <c r="EU247" s="344"/>
      <c r="EW247" s="409"/>
      <c r="EY247" s="1"/>
      <c r="FA247">
        <v>235.32</v>
      </c>
      <c r="FB247" t="s">
        <v>225</v>
      </c>
      <c r="FC247" s="7">
        <v>655.08853693861079</v>
      </c>
      <c r="FD247" s="357" t="s">
        <v>225</v>
      </c>
      <c r="FE247" s="8">
        <v>27.126889605169353</v>
      </c>
      <c r="FF247" t="s">
        <v>237</v>
      </c>
      <c r="FH247" s="9">
        <v>723.26924777684962</v>
      </c>
      <c r="FI247" s="9" t="s">
        <v>225</v>
      </c>
      <c r="FJ247">
        <v>318</v>
      </c>
      <c r="FK247" t="s">
        <v>238</v>
      </c>
      <c r="FL247">
        <v>302</v>
      </c>
      <c r="FM247">
        <v>163.23000728189956</v>
      </c>
      <c r="FN247" s="5" t="s">
        <v>237</v>
      </c>
      <c r="FP247" s="6">
        <v>225</v>
      </c>
      <c r="FQ247" t="s">
        <v>382</v>
      </c>
      <c r="FS247" t="s">
        <v>261</v>
      </c>
      <c r="FU247" s="8">
        <v>2</v>
      </c>
      <c r="FV247" s="8">
        <v>10</v>
      </c>
      <c r="FW247" s="8">
        <v>10</v>
      </c>
      <c r="FX247" s="8">
        <v>1</v>
      </c>
      <c r="FY247" s="8">
        <v>3</v>
      </c>
      <c r="FZ247">
        <f t="shared" si="3"/>
        <v>600</v>
      </c>
      <c r="GA247" s="7" t="s">
        <v>241</v>
      </c>
      <c r="GB247" s="7" t="s">
        <v>241</v>
      </c>
      <c r="GC247" s="6">
        <v>30</v>
      </c>
      <c r="GD247" s="348" t="s">
        <v>242</v>
      </c>
      <c r="GF247" s="6">
        <v>0.10066666666666667</v>
      </c>
      <c r="GH247" s="7"/>
      <c r="GI247" s="441"/>
      <c r="GJ247" s="441"/>
      <c r="GK247" s="441"/>
      <c r="GL247" s="441"/>
      <c r="GM247" s="453"/>
      <c r="GN247" s="441"/>
      <c r="GO247" s="441"/>
      <c r="GP247" s="441"/>
      <c r="GQ247" s="441"/>
      <c r="GR247" s="441"/>
      <c r="GS247" s="441"/>
      <c r="GT247" s="441"/>
      <c r="GU247" s="441"/>
      <c r="GV247" s="441"/>
      <c r="GW247" s="441"/>
      <c r="GX247" s="441"/>
      <c r="GY247" s="441"/>
      <c r="GZ247" s="441"/>
      <c r="HA247" s="441"/>
      <c r="HB247" s="441"/>
      <c r="HC247" s="441"/>
      <c r="HD247" s="441"/>
      <c r="HE247" s="441"/>
      <c r="HF247" s="441"/>
      <c r="HG247" s="441"/>
      <c r="HH247" s="441"/>
      <c r="HI247" s="441"/>
      <c r="HJ247" s="441"/>
      <c r="HK247" s="441"/>
      <c r="HL247" s="441"/>
      <c r="HM247" s="441"/>
      <c r="HN247" s="441"/>
      <c r="HO247" s="441"/>
      <c r="HP247" s="441"/>
      <c r="HQ247" s="441"/>
      <c r="HR247" s="441"/>
      <c r="HS247" s="441"/>
      <c r="HT247" s="441"/>
      <c r="HU247" s="441"/>
      <c r="HV247" s="441"/>
      <c r="HW247" s="441"/>
      <c r="HX247" s="441"/>
      <c r="HY247" s="441"/>
      <c r="HZ247" s="441"/>
      <c r="IA247" s="441"/>
      <c r="IB247" s="441"/>
      <c r="IC247" s="441"/>
      <c r="ID247" s="441"/>
      <c r="IE247" s="441"/>
      <c r="IF247" s="441"/>
      <c r="IH247" t="s">
        <v>235</v>
      </c>
    </row>
    <row r="248" spans="1:242" x14ac:dyDescent="0.35">
      <c r="A248" s="310" t="s">
        <v>1540</v>
      </c>
      <c r="B248" s="313" t="s">
        <v>1541</v>
      </c>
      <c r="C248" s="310" t="s">
        <v>1542</v>
      </c>
      <c r="D248" s="316"/>
      <c r="F248" t="s">
        <v>1543</v>
      </c>
      <c r="I248" s="310" t="s">
        <v>1544</v>
      </c>
      <c r="M248" s="313"/>
      <c r="O248" t="s">
        <v>221</v>
      </c>
      <c r="P248" s="381"/>
      <c r="Q248" t="s">
        <v>221</v>
      </c>
      <c r="T248" s="8"/>
      <c r="U248" t="s">
        <v>221</v>
      </c>
      <c r="V248" s="313"/>
      <c r="W248" t="s">
        <v>220</v>
      </c>
      <c r="X248" t="s">
        <v>220</v>
      </c>
      <c r="Z248"/>
      <c r="AB248"/>
      <c r="AD248" s="8" t="s">
        <v>230</v>
      </c>
      <c r="AF248" s="8" t="s">
        <v>230</v>
      </c>
      <c r="AG248"/>
      <c r="AH248"/>
      <c r="AI248"/>
      <c r="AJ248" t="s">
        <v>221</v>
      </c>
      <c r="AK248">
        <v>0</v>
      </c>
      <c r="AL248">
        <v>1</v>
      </c>
      <c r="AM248" t="s">
        <v>221</v>
      </c>
      <c r="AN248" t="s">
        <v>249</v>
      </c>
      <c r="AO248" t="s">
        <v>224</v>
      </c>
      <c r="AP248"/>
      <c r="AQ248" t="s">
        <v>221</v>
      </c>
      <c r="AR248" t="s">
        <v>225</v>
      </c>
      <c r="AS248" t="s">
        <v>221</v>
      </c>
      <c r="AT248"/>
      <c r="AU248" t="s">
        <v>220</v>
      </c>
      <c r="AV248"/>
      <c r="AW248" s="313" t="s">
        <v>220</v>
      </c>
      <c r="AX248" t="s">
        <v>226</v>
      </c>
      <c r="AY248" s="313" t="s">
        <v>220</v>
      </c>
      <c r="AZ248" s="313">
        <v>0.253</v>
      </c>
      <c r="BB248" s="313" t="s">
        <v>220</v>
      </c>
      <c r="BC248">
        <v>0.16500000000000001</v>
      </c>
      <c r="BD248" t="s">
        <v>227</v>
      </c>
      <c r="BE248">
        <v>0.16600000000000001</v>
      </c>
      <c r="BF248" s="2" t="s">
        <v>220</v>
      </c>
      <c r="BH248" s="2" t="s">
        <v>228</v>
      </c>
      <c r="BI248" s="2" t="s">
        <v>424</v>
      </c>
      <c r="BM248"/>
      <c r="BP248" s="8"/>
      <c r="BQ248" t="s">
        <v>230</v>
      </c>
      <c r="BR248" t="s">
        <v>230</v>
      </c>
      <c r="BU248" t="s">
        <v>293</v>
      </c>
      <c r="BV248" t="s">
        <v>236</v>
      </c>
      <c r="BW248" t="s">
        <v>321</v>
      </c>
      <c r="BX248" t="s">
        <v>276</v>
      </c>
      <c r="BY248" t="s">
        <v>227</v>
      </c>
      <c r="BZ248">
        <v>0.58499999999999996</v>
      </c>
      <c r="CA248" t="s">
        <v>234</v>
      </c>
      <c r="CF248" t="s">
        <v>227</v>
      </c>
      <c r="CG248">
        <v>0.43</v>
      </c>
      <c r="CH248" t="s">
        <v>220</v>
      </c>
      <c r="CI248">
        <v>0.214</v>
      </c>
      <c r="CK248"/>
      <c r="CL248"/>
      <c r="CM248"/>
      <c r="CS248" s="8"/>
      <c r="CW248" t="s">
        <v>227</v>
      </c>
      <c r="CX248" t="s">
        <v>257</v>
      </c>
      <c r="CY248" t="s">
        <v>231</v>
      </c>
      <c r="CZ248" t="s">
        <v>227</v>
      </c>
      <c r="DA248" t="s">
        <v>227</v>
      </c>
      <c r="DB248" t="s">
        <v>227</v>
      </c>
      <c r="DC248"/>
      <c r="DD248"/>
      <c r="DE248"/>
      <c r="DF248"/>
      <c r="DG248"/>
      <c r="DH248" s="323"/>
      <c r="DI248" s="323"/>
      <c r="DJ248" s="323"/>
      <c r="DL248" t="s">
        <v>227</v>
      </c>
      <c r="DM248" t="s">
        <v>227</v>
      </c>
      <c r="DN248" t="s">
        <v>227</v>
      </c>
      <c r="DO248" t="s">
        <v>227</v>
      </c>
      <c r="DP248" t="s">
        <v>227</v>
      </c>
      <c r="DS248" s="309">
        <v>12.504</v>
      </c>
      <c r="DU248" s="309">
        <v>45.75</v>
      </c>
      <c r="DW248">
        <v>24.1</v>
      </c>
      <c r="DX248" t="s">
        <v>238</v>
      </c>
      <c r="DY248">
        <v>24.7</v>
      </c>
      <c r="DZ248" t="s">
        <v>267</v>
      </c>
      <c r="EA248"/>
      <c r="EB248"/>
      <c r="ED248" s="410"/>
      <c r="EE248" s="1"/>
      <c r="EG248" s="410"/>
      <c r="EI248" s="410"/>
      <c r="EK248" s="1"/>
      <c r="EM248"/>
      <c r="EQ248" s="344"/>
      <c r="EU248" s="344"/>
      <c r="EW248" s="409"/>
      <c r="EY248" s="1"/>
      <c r="FA248">
        <v>0.66739999999999999</v>
      </c>
      <c r="FB248" t="s">
        <v>236</v>
      </c>
      <c r="FC248" s="7">
        <v>21.095994327111903</v>
      </c>
      <c r="FD248" s="357" t="s">
        <v>225</v>
      </c>
      <c r="FE248" s="8">
        <v>8.0649188159509784</v>
      </c>
      <c r="FF248" t="s">
        <v>237</v>
      </c>
      <c r="FH248" s="9">
        <v>117.5980174065849</v>
      </c>
      <c r="FI248" s="9" t="s">
        <v>225</v>
      </c>
      <c r="FJ248">
        <v>141</v>
      </c>
      <c r="FK248" t="s">
        <v>238</v>
      </c>
      <c r="FL248">
        <v>38.9</v>
      </c>
      <c r="FM248">
        <v>35.677958828856234</v>
      </c>
      <c r="FN248" s="5" t="s">
        <v>237</v>
      </c>
      <c r="FP248" s="6">
        <v>0.3337</v>
      </c>
      <c r="FQ248" t="s">
        <v>275</v>
      </c>
      <c r="FS248" t="s">
        <v>240</v>
      </c>
      <c r="FU248" s="8">
        <v>2</v>
      </c>
      <c r="FV248" s="8">
        <v>10</v>
      </c>
      <c r="FW248" s="8">
        <v>10</v>
      </c>
      <c r="FX248" s="8">
        <v>1</v>
      </c>
      <c r="FY248" s="8">
        <v>1</v>
      </c>
      <c r="FZ248">
        <f t="shared" si="3"/>
        <v>200</v>
      </c>
      <c r="GA248" s="7" t="s">
        <v>326</v>
      </c>
      <c r="GB248" s="7" t="s">
        <v>326</v>
      </c>
      <c r="GC248" s="6">
        <v>1.5</v>
      </c>
      <c r="GD248" s="348" t="s">
        <v>242</v>
      </c>
      <c r="GF248" s="6">
        <v>1.2966666666666666E-2</v>
      </c>
      <c r="GH248" s="7"/>
      <c r="GI248" s="441" t="s">
        <v>395</v>
      </c>
      <c r="GJ248" s="441" t="s">
        <v>395</v>
      </c>
      <c r="GK248" s="441" t="s">
        <v>395</v>
      </c>
      <c r="GL248" s="441" t="s">
        <v>395</v>
      </c>
      <c r="GM248" s="452" t="s">
        <v>529</v>
      </c>
      <c r="GN248" s="6" t="s">
        <v>395</v>
      </c>
      <c r="GO248" s="6" t="s">
        <v>395</v>
      </c>
      <c r="GP248" s="6" t="s">
        <v>395</v>
      </c>
      <c r="GQ248" s="6" t="s">
        <v>395</v>
      </c>
      <c r="GR248" s="6" t="s">
        <v>396</v>
      </c>
      <c r="GU248" t="s">
        <v>365</v>
      </c>
      <c r="GV248" t="s">
        <v>236</v>
      </c>
      <c r="GW248" t="s">
        <v>244</v>
      </c>
      <c r="GX248" t="s">
        <v>236</v>
      </c>
      <c r="GY248" t="s">
        <v>245</v>
      </c>
      <c r="HE248" t="s">
        <v>246</v>
      </c>
      <c r="HF248" t="s">
        <v>236</v>
      </c>
      <c r="HG248" t="s">
        <v>231</v>
      </c>
      <c r="HH248" t="s">
        <v>225</v>
      </c>
      <c r="HI248" t="s">
        <v>1435</v>
      </c>
      <c r="HJ248" t="s">
        <v>236</v>
      </c>
      <c r="HK248" t="s">
        <v>248</v>
      </c>
      <c r="HL248" t="s">
        <v>231</v>
      </c>
      <c r="HM248" t="s">
        <v>231</v>
      </c>
      <c r="HO248" t="s">
        <v>231</v>
      </c>
      <c r="HP248" t="s">
        <v>249</v>
      </c>
      <c r="HQ248" t="s">
        <v>231</v>
      </c>
      <c r="HR248" t="s">
        <v>249</v>
      </c>
      <c r="HU248" t="s">
        <v>1534</v>
      </c>
      <c r="HV248" t="s">
        <v>223</v>
      </c>
      <c r="HW248" t="s">
        <v>246</v>
      </c>
      <c r="HX248" t="s">
        <v>236</v>
      </c>
      <c r="IA248" t="s">
        <v>231</v>
      </c>
      <c r="IB248" t="s">
        <v>250</v>
      </c>
      <c r="IC248" t="s">
        <v>395</v>
      </c>
      <c r="ID248" t="s">
        <v>395</v>
      </c>
      <c r="IE248" t="s">
        <v>395</v>
      </c>
      <c r="IF248" t="s">
        <v>395</v>
      </c>
      <c r="IH248" t="s">
        <v>235</v>
      </c>
    </row>
    <row r="249" spans="1:242" ht="58" x14ac:dyDescent="0.35">
      <c r="A249" s="310" t="s">
        <v>1545</v>
      </c>
      <c r="B249" s="313" t="s">
        <v>1546</v>
      </c>
      <c r="C249" s="310" t="s">
        <v>1547</v>
      </c>
      <c r="D249" s="316"/>
      <c r="F249" t="s">
        <v>1548</v>
      </c>
      <c r="I249" s="310" t="s">
        <v>1549</v>
      </c>
      <c r="M249" s="313"/>
      <c r="O249"/>
      <c r="P249" s="381"/>
      <c r="Q249"/>
      <c r="T249" s="8"/>
      <c r="U249"/>
      <c r="V249" s="313"/>
      <c r="W249"/>
      <c r="X249"/>
      <c r="Z249"/>
      <c r="AB249"/>
      <c r="AD249" s="8" t="s">
        <v>230</v>
      </c>
      <c r="AF249" s="8" t="s">
        <v>230</v>
      </c>
      <c r="AG249"/>
      <c r="AH249"/>
      <c r="AI249"/>
      <c r="AJ249" t="s">
        <v>221</v>
      </c>
      <c r="AK249">
        <v>0</v>
      </c>
      <c r="AL249">
        <v>0.82499999999999996</v>
      </c>
      <c r="AM249" t="s">
        <v>221</v>
      </c>
      <c r="AN249" t="s">
        <v>223</v>
      </c>
      <c r="AO249" t="s">
        <v>221</v>
      </c>
      <c r="AP249" t="s">
        <v>223</v>
      </c>
      <c r="AQ249" t="s">
        <v>221</v>
      </c>
      <c r="AR249" t="s">
        <v>225</v>
      </c>
      <c r="AS249" t="s">
        <v>221</v>
      </c>
      <c r="AT249" t="s">
        <v>223</v>
      </c>
      <c r="AU249" t="s">
        <v>220</v>
      </c>
      <c r="AV249"/>
      <c r="AW249" s="313" t="s">
        <v>220</v>
      </c>
      <c r="AX249" t="s">
        <v>226</v>
      </c>
      <c r="AY249" s="313" t="s">
        <v>220</v>
      </c>
      <c r="AZ249" s="313">
        <v>4.7199999999999999E-2</v>
      </c>
      <c r="BB249" s="313" t="s">
        <v>220</v>
      </c>
      <c r="BC249">
        <v>2.47E-2</v>
      </c>
      <c r="BD249" t="s">
        <v>220</v>
      </c>
      <c r="BE249">
        <v>7.4399999999999994E-2</v>
      </c>
      <c r="BF249" s="2" t="s">
        <v>220</v>
      </c>
      <c r="BG249" s="2" t="s">
        <v>273</v>
      </c>
      <c r="BH249" s="2" t="s">
        <v>274</v>
      </c>
      <c r="BI249" s="2" t="s">
        <v>275</v>
      </c>
      <c r="BM249"/>
      <c r="BP249" s="8"/>
      <c r="BQ249" t="s">
        <v>230</v>
      </c>
      <c r="BR249" t="s">
        <v>230</v>
      </c>
      <c r="BU249" t="s">
        <v>231</v>
      </c>
      <c r="BV249" t="s">
        <v>223</v>
      </c>
      <c r="BW249" t="s">
        <v>232</v>
      </c>
      <c r="BX249" t="s">
        <v>500</v>
      </c>
      <c r="BY249" t="s">
        <v>220</v>
      </c>
      <c r="BZ249">
        <v>0.22900000000000001</v>
      </c>
      <c r="CA249" t="s">
        <v>234</v>
      </c>
      <c r="CF249" t="s">
        <v>220</v>
      </c>
      <c r="CG249">
        <v>0.104</v>
      </c>
      <c r="CH249" t="s">
        <v>220</v>
      </c>
      <c r="CI249">
        <v>0.125</v>
      </c>
      <c r="CK249"/>
      <c r="CL249"/>
      <c r="CM249"/>
      <c r="CS249" s="8"/>
      <c r="CW249" t="s">
        <v>220</v>
      </c>
      <c r="CX249" t="s">
        <v>220</v>
      </c>
      <c r="CY249" t="s">
        <v>231</v>
      </c>
      <c r="CZ249" t="s">
        <v>220</v>
      </c>
      <c r="DA249" t="s">
        <v>227</v>
      </c>
      <c r="DB249" t="s">
        <v>220</v>
      </c>
      <c r="DC249"/>
      <c r="DD249"/>
      <c r="DE249"/>
      <c r="DF249"/>
      <c r="DG249"/>
      <c r="DH249" s="323"/>
      <c r="DI249" s="323"/>
      <c r="DJ249" s="323"/>
      <c r="DL249" t="s">
        <v>220</v>
      </c>
      <c r="DM249" t="s">
        <v>220</v>
      </c>
      <c r="DN249" t="s">
        <v>227</v>
      </c>
      <c r="DO249" t="s">
        <v>227</v>
      </c>
      <c r="DP249" t="s">
        <v>227</v>
      </c>
      <c r="DS249" s="338">
        <v>469.77499999999998</v>
      </c>
      <c r="DT249" s="8" t="s">
        <v>394</v>
      </c>
      <c r="DU249" s="309">
        <v>345.47399999999999</v>
      </c>
      <c r="DW249">
        <v>8.73</v>
      </c>
      <c r="DX249" t="s">
        <v>238</v>
      </c>
      <c r="DY249">
        <v>1470</v>
      </c>
      <c r="DZ249" t="s">
        <v>238</v>
      </c>
      <c r="EA249"/>
      <c r="EB249"/>
      <c r="ED249" s="410"/>
      <c r="EE249" s="1"/>
      <c r="EG249" s="410"/>
      <c r="EI249" s="410"/>
      <c r="EK249" s="1"/>
      <c r="EM249"/>
      <c r="EQ249" s="344"/>
      <c r="EU249" s="344"/>
      <c r="EW249" s="409"/>
      <c r="EY249" s="1"/>
      <c r="FA249">
        <v>25.01</v>
      </c>
      <c r="FB249" t="s">
        <v>236</v>
      </c>
      <c r="FC249" s="7">
        <v>672.66681043109975</v>
      </c>
      <c r="FD249" s="357" t="s">
        <v>225</v>
      </c>
      <c r="FE249" s="8">
        <v>2.3545070761849387</v>
      </c>
      <c r="FF249" t="s">
        <v>237</v>
      </c>
      <c r="FH249" s="9">
        <v>170.84410578644932</v>
      </c>
      <c r="FI249" s="9" t="s">
        <v>236</v>
      </c>
      <c r="FJ249">
        <v>123</v>
      </c>
      <c r="FK249" t="s">
        <v>238</v>
      </c>
      <c r="FL249">
        <v>104</v>
      </c>
      <c r="FM249">
        <v>20.3516675636691</v>
      </c>
      <c r="FN249" s="5" t="s">
        <v>237</v>
      </c>
      <c r="FP249" s="6">
        <v>10.4</v>
      </c>
      <c r="FQ249" t="s">
        <v>239</v>
      </c>
      <c r="FS249" t="s">
        <v>240</v>
      </c>
      <c r="FU249" s="8">
        <v>1</v>
      </c>
      <c r="FV249" s="8">
        <v>10</v>
      </c>
      <c r="FW249" s="8">
        <v>10</v>
      </c>
      <c r="FX249" s="8">
        <v>10</v>
      </c>
      <c r="FY249" s="8">
        <v>3</v>
      </c>
      <c r="FZ249">
        <f t="shared" si="3"/>
        <v>3000</v>
      </c>
      <c r="GA249" s="7" t="s">
        <v>326</v>
      </c>
      <c r="GB249" s="7" t="s">
        <v>326</v>
      </c>
      <c r="GC249" s="6">
        <v>1.5</v>
      </c>
      <c r="GD249" s="348" t="s">
        <v>242</v>
      </c>
      <c r="GF249" s="6">
        <v>2.8474017631074884E-2</v>
      </c>
      <c r="GH249" s="7"/>
      <c r="GI249" s="441">
        <v>0.23100000000000001</v>
      </c>
      <c r="GJ249" s="441">
        <v>0.433</v>
      </c>
      <c r="GK249" s="441">
        <v>0.69299999999999995</v>
      </c>
      <c r="GL249" s="441">
        <v>1.7330000000000001</v>
      </c>
      <c r="GM249" s="452" t="s">
        <v>1550</v>
      </c>
      <c r="GN249" s="6">
        <v>0.01</v>
      </c>
      <c r="GO249" s="6">
        <v>1.8749999999999999E-2</v>
      </c>
      <c r="GP249" s="6">
        <v>0.03</v>
      </c>
      <c r="GQ249" s="6">
        <v>7.4999999999999997E-2</v>
      </c>
      <c r="GR249" s="6" t="s">
        <v>230</v>
      </c>
      <c r="GU249" t="s">
        <v>365</v>
      </c>
      <c r="GV249" t="s">
        <v>236</v>
      </c>
      <c r="GW249" t="s">
        <v>244</v>
      </c>
      <c r="GX249" t="s">
        <v>236</v>
      </c>
      <c r="GY249" t="s">
        <v>245</v>
      </c>
      <c r="HE249" t="s">
        <v>247</v>
      </c>
      <c r="HF249" t="s">
        <v>236</v>
      </c>
      <c r="HG249" t="s">
        <v>317</v>
      </c>
      <c r="HH249" t="s">
        <v>236</v>
      </c>
      <c r="HI249" t="s">
        <v>247</v>
      </c>
      <c r="HJ249" t="s">
        <v>236</v>
      </c>
      <c r="HK249" t="s">
        <v>266</v>
      </c>
      <c r="HO249" t="s">
        <v>231</v>
      </c>
      <c r="HP249" t="s">
        <v>223</v>
      </c>
      <c r="HQ249" t="s">
        <v>231</v>
      </c>
      <c r="HR249" t="s">
        <v>223</v>
      </c>
      <c r="HU249" t="s">
        <v>231</v>
      </c>
      <c r="HV249" t="s">
        <v>223</v>
      </c>
      <c r="HW249" t="s">
        <v>482</v>
      </c>
      <c r="HX249" t="s">
        <v>223</v>
      </c>
      <c r="IA249" t="s">
        <v>231</v>
      </c>
      <c r="IB249" t="s">
        <v>250</v>
      </c>
      <c r="IC249">
        <v>0.23100000000000001</v>
      </c>
      <c r="ID249">
        <v>0.433</v>
      </c>
      <c r="IE249">
        <v>0.69299999999999995</v>
      </c>
      <c r="IF249">
        <v>1.7330000000000001</v>
      </c>
      <c r="IH249" t="s">
        <v>267</v>
      </c>
    </row>
    <row r="250" spans="1:242" x14ac:dyDescent="0.35">
      <c r="A250" s="310" t="s">
        <v>1551</v>
      </c>
      <c r="B250" s="313" t="s">
        <v>1552</v>
      </c>
      <c r="C250" s="310" t="s">
        <v>1553</v>
      </c>
      <c r="D250" s="316"/>
      <c r="F250" t="s">
        <v>1554</v>
      </c>
      <c r="I250" s="310" t="s">
        <v>1555</v>
      </c>
      <c r="M250" s="313"/>
      <c r="O250"/>
      <c r="P250" s="381"/>
      <c r="Q250"/>
      <c r="T250" s="8"/>
      <c r="U250"/>
      <c r="V250" s="313"/>
      <c r="W250"/>
      <c r="X250"/>
      <c r="Z250"/>
      <c r="AB250"/>
      <c r="AD250" s="8" t="s">
        <v>230</v>
      </c>
      <c r="AF250" s="8" t="s">
        <v>230</v>
      </c>
      <c r="AG250"/>
      <c r="AH250"/>
      <c r="AI250"/>
      <c r="AJ250" t="s">
        <v>221</v>
      </c>
      <c r="AK250">
        <v>0</v>
      </c>
      <c r="AL250">
        <v>0.9</v>
      </c>
      <c r="AM250" t="s">
        <v>221</v>
      </c>
      <c r="AN250" t="s">
        <v>223</v>
      </c>
      <c r="AO250" t="s">
        <v>221</v>
      </c>
      <c r="AP250" t="s">
        <v>223</v>
      </c>
      <c r="AQ250" t="s">
        <v>221</v>
      </c>
      <c r="AR250" t="s">
        <v>223</v>
      </c>
      <c r="AS250" t="s">
        <v>221</v>
      </c>
      <c r="AT250" t="s">
        <v>223</v>
      </c>
      <c r="AU250" t="s">
        <v>220</v>
      </c>
      <c r="AV250"/>
      <c r="AW250" s="313" t="s">
        <v>220</v>
      </c>
      <c r="AX250" t="s">
        <v>226</v>
      </c>
      <c r="AY250" s="313" t="s">
        <v>220</v>
      </c>
      <c r="AZ250" s="313">
        <v>5.9200000000000003E-2</v>
      </c>
      <c r="BB250" s="313" t="s">
        <v>220</v>
      </c>
      <c r="BC250">
        <v>2.69E-2</v>
      </c>
      <c r="BD250" t="s">
        <v>220</v>
      </c>
      <c r="BE250">
        <v>2.8299999999999999E-2</v>
      </c>
      <c r="BF250" s="2" t="s">
        <v>220</v>
      </c>
      <c r="BG250" s="2" t="s">
        <v>273</v>
      </c>
      <c r="BH250" s="2" t="s">
        <v>274</v>
      </c>
      <c r="BI250" s="2" t="s">
        <v>275</v>
      </c>
      <c r="BM250"/>
      <c r="BP250" s="8"/>
      <c r="BQ250" t="s">
        <v>230</v>
      </c>
      <c r="BR250" t="s">
        <v>230</v>
      </c>
      <c r="BU250" t="s">
        <v>231</v>
      </c>
      <c r="BV250" t="s">
        <v>223</v>
      </c>
      <c r="BW250" t="s">
        <v>232</v>
      </c>
      <c r="BX250" t="s">
        <v>284</v>
      </c>
      <c r="BY250" t="s">
        <v>220</v>
      </c>
      <c r="BZ250">
        <v>0.28000000000000003</v>
      </c>
      <c r="CA250" t="s">
        <v>234</v>
      </c>
      <c r="CF250" t="s">
        <v>220</v>
      </c>
      <c r="CG250">
        <v>0.122</v>
      </c>
      <c r="CH250" t="s">
        <v>220</v>
      </c>
      <c r="CI250">
        <v>0.36799999999999999</v>
      </c>
      <c r="CK250"/>
      <c r="CL250"/>
      <c r="CM250"/>
      <c r="CS250" s="8"/>
      <c r="CW250" t="s">
        <v>220</v>
      </c>
      <c r="CX250" t="s">
        <v>257</v>
      </c>
      <c r="CY250" t="s">
        <v>231</v>
      </c>
      <c r="CZ250" t="s">
        <v>220</v>
      </c>
      <c r="DA250" t="s">
        <v>220</v>
      </c>
      <c r="DB250" t="s">
        <v>227</v>
      </c>
      <c r="DC250"/>
      <c r="DD250"/>
      <c r="DE250"/>
      <c r="DF250"/>
      <c r="DG250"/>
      <c r="DH250" s="323"/>
      <c r="DI250" s="323"/>
      <c r="DJ250" s="323"/>
      <c r="DL250" t="s">
        <v>220</v>
      </c>
      <c r="DM250" t="s">
        <v>220</v>
      </c>
      <c r="DN250" t="s">
        <v>257</v>
      </c>
      <c r="DO250" t="s">
        <v>257</v>
      </c>
      <c r="DP250" t="s">
        <v>257</v>
      </c>
      <c r="DS250" s="309">
        <v>73.801000000000002</v>
      </c>
      <c r="DU250" s="309">
        <v>318.94400000000002</v>
      </c>
      <c r="DW250">
        <v>620</v>
      </c>
      <c r="DX250" t="s">
        <v>238</v>
      </c>
      <c r="DY250">
        <v>1060</v>
      </c>
      <c r="DZ250" t="s">
        <v>238</v>
      </c>
      <c r="EA250"/>
      <c r="EB250"/>
      <c r="ED250" s="410"/>
      <c r="EE250" s="1"/>
      <c r="EG250" s="410"/>
      <c r="EI250" s="410"/>
      <c r="EK250" s="1"/>
      <c r="EM250"/>
      <c r="EQ250" s="344"/>
      <c r="EU250" s="344"/>
      <c r="EW250" s="409"/>
      <c r="EY250" s="1"/>
      <c r="FA250">
        <v>123.96</v>
      </c>
      <c r="FB250" t="s">
        <v>236</v>
      </c>
      <c r="FC250" s="7">
        <v>233.13098574180296</v>
      </c>
      <c r="FD250" s="357" t="s">
        <v>236</v>
      </c>
      <c r="FE250" s="8">
        <v>14.073431383183491</v>
      </c>
      <c r="FF250" t="s">
        <v>237</v>
      </c>
      <c r="FH250" s="9">
        <v>127.79092095662884</v>
      </c>
      <c r="FI250" s="9" t="s">
        <v>236</v>
      </c>
      <c r="FJ250">
        <v>247</v>
      </c>
      <c r="FK250" t="s">
        <v>238</v>
      </c>
      <c r="FL250">
        <v>234</v>
      </c>
      <c r="FM250">
        <v>45.404615260484682</v>
      </c>
      <c r="FN250" s="5" t="s">
        <v>237</v>
      </c>
      <c r="FP250" s="6">
        <v>2.2702307630242342</v>
      </c>
      <c r="FQ250" t="s">
        <v>277</v>
      </c>
      <c r="FS250" t="s">
        <v>240</v>
      </c>
      <c r="FU250" s="8">
        <v>2</v>
      </c>
      <c r="FV250" s="8">
        <v>10</v>
      </c>
      <c r="FW250" s="8">
        <v>10</v>
      </c>
      <c r="FX250" s="8">
        <v>10</v>
      </c>
      <c r="FY250" s="8">
        <v>3</v>
      </c>
      <c r="FZ250">
        <f t="shared" si="3"/>
        <v>6000</v>
      </c>
      <c r="GA250" s="7" t="s">
        <v>326</v>
      </c>
      <c r="GB250" s="7" t="s">
        <v>326</v>
      </c>
      <c r="GC250" s="6">
        <v>1.5</v>
      </c>
      <c r="GD250" s="348" t="s">
        <v>242</v>
      </c>
      <c r="GF250" s="6">
        <v>2.3455718971972486E-2</v>
      </c>
      <c r="GH250" s="7"/>
      <c r="GI250" s="441" t="s">
        <v>395</v>
      </c>
      <c r="GJ250" s="441" t="s">
        <v>395</v>
      </c>
      <c r="GK250" s="441" t="s">
        <v>395</v>
      </c>
      <c r="GL250" s="441" t="s">
        <v>395</v>
      </c>
      <c r="GM250" s="452" t="s">
        <v>529</v>
      </c>
      <c r="GN250" s="6">
        <v>0.01</v>
      </c>
      <c r="GO250" s="6">
        <v>1.8749999999999999E-2</v>
      </c>
      <c r="GP250" s="6">
        <v>0.03</v>
      </c>
      <c r="GQ250" s="6">
        <v>7.4999999999999997E-2</v>
      </c>
      <c r="GR250" s="6" t="s">
        <v>230</v>
      </c>
      <c r="GU250" t="s">
        <v>243</v>
      </c>
      <c r="GV250" t="s">
        <v>225</v>
      </c>
      <c r="GW250" t="s">
        <v>244</v>
      </c>
      <c r="GX250" t="s">
        <v>225</v>
      </c>
      <c r="GY250" t="s">
        <v>245</v>
      </c>
      <c r="HE250" t="s">
        <v>384</v>
      </c>
      <c r="HF250" t="s">
        <v>225</v>
      </c>
      <c r="HG250" t="s">
        <v>231</v>
      </c>
      <c r="HH250" t="s">
        <v>225</v>
      </c>
      <c r="HI250" t="s">
        <v>247</v>
      </c>
      <c r="HJ250" t="s">
        <v>223</v>
      </c>
      <c r="HK250" t="s">
        <v>266</v>
      </c>
      <c r="HO250" t="s">
        <v>231</v>
      </c>
      <c r="HP250" t="s">
        <v>223</v>
      </c>
      <c r="HQ250" t="s">
        <v>231</v>
      </c>
      <c r="HR250" t="s">
        <v>223</v>
      </c>
      <c r="HU250" t="s">
        <v>231</v>
      </c>
      <c r="HV250" t="s">
        <v>225</v>
      </c>
      <c r="HW250" t="s">
        <v>506</v>
      </c>
      <c r="HX250" t="s">
        <v>236</v>
      </c>
      <c r="IA250" t="s">
        <v>231</v>
      </c>
      <c r="IB250" t="s">
        <v>250</v>
      </c>
      <c r="IC250" t="s">
        <v>395</v>
      </c>
      <c r="ID250" t="s">
        <v>395</v>
      </c>
      <c r="IE250" t="s">
        <v>395</v>
      </c>
      <c r="IF250" t="s">
        <v>395</v>
      </c>
      <c r="IH250" t="s">
        <v>235</v>
      </c>
    </row>
    <row r="251" spans="1:242" ht="58" x14ac:dyDescent="0.35">
      <c r="A251" s="310" t="s">
        <v>1556</v>
      </c>
      <c r="B251" s="313" t="s">
        <v>1557</v>
      </c>
      <c r="C251" s="310" t="s">
        <v>1558</v>
      </c>
      <c r="D251" s="316"/>
      <c r="F251" t="s">
        <v>1558</v>
      </c>
      <c r="I251" s="310" t="s">
        <v>1559</v>
      </c>
      <c r="M251" s="313"/>
      <c r="O251"/>
      <c r="P251" s="381"/>
      <c r="Q251"/>
      <c r="T251" s="8"/>
      <c r="U251"/>
      <c r="V251" s="313"/>
      <c r="W251"/>
      <c r="X251"/>
      <c r="Z251"/>
      <c r="AB251"/>
      <c r="AD251" s="8" t="s">
        <v>230</v>
      </c>
      <c r="AF251" s="8" t="s">
        <v>230</v>
      </c>
      <c r="AG251"/>
      <c r="AH251"/>
      <c r="AI251"/>
      <c r="AJ251" t="s">
        <v>221</v>
      </c>
      <c r="AK251">
        <v>0</v>
      </c>
      <c r="AL251">
        <v>0.5</v>
      </c>
      <c r="AM251" t="s">
        <v>221</v>
      </c>
      <c r="AN251" t="s">
        <v>236</v>
      </c>
      <c r="AO251" t="s">
        <v>221</v>
      </c>
      <c r="AP251" t="s">
        <v>225</v>
      </c>
      <c r="AQ251" t="s">
        <v>221</v>
      </c>
      <c r="AR251" t="s">
        <v>225</v>
      </c>
      <c r="AS251" t="s">
        <v>221</v>
      </c>
      <c r="AT251" t="s">
        <v>225</v>
      </c>
      <c r="AU251" t="s">
        <v>272</v>
      </c>
      <c r="AV251"/>
      <c r="AW251" s="313" t="s">
        <v>227</v>
      </c>
      <c r="AX251" t="s">
        <v>226</v>
      </c>
      <c r="AY251" s="313" t="s">
        <v>227</v>
      </c>
      <c r="AZ251" s="313">
        <v>4.4200000000000003E-2</v>
      </c>
      <c r="BB251" s="313" t="s">
        <v>227</v>
      </c>
      <c r="BC251">
        <v>2.35E-2</v>
      </c>
      <c r="BD251" t="s">
        <v>227</v>
      </c>
      <c r="BE251">
        <v>5.4699999999999999E-2</v>
      </c>
      <c r="BF251" s="2" t="s">
        <v>220</v>
      </c>
      <c r="BG251" s="2" t="s">
        <v>273</v>
      </c>
      <c r="BH251" s="2" t="s">
        <v>274</v>
      </c>
      <c r="BI251" s="2" t="s">
        <v>275</v>
      </c>
      <c r="BM251"/>
      <c r="BP251" s="8"/>
      <c r="BQ251" t="s">
        <v>230</v>
      </c>
      <c r="BR251" t="s">
        <v>230</v>
      </c>
      <c r="BU251" t="s">
        <v>231</v>
      </c>
      <c r="BV251" t="s">
        <v>223</v>
      </c>
      <c r="BW251" t="s">
        <v>232</v>
      </c>
      <c r="BX251" t="s">
        <v>500</v>
      </c>
      <c r="BY251" t="s">
        <v>227</v>
      </c>
      <c r="BZ251">
        <v>0.185</v>
      </c>
      <c r="CA251" t="s">
        <v>234</v>
      </c>
      <c r="CF251" t="s">
        <v>227</v>
      </c>
      <c r="CG251">
        <v>5.8400000000000001E-2</v>
      </c>
      <c r="CH251" t="s">
        <v>227</v>
      </c>
      <c r="CI251">
        <v>6.6299999999999998E-2</v>
      </c>
      <c r="CK251"/>
      <c r="CL251"/>
      <c r="CM251"/>
      <c r="CS251" s="8"/>
      <c r="CW251" t="s">
        <v>227</v>
      </c>
      <c r="CX251" t="s">
        <v>227</v>
      </c>
      <c r="CY251" t="s">
        <v>231</v>
      </c>
      <c r="CZ251" t="s">
        <v>227</v>
      </c>
      <c r="DA251" t="s">
        <v>227</v>
      </c>
      <c r="DB251" t="s">
        <v>227</v>
      </c>
      <c r="DC251"/>
      <c r="DD251"/>
      <c r="DE251"/>
      <c r="DF251"/>
      <c r="DG251"/>
      <c r="DH251" s="323"/>
      <c r="DI251" s="323"/>
      <c r="DJ251" s="323"/>
      <c r="DL251" t="s">
        <v>227</v>
      </c>
      <c r="DM251" t="s">
        <v>227</v>
      </c>
      <c r="DN251" t="s">
        <v>227</v>
      </c>
      <c r="DO251" t="s">
        <v>227</v>
      </c>
      <c r="DP251" t="s">
        <v>227</v>
      </c>
      <c r="DS251" s="338">
        <v>2691.5839999999998</v>
      </c>
      <c r="DT251" s="8" t="s">
        <v>394</v>
      </c>
      <c r="DU251" s="338">
        <v>366.94</v>
      </c>
      <c r="DV251" s="8" t="s">
        <v>394</v>
      </c>
      <c r="DW251">
        <v>28.4</v>
      </c>
      <c r="DX251" t="s">
        <v>238</v>
      </c>
      <c r="DY251">
        <v>754</v>
      </c>
      <c r="DZ251" t="s">
        <v>238</v>
      </c>
      <c r="EA251"/>
      <c r="EB251"/>
      <c r="ED251" s="410"/>
      <c r="EE251" s="1"/>
      <c r="EG251" s="410"/>
      <c r="EI251" s="410"/>
      <c r="EK251" s="1"/>
      <c r="EM251"/>
      <c r="EQ251" s="344"/>
      <c r="EU251" s="344"/>
      <c r="EW251" s="409"/>
      <c r="EY251" s="1"/>
      <c r="FA251">
        <v>104.99</v>
      </c>
      <c r="FB251" t="s">
        <v>225</v>
      </c>
      <c r="FC251" s="7">
        <v>2749.7929868950678</v>
      </c>
      <c r="FD251" s="357" t="s">
        <v>236</v>
      </c>
      <c r="FE251" s="8">
        <v>5.7411646220732768</v>
      </c>
      <c r="FF251" t="s">
        <v>237</v>
      </c>
      <c r="FH251" s="9">
        <v>1098.4998450583764</v>
      </c>
      <c r="FI251" s="9" t="s">
        <v>236</v>
      </c>
      <c r="FJ251">
        <v>78.400000000000006</v>
      </c>
      <c r="FK251" t="s">
        <v>238</v>
      </c>
      <c r="FL251">
        <v>69</v>
      </c>
      <c r="FM251">
        <v>77.001644435687268</v>
      </c>
      <c r="FN251" s="5" t="s">
        <v>237</v>
      </c>
      <c r="FP251" s="6">
        <v>6.9</v>
      </c>
      <c r="FQ251" t="s">
        <v>239</v>
      </c>
      <c r="FS251" t="s">
        <v>240</v>
      </c>
      <c r="FU251" s="8">
        <v>1</v>
      </c>
      <c r="FV251" s="8">
        <v>10</v>
      </c>
      <c r="FW251" s="8">
        <v>10</v>
      </c>
      <c r="FX251" s="8">
        <v>10</v>
      </c>
      <c r="FY251" s="8">
        <v>3</v>
      </c>
      <c r="FZ251">
        <f t="shared" ref="FZ251:FZ314" si="4">FU251*FV251*FW251*FX251*FY251</f>
        <v>3000</v>
      </c>
      <c r="GA251" s="7" t="s">
        <v>241</v>
      </c>
      <c r="GB251" s="7" t="s">
        <v>241</v>
      </c>
      <c r="GC251" s="6">
        <v>30</v>
      </c>
      <c r="GD251" s="348" t="s">
        <v>242</v>
      </c>
      <c r="GF251" s="6">
        <v>2.3000000000000003E-2</v>
      </c>
      <c r="GH251" s="7"/>
      <c r="GI251" s="445"/>
      <c r="GJ251" s="445"/>
      <c r="GK251" s="445"/>
      <c r="GL251" s="445"/>
      <c r="GM251" s="460" t="s">
        <v>329</v>
      </c>
      <c r="GN251" s="448"/>
      <c r="GO251" s="448"/>
      <c r="GP251" s="448"/>
      <c r="GQ251" s="448"/>
      <c r="GR251" s="460" t="s">
        <v>329</v>
      </c>
      <c r="GU251" t="s">
        <v>243</v>
      </c>
      <c r="GV251" t="s">
        <v>236</v>
      </c>
      <c r="GW251" t="s">
        <v>244</v>
      </c>
      <c r="GX251" t="s">
        <v>236</v>
      </c>
      <c r="GY251" t="s">
        <v>245</v>
      </c>
      <c r="HE251" t="s">
        <v>246</v>
      </c>
      <c r="HF251" t="s">
        <v>236</v>
      </c>
      <c r="HG251" t="s">
        <v>231</v>
      </c>
      <c r="HH251" t="s">
        <v>236</v>
      </c>
      <c r="HI251" t="s">
        <v>247</v>
      </c>
      <c r="HJ251" t="s">
        <v>223</v>
      </c>
      <c r="HK251" t="s">
        <v>266</v>
      </c>
      <c r="HO251" t="s">
        <v>231</v>
      </c>
      <c r="HP251" t="s">
        <v>223</v>
      </c>
      <c r="HQ251" t="s">
        <v>231</v>
      </c>
      <c r="HR251" t="s">
        <v>223</v>
      </c>
      <c r="HU251" t="s">
        <v>231</v>
      </c>
      <c r="HV251" t="s">
        <v>225</v>
      </c>
      <c r="HW251" t="s">
        <v>246</v>
      </c>
      <c r="HX251" t="s">
        <v>236</v>
      </c>
      <c r="IA251" t="s">
        <v>231</v>
      </c>
      <c r="IB251" t="s">
        <v>250</v>
      </c>
      <c r="IC251" s="447"/>
      <c r="ID251" s="447"/>
      <c r="IE251" s="447"/>
      <c r="IF251" s="447"/>
      <c r="IG251" s="459" t="s">
        <v>451</v>
      </c>
      <c r="IH251" t="s">
        <v>235</v>
      </c>
    </row>
    <row r="252" spans="1:242" x14ac:dyDescent="0.35">
      <c r="A252" s="310" t="s">
        <v>1560</v>
      </c>
      <c r="B252" s="313" t="s">
        <v>1561</v>
      </c>
      <c r="C252" s="310" t="s">
        <v>1562</v>
      </c>
      <c r="D252" s="316"/>
      <c r="F252" t="s">
        <v>1563</v>
      </c>
      <c r="I252" s="310" t="s">
        <v>1564</v>
      </c>
      <c r="M252" s="313"/>
      <c r="O252"/>
      <c r="P252" s="381"/>
      <c r="Q252"/>
      <c r="T252" s="8"/>
      <c r="U252"/>
      <c r="V252" s="313"/>
      <c r="W252"/>
      <c r="X252"/>
      <c r="Z252"/>
      <c r="AB252"/>
      <c r="AD252" s="8" t="s">
        <v>230</v>
      </c>
      <c r="AF252" s="8" t="s">
        <v>230</v>
      </c>
      <c r="AG252"/>
      <c r="AH252"/>
      <c r="AI252"/>
      <c r="AJ252" t="s">
        <v>221</v>
      </c>
      <c r="AK252">
        <v>0</v>
      </c>
      <c r="AL252">
        <v>0.82499999999999996</v>
      </c>
      <c r="AM252" t="s">
        <v>221</v>
      </c>
      <c r="AN252" t="s">
        <v>223</v>
      </c>
      <c r="AO252" t="s">
        <v>221</v>
      </c>
      <c r="AP252" t="s">
        <v>223</v>
      </c>
      <c r="AQ252" t="s">
        <v>221</v>
      </c>
      <c r="AR252" t="s">
        <v>225</v>
      </c>
      <c r="AS252" t="s">
        <v>221</v>
      </c>
      <c r="AT252" t="s">
        <v>223</v>
      </c>
      <c r="AU252" t="s">
        <v>220</v>
      </c>
      <c r="AV252"/>
      <c r="AW252" s="313" t="s">
        <v>220</v>
      </c>
      <c r="AX252" t="s">
        <v>226</v>
      </c>
      <c r="AY252" s="313" t="s">
        <v>220</v>
      </c>
      <c r="AZ252" s="313">
        <v>3.5799999999999998E-2</v>
      </c>
      <c r="BB252" s="313" t="s">
        <v>220</v>
      </c>
      <c r="BC252">
        <v>1.14E-2</v>
      </c>
      <c r="BD252" t="s">
        <v>220</v>
      </c>
      <c r="BE252">
        <v>5.4000000000000003E-3</v>
      </c>
      <c r="BF252" s="2" t="s">
        <v>220</v>
      </c>
      <c r="BG252" s="2" t="s">
        <v>273</v>
      </c>
      <c r="BH252" s="2" t="s">
        <v>274</v>
      </c>
      <c r="BI252" s="2" t="s">
        <v>275</v>
      </c>
      <c r="BM252"/>
      <c r="BP252" s="8"/>
      <c r="BQ252" t="s">
        <v>230</v>
      </c>
      <c r="BR252" t="s">
        <v>230</v>
      </c>
      <c r="BU252" t="s">
        <v>317</v>
      </c>
      <c r="BV252" t="s">
        <v>223</v>
      </c>
      <c r="BW252" t="s">
        <v>232</v>
      </c>
      <c r="BX252" t="s">
        <v>276</v>
      </c>
      <c r="BY252" t="s">
        <v>220</v>
      </c>
      <c r="BZ252">
        <v>0.218</v>
      </c>
      <c r="CA252" t="s">
        <v>234</v>
      </c>
      <c r="CF252" t="s">
        <v>220</v>
      </c>
      <c r="CG252">
        <v>0</v>
      </c>
      <c r="CH252" t="s">
        <v>220</v>
      </c>
      <c r="CI252">
        <v>1.3799999999999999E-3</v>
      </c>
      <c r="CK252"/>
      <c r="CL252"/>
      <c r="CM252"/>
      <c r="CS252" s="8"/>
      <c r="CW252" t="s">
        <v>220</v>
      </c>
      <c r="CX252" t="s">
        <v>220</v>
      </c>
      <c r="CY252" t="s">
        <v>231</v>
      </c>
      <c r="CZ252" t="s">
        <v>227</v>
      </c>
      <c r="DA252" t="s">
        <v>227</v>
      </c>
      <c r="DB252" t="s">
        <v>227</v>
      </c>
      <c r="DC252"/>
      <c r="DD252"/>
      <c r="DE252"/>
      <c r="DF252"/>
      <c r="DG252"/>
      <c r="DH252" s="323"/>
      <c r="DI252" s="323"/>
      <c r="DJ252" s="323"/>
      <c r="DL252" t="s">
        <v>220</v>
      </c>
      <c r="DM252" t="s">
        <v>220</v>
      </c>
      <c r="DN252" t="s">
        <v>227</v>
      </c>
      <c r="DO252" t="s">
        <v>220</v>
      </c>
      <c r="DP252" t="s">
        <v>227</v>
      </c>
      <c r="DS252" s="338">
        <v>1994.308</v>
      </c>
      <c r="DT252" s="8" t="s">
        <v>394</v>
      </c>
      <c r="DU252" s="338">
        <v>763.10699999999997</v>
      </c>
      <c r="DV252" s="8" t="s">
        <v>394</v>
      </c>
      <c r="DW252"/>
      <c r="DX252" t="s">
        <v>235</v>
      </c>
      <c r="DY252"/>
      <c r="DZ252" t="s">
        <v>235</v>
      </c>
      <c r="EA252"/>
      <c r="EB252"/>
      <c r="ED252" s="410"/>
      <c r="EE252" s="1"/>
      <c r="EG252" s="410"/>
      <c r="EI252" s="410"/>
      <c r="EK252" s="1"/>
      <c r="EM252"/>
      <c r="EQ252" s="344"/>
      <c r="EU252" s="344"/>
      <c r="EW252" s="409"/>
      <c r="EY252" s="1"/>
      <c r="FA252">
        <v>23.6</v>
      </c>
      <c r="FB252" t="s">
        <v>236</v>
      </c>
      <c r="FC252" s="7">
        <v>271.14400086883114</v>
      </c>
      <c r="FD252" s="357" t="s">
        <v>236</v>
      </c>
      <c r="FE252" s="8">
        <v>8.2851428347795797E-2</v>
      </c>
      <c r="FF252" t="s">
        <v>337</v>
      </c>
      <c r="FH252" s="9">
        <v>10.071635501321355</v>
      </c>
      <c r="FI252" s="9" t="s">
        <v>236</v>
      </c>
      <c r="FK252" t="s">
        <v>235</v>
      </c>
      <c r="FL252">
        <v>4.05</v>
      </c>
      <c r="FM252">
        <v>4.5102436111719379</v>
      </c>
      <c r="FN252" s="5" t="s">
        <v>337</v>
      </c>
      <c r="FP252" s="6">
        <v>0.40499999999999997</v>
      </c>
      <c r="FQ252" t="s">
        <v>239</v>
      </c>
      <c r="FS252" t="s">
        <v>240</v>
      </c>
      <c r="FU252" s="8">
        <v>1</v>
      </c>
      <c r="FV252" s="8">
        <v>10</v>
      </c>
      <c r="FW252" s="8">
        <v>10</v>
      </c>
      <c r="FX252" s="8">
        <v>10</v>
      </c>
      <c r="FY252" s="8">
        <v>1</v>
      </c>
      <c r="FZ252">
        <f t="shared" si="4"/>
        <v>1000</v>
      </c>
      <c r="GA252" s="7" t="s">
        <v>326</v>
      </c>
      <c r="GB252" s="7" t="s">
        <v>326</v>
      </c>
      <c r="GC252" s="6">
        <v>1.5</v>
      </c>
      <c r="GD252" s="348" t="s">
        <v>1514</v>
      </c>
      <c r="GF252" s="6">
        <v>1.3499999999999999E-3</v>
      </c>
      <c r="GH252" s="7"/>
      <c r="GI252" s="441" t="s">
        <v>395</v>
      </c>
      <c r="GJ252" s="441" t="s">
        <v>395</v>
      </c>
      <c r="GK252" s="441" t="s">
        <v>395</v>
      </c>
      <c r="GL252" s="441" t="s">
        <v>395</v>
      </c>
      <c r="GM252" s="452" t="s">
        <v>529</v>
      </c>
      <c r="GN252" s="6" t="s">
        <v>395</v>
      </c>
      <c r="GO252" s="6" t="s">
        <v>395</v>
      </c>
      <c r="GP252" s="6" t="s">
        <v>395</v>
      </c>
      <c r="GQ252" s="6" t="s">
        <v>395</v>
      </c>
      <c r="GR252" s="6" t="s">
        <v>396</v>
      </c>
      <c r="GU252" t="s">
        <v>365</v>
      </c>
      <c r="GV252" t="s">
        <v>236</v>
      </c>
      <c r="GW252" t="s">
        <v>244</v>
      </c>
      <c r="GX252" t="s">
        <v>236</v>
      </c>
      <c r="GY252" t="s">
        <v>245</v>
      </c>
      <c r="HE252" t="s">
        <v>246</v>
      </c>
      <c r="HF252" t="s">
        <v>236</v>
      </c>
      <c r="HG252" t="s">
        <v>317</v>
      </c>
      <c r="HH252" t="s">
        <v>236</v>
      </c>
      <c r="HI252" t="s">
        <v>1435</v>
      </c>
      <c r="HJ252" t="s">
        <v>225</v>
      </c>
      <c r="HK252" t="s">
        <v>248</v>
      </c>
      <c r="HO252" t="s">
        <v>231</v>
      </c>
      <c r="HP252" t="s">
        <v>223</v>
      </c>
      <c r="HQ252" t="s">
        <v>231</v>
      </c>
      <c r="HR252" t="s">
        <v>223</v>
      </c>
      <c r="HU252" t="s">
        <v>231</v>
      </c>
      <c r="HV252" t="s">
        <v>223</v>
      </c>
      <c r="HW252" t="s">
        <v>246</v>
      </c>
      <c r="HX252" t="s">
        <v>236</v>
      </c>
      <c r="IA252" t="s">
        <v>231</v>
      </c>
      <c r="IB252" t="s">
        <v>250</v>
      </c>
      <c r="IC252" t="s">
        <v>395</v>
      </c>
      <c r="ID252" t="s">
        <v>395</v>
      </c>
      <c r="IE252" t="s">
        <v>395</v>
      </c>
      <c r="IF252" t="s">
        <v>395</v>
      </c>
      <c r="IH252" t="s">
        <v>235</v>
      </c>
    </row>
    <row r="253" spans="1:242" x14ac:dyDescent="0.35">
      <c r="A253" s="310" t="s">
        <v>1565</v>
      </c>
      <c r="B253" s="313" t="s">
        <v>1566</v>
      </c>
      <c r="C253" s="310" t="s">
        <v>1567</v>
      </c>
      <c r="D253" s="316"/>
      <c r="F253" t="s">
        <v>1568</v>
      </c>
      <c r="I253" s="310" t="s">
        <v>1569</v>
      </c>
      <c r="M253" s="313"/>
      <c r="O253"/>
      <c r="P253" s="381"/>
      <c r="Q253"/>
      <c r="T253" s="8"/>
      <c r="U253"/>
      <c r="V253" s="313"/>
      <c r="W253"/>
      <c r="X253"/>
      <c r="Z253"/>
      <c r="AB253"/>
      <c r="AD253" s="8" t="s">
        <v>230</v>
      </c>
      <c r="AF253" s="8" t="s">
        <v>230</v>
      </c>
      <c r="AG253"/>
      <c r="AH253"/>
      <c r="AI253"/>
      <c r="AJ253" t="s">
        <v>221</v>
      </c>
      <c r="AK253">
        <v>0</v>
      </c>
      <c r="AL253">
        <v>0.67500000000000004</v>
      </c>
      <c r="AM253" t="s">
        <v>221</v>
      </c>
      <c r="AN253" t="s">
        <v>225</v>
      </c>
      <c r="AO253" t="s">
        <v>221</v>
      </c>
      <c r="AP253" t="s">
        <v>225</v>
      </c>
      <c r="AQ253" t="s">
        <v>221</v>
      </c>
      <c r="AR253" t="s">
        <v>225</v>
      </c>
      <c r="AS253" t="s">
        <v>221</v>
      </c>
      <c r="AT253" t="s">
        <v>223</v>
      </c>
      <c r="AU253" t="s">
        <v>220</v>
      </c>
      <c r="AV253"/>
      <c r="AW253" s="313" t="s">
        <v>220</v>
      </c>
      <c r="AX253" t="s">
        <v>226</v>
      </c>
      <c r="AY253" s="313" t="s">
        <v>220</v>
      </c>
      <c r="AZ253" s="313">
        <v>7.6499999999999997E-3</v>
      </c>
      <c r="BB253" s="313" t="s">
        <v>220</v>
      </c>
      <c r="BC253">
        <v>4.3899999999999998E-3</v>
      </c>
      <c r="BD253" t="s">
        <v>220</v>
      </c>
      <c r="BE253">
        <v>5.3200000000000001E-3</v>
      </c>
      <c r="BF253" s="2" t="s">
        <v>220</v>
      </c>
      <c r="BG253" s="2" t="s">
        <v>273</v>
      </c>
      <c r="BH253" s="2" t="s">
        <v>274</v>
      </c>
      <c r="BI253" s="2" t="s">
        <v>275</v>
      </c>
      <c r="BM253"/>
      <c r="BP253" s="8"/>
      <c r="BQ253" t="s">
        <v>230</v>
      </c>
      <c r="BR253" t="s">
        <v>230</v>
      </c>
      <c r="BU253" t="s">
        <v>231</v>
      </c>
      <c r="BV253" t="s">
        <v>223</v>
      </c>
      <c r="BW253" t="s">
        <v>232</v>
      </c>
      <c r="BX253" t="s">
        <v>284</v>
      </c>
      <c r="BY253" t="s">
        <v>220</v>
      </c>
      <c r="BZ253">
        <v>0.13600000000000001</v>
      </c>
      <c r="CA253" t="s">
        <v>234</v>
      </c>
      <c r="CF253" t="s">
        <v>220</v>
      </c>
      <c r="CG253">
        <v>3.13E-3</v>
      </c>
      <c r="CH253" t="s">
        <v>220</v>
      </c>
      <c r="CI253">
        <v>2.4499999999999999E-3</v>
      </c>
      <c r="CK253"/>
      <c r="CL253"/>
      <c r="CM253"/>
      <c r="CS253" s="8"/>
      <c r="CW253" t="s">
        <v>220</v>
      </c>
      <c r="CX253" t="s">
        <v>220</v>
      </c>
      <c r="CY253" t="s">
        <v>231</v>
      </c>
      <c r="CZ253" t="s">
        <v>227</v>
      </c>
      <c r="DA253" t="s">
        <v>227</v>
      </c>
      <c r="DB253" t="s">
        <v>227</v>
      </c>
      <c r="DC253"/>
      <c r="DD253"/>
      <c r="DE253"/>
      <c r="DF253"/>
      <c r="DG253"/>
      <c r="DH253" s="323"/>
      <c r="DI253" s="323"/>
      <c r="DJ253" s="323"/>
      <c r="DL253" t="s">
        <v>220</v>
      </c>
      <c r="DM253" t="s">
        <v>220</v>
      </c>
      <c r="DN253" t="s">
        <v>227</v>
      </c>
      <c r="DO253" t="s">
        <v>220</v>
      </c>
      <c r="DP253" t="s">
        <v>220</v>
      </c>
      <c r="DS253" s="338">
        <v>482.58300000000003</v>
      </c>
      <c r="DT253" s="8" t="s">
        <v>394</v>
      </c>
      <c r="DU253" s="338">
        <v>660.53800000000001</v>
      </c>
      <c r="DV253" s="8" t="s">
        <v>394</v>
      </c>
      <c r="DW253">
        <v>3590</v>
      </c>
      <c r="DX253" t="s">
        <v>238</v>
      </c>
      <c r="DY253">
        <v>2160</v>
      </c>
      <c r="DZ253" t="s">
        <v>238</v>
      </c>
      <c r="EA253"/>
      <c r="EB253"/>
      <c r="ED253" s="410"/>
      <c r="EE253" s="1"/>
      <c r="EG253" s="410"/>
      <c r="EI253" s="410"/>
      <c r="EK253" s="1"/>
      <c r="EM253"/>
      <c r="EQ253" s="344"/>
      <c r="EU253" s="344"/>
      <c r="EW253" s="409"/>
      <c r="EY253" s="1"/>
      <c r="FA253">
        <v>92.22</v>
      </c>
      <c r="FB253" t="s">
        <v>225</v>
      </c>
      <c r="FC253" s="7">
        <v>757.18150971470584</v>
      </c>
      <c r="FD253" s="357" t="s">
        <v>225</v>
      </c>
      <c r="FE253" s="8">
        <v>41.41903726221009</v>
      </c>
      <c r="FF253" t="s">
        <v>237</v>
      </c>
      <c r="FH253" s="9">
        <v>629.79614792951736</v>
      </c>
      <c r="FI253" s="9" t="s">
        <v>225</v>
      </c>
      <c r="FJ253">
        <v>169</v>
      </c>
      <c r="FK253" t="s">
        <v>238</v>
      </c>
      <c r="FL253">
        <v>213</v>
      </c>
      <c r="FM253">
        <v>448.02268041286663</v>
      </c>
      <c r="FN253" s="5" t="s">
        <v>237</v>
      </c>
      <c r="FP253" s="6">
        <v>16.899999999999999</v>
      </c>
      <c r="FQ253" t="s">
        <v>450</v>
      </c>
      <c r="FS253" t="s">
        <v>240</v>
      </c>
      <c r="FU253" s="8">
        <v>1</v>
      </c>
      <c r="FV253" s="8">
        <v>10</v>
      </c>
      <c r="FW253" s="8">
        <v>10</v>
      </c>
      <c r="FX253" s="8">
        <v>10</v>
      </c>
      <c r="FY253" s="8">
        <v>3</v>
      </c>
      <c r="FZ253">
        <f t="shared" si="4"/>
        <v>3000</v>
      </c>
      <c r="GA253" s="7" t="s">
        <v>494</v>
      </c>
      <c r="GB253" s="7" t="s">
        <v>494</v>
      </c>
      <c r="GC253" s="6">
        <v>1.5</v>
      </c>
      <c r="GD253" s="348" t="s">
        <v>383</v>
      </c>
      <c r="GF253" s="6">
        <v>5.6333333333333326E-2</v>
      </c>
      <c r="GH253" s="7"/>
      <c r="GI253" s="441">
        <v>0.376</v>
      </c>
      <c r="GJ253" s="441">
        <v>0.70399999999999996</v>
      </c>
      <c r="GK253" s="441">
        <v>1.127</v>
      </c>
      <c r="GL253" s="441">
        <v>2.8170000000000002</v>
      </c>
      <c r="GM253" s="452" t="s">
        <v>262</v>
      </c>
      <c r="GN253" s="6">
        <v>0.01</v>
      </c>
      <c r="GO253" s="6">
        <v>1.8749999999999999E-2</v>
      </c>
      <c r="GP253" s="6">
        <v>0.03</v>
      </c>
      <c r="GQ253" s="6">
        <v>7.4999999999999997E-2</v>
      </c>
      <c r="GR253" s="6" t="s">
        <v>230</v>
      </c>
      <c r="GU253" t="s">
        <v>365</v>
      </c>
      <c r="GV253" t="s">
        <v>236</v>
      </c>
      <c r="GW253" t="s">
        <v>244</v>
      </c>
      <c r="GX253" t="s">
        <v>236</v>
      </c>
      <c r="GY253" t="s">
        <v>245</v>
      </c>
      <c r="HE253" t="s">
        <v>247</v>
      </c>
      <c r="HF253" t="s">
        <v>223</v>
      </c>
      <c r="HG253" t="s">
        <v>231</v>
      </c>
      <c r="HH253" t="s">
        <v>225</v>
      </c>
      <c r="HI253" t="s">
        <v>247</v>
      </c>
      <c r="HJ253" t="s">
        <v>223</v>
      </c>
      <c r="HK253" t="s">
        <v>536</v>
      </c>
      <c r="HO253" t="s">
        <v>231</v>
      </c>
      <c r="HP253" t="s">
        <v>223</v>
      </c>
      <c r="HQ253" t="s">
        <v>231</v>
      </c>
      <c r="HR253" t="s">
        <v>223</v>
      </c>
      <c r="HU253" t="s">
        <v>231</v>
      </c>
      <c r="HV253" t="s">
        <v>223</v>
      </c>
      <c r="HW253" t="s">
        <v>563</v>
      </c>
      <c r="HX253" t="s">
        <v>236</v>
      </c>
      <c r="IA253" t="s">
        <v>231</v>
      </c>
      <c r="IB253" t="s">
        <v>250</v>
      </c>
      <c r="IC253">
        <v>0.376</v>
      </c>
      <c r="ID253">
        <v>0.70399999999999996</v>
      </c>
      <c r="IE253">
        <v>1.127</v>
      </c>
      <c r="IF253">
        <v>2.8170000000000002</v>
      </c>
      <c r="IH253" t="s">
        <v>267</v>
      </c>
    </row>
    <row r="254" spans="1:242" ht="18" x14ac:dyDescent="0.35">
      <c r="A254" s="310" t="s">
        <v>1570</v>
      </c>
      <c r="B254" s="313" t="s">
        <v>1571</v>
      </c>
      <c r="C254" s="310" t="s">
        <v>1572</v>
      </c>
      <c r="D254" s="316"/>
      <c r="F254" t="s">
        <v>1573</v>
      </c>
      <c r="I254" s="310" t="s">
        <v>1574</v>
      </c>
      <c r="M254" s="313" t="s">
        <v>220</v>
      </c>
      <c r="O254" t="s">
        <v>221</v>
      </c>
      <c r="P254" s="381"/>
      <c r="Q254" t="s">
        <v>221</v>
      </c>
      <c r="S254" t="s">
        <v>221</v>
      </c>
      <c r="T254" s="8"/>
      <c r="U254"/>
      <c r="V254" s="313"/>
      <c r="W254" t="s">
        <v>220</v>
      </c>
      <c r="X254" t="s">
        <v>220</v>
      </c>
      <c r="Z254" t="s">
        <v>220</v>
      </c>
      <c r="AB254"/>
      <c r="AD254" s="8" t="s">
        <v>222</v>
      </c>
      <c r="AF254" s="8" t="s">
        <v>222</v>
      </c>
      <c r="AG254"/>
      <c r="AH254" t="s">
        <v>312</v>
      </c>
      <c r="AI254"/>
      <c r="AJ254" t="s">
        <v>221</v>
      </c>
      <c r="AK254">
        <v>0</v>
      </c>
      <c r="AL254">
        <v>1</v>
      </c>
      <c r="AM254" t="s">
        <v>221</v>
      </c>
      <c r="AN254" t="s">
        <v>249</v>
      </c>
      <c r="AO254" t="s">
        <v>224</v>
      </c>
      <c r="AP254"/>
      <c r="AQ254" t="s">
        <v>414</v>
      </c>
      <c r="AR254"/>
      <c r="AS254" t="s">
        <v>221</v>
      </c>
      <c r="AT254" t="s">
        <v>223</v>
      </c>
      <c r="AU254" t="s">
        <v>220</v>
      </c>
      <c r="AV254"/>
      <c r="AW254" s="313" t="s">
        <v>220</v>
      </c>
      <c r="AX254" t="s">
        <v>226</v>
      </c>
      <c r="AY254" s="313" t="s">
        <v>220</v>
      </c>
      <c r="AZ254" s="313">
        <v>0.17399999999999999</v>
      </c>
      <c r="BB254" s="313" t="s">
        <v>220</v>
      </c>
      <c r="BC254">
        <v>7.2499999999999995E-2</v>
      </c>
      <c r="BD254" t="s">
        <v>220</v>
      </c>
      <c r="BE254">
        <v>7.3300000000000004E-2</v>
      </c>
      <c r="BF254" s="2" t="s">
        <v>220</v>
      </c>
      <c r="BH254" s="2" t="s">
        <v>228</v>
      </c>
      <c r="BI254" s="2" t="s">
        <v>229</v>
      </c>
      <c r="BK254" s="2" t="s">
        <v>352</v>
      </c>
      <c r="BL254" s="2" t="s">
        <v>312</v>
      </c>
      <c r="BM254"/>
      <c r="BP254" s="8"/>
      <c r="BQ254" t="s">
        <v>230</v>
      </c>
      <c r="BR254" t="s">
        <v>230</v>
      </c>
      <c r="BU254" t="s">
        <v>293</v>
      </c>
      <c r="BV254" t="s">
        <v>236</v>
      </c>
      <c r="BW254" t="s">
        <v>232</v>
      </c>
      <c r="BX254" t="s">
        <v>276</v>
      </c>
      <c r="BY254" t="s">
        <v>227</v>
      </c>
      <c r="BZ254">
        <v>0.625</v>
      </c>
      <c r="CA254" t="s">
        <v>372</v>
      </c>
      <c r="CF254" t="s">
        <v>220</v>
      </c>
      <c r="CG254">
        <v>0.46700000000000003</v>
      </c>
      <c r="CH254" t="s">
        <v>220</v>
      </c>
      <c r="CI254">
        <v>0.33300000000000002</v>
      </c>
      <c r="CK254" t="s">
        <v>220</v>
      </c>
      <c r="CL254" t="s">
        <v>257</v>
      </c>
      <c r="CM254"/>
      <c r="CN254" s="2" t="s">
        <v>316</v>
      </c>
      <c r="CS254" s="8"/>
      <c r="CW254" t="s">
        <v>220</v>
      </c>
      <c r="CX254" t="s">
        <v>257</v>
      </c>
      <c r="CY254" t="s">
        <v>231</v>
      </c>
      <c r="CZ254" t="s">
        <v>220</v>
      </c>
      <c r="DA254" t="s">
        <v>220</v>
      </c>
      <c r="DB254" t="s">
        <v>227</v>
      </c>
      <c r="DC254" t="s">
        <v>257</v>
      </c>
      <c r="DD254" t="s">
        <v>257</v>
      </c>
      <c r="DE254" t="s">
        <v>257</v>
      </c>
      <c r="DF254"/>
      <c r="DG254"/>
      <c r="DH254" s="323"/>
      <c r="DI254" s="323"/>
      <c r="DJ254" s="323"/>
      <c r="DL254" t="s">
        <v>257</v>
      </c>
      <c r="DM254" t="s">
        <v>257</v>
      </c>
      <c r="DN254" t="s">
        <v>257</v>
      </c>
      <c r="DO254" t="s">
        <v>227</v>
      </c>
      <c r="DP254" t="s">
        <v>227</v>
      </c>
      <c r="DQ254" s="332" t="s">
        <v>835</v>
      </c>
      <c r="DR254" s="332" t="s">
        <v>1575</v>
      </c>
      <c r="DS254" s="309">
        <v>67.813000000000002</v>
      </c>
      <c r="DU254" s="309">
        <v>301.65199999999999</v>
      </c>
      <c r="DW254">
        <v>65.099999999999994</v>
      </c>
      <c r="DX254" t="s">
        <v>238</v>
      </c>
      <c r="DY254">
        <v>91.9</v>
      </c>
      <c r="DZ254" t="s">
        <v>238</v>
      </c>
      <c r="EA254"/>
      <c r="EB254">
        <v>2.903</v>
      </c>
      <c r="ED254" s="410"/>
      <c r="EE254" s="1"/>
      <c r="EG254" s="410"/>
      <c r="EI254" s="410"/>
      <c r="EK254" s="1"/>
      <c r="EM254">
        <v>2.903</v>
      </c>
      <c r="EQ254" s="344"/>
      <c r="EU254" s="344"/>
      <c r="EW254" s="381">
        <v>600</v>
      </c>
      <c r="EX254" s="8" t="s">
        <v>259</v>
      </c>
      <c r="EY254" s="1">
        <v>300</v>
      </c>
      <c r="EZ254" s="9" t="s">
        <v>324</v>
      </c>
      <c r="FA254">
        <v>16.78</v>
      </c>
      <c r="FB254" t="s">
        <v>236</v>
      </c>
      <c r="FC254" s="7">
        <v>399.94474976109768</v>
      </c>
      <c r="FD254" s="357"/>
      <c r="FE254" s="8">
        <v>128.26258841809525</v>
      </c>
      <c r="FF254" t="s">
        <v>237</v>
      </c>
      <c r="FH254" s="9">
        <v>799.83425500702924</v>
      </c>
      <c r="FI254" s="9" t="s">
        <v>249</v>
      </c>
      <c r="FJ254">
        <v>305</v>
      </c>
      <c r="FK254" t="s">
        <v>238</v>
      </c>
      <c r="FL254">
        <v>98</v>
      </c>
      <c r="FM254">
        <v>256.68471016678717</v>
      </c>
      <c r="FN254" s="5" t="s">
        <v>237</v>
      </c>
      <c r="FP254" s="6">
        <v>30</v>
      </c>
      <c r="FQ254" t="s">
        <v>353</v>
      </c>
      <c r="FS254" t="s">
        <v>261</v>
      </c>
      <c r="FU254" s="8">
        <v>2</v>
      </c>
      <c r="FV254" s="8">
        <v>10</v>
      </c>
      <c r="FW254" s="8">
        <v>10</v>
      </c>
      <c r="FX254" s="8">
        <v>10</v>
      </c>
      <c r="FY254" s="8">
        <v>3</v>
      </c>
      <c r="FZ254">
        <f t="shared" si="4"/>
        <v>6000</v>
      </c>
      <c r="GA254" s="7" t="s">
        <v>241</v>
      </c>
      <c r="GB254" s="7" t="s">
        <v>241</v>
      </c>
      <c r="GC254" s="6">
        <v>30</v>
      </c>
      <c r="GD254" s="348" t="s">
        <v>242</v>
      </c>
      <c r="GF254" s="6">
        <v>3.266666666666667E-2</v>
      </c>
      <c r="GH254" s="7"/>
      <c r="GI254" s="441"/>
      <c r="GJ254" s="441"/>
      <c r="GK254" s="441"/>
      <c r="GL254" s="441"/>
      <c r="GM254" s="454"/>
      <c r="GN254" s="441"/>
      <c r="GO254" s="441"/>
      <c r="GP254" s="441"/>
      <c r="GQ254" s="441"/>
      <c r="GR254" s="441"/>
      <c r="GS254" s="441"/>
      <c r="GT254" s="441"/>
      <c r="GU254" s="441"/>
      <c r="GV254" s="441"/>
      <c r="GW254" s="441"/>
      <c r="GX254" s="441"/>
      <c r="GY254" s="441"/>
      <c r="GZ254" s="441"/>
      <c r="HA254" s="441"/>
      <c r="HB254" s="441"/>
      <c r="HC254" s="441"/>
      <c r="HD254" s="441"/>
      <c r="HE254" s="441"/>
      <c r="HF254" s="441"/>
      <c r="HG254" s="441"/>
      <c r="HH254" s="441"/>
      <c r="HI254" s="441"/>
      <c r="HJ254" s="441"/>
      <c r="HK254" s="441"/>
      <c r="HL254" s="441"/>
      <c r="HM254" s="441"/>
      <c r="HN254" s="441"/>
      <c r="HO254" s="441"/>
      <c r="HP254" s="441"/>
      <c r="HQ254" s="441"/>
      <c r="HR254" s="441"/>
      <c r="HS254" s="441"/>
      <c r="HT254" s="441"/>
      <c r="HU254" s="441"/>
      <c r="HV254" s="441"/>
      <c r="HW254" s="441"/>
      <c r="HX254" s="441"/>
      <c r="HY254" s="441"/>
      <c r="HZ254" s="441"/>
      <c r="IA254" s="441"/>
      <c r="IB254" s="441"/>
      <c r="IC254" s="441"/>
      <c r="ID254" s="441"/>
      <c r="IE254" s="441"/>
      <c r="IF254" s="441"/>
      <c r="IH254" t="s">
        <v>235</v>
      </c>
    </row>
    <row r="255" spans="1:242" x14ac:dyDescent="0.35">
      <c r="A255" s="310" t="s">
        <v>1576</v>
      </c>
      <c r="B255" s="313" t="s">
        <v>1577</v>
      </c>
      <c r="C255" s="310" t="s">
        <v>1578</v>
      </c>
      <c r="D255" s="316"/>
      <c r="F255" t="s">
        <v>1579</v>
      </c>
      <c r="I255" s="310" t="s">
        <v>1580</v>
      </c>
      <c r="M255" s="313"/>
      <c r="O255"/>
      <c r="P255" s="381"/>
      <c r="Q255"/>
      <c r="T255" s="8"/>
      <c r="U255"/>
      <c r="V255" s="313"/>
      <c r="W255"/>
      <c r="X255"/>
      <c r="Z255"/>
      <c r="AB255"/>
      <c r="AD255" s="8" t="s">
        <v>230</v>
      </c>
      <c r="AF255" s="8" t="s">
        <v>230</v>
      </c>
      <c r="AG255"/>
      <c r="AH255"/>
      <c r="AI255"/>
      <c r="AJ255" t="s">
        <v>221</v>
      </c>
      <c r="AK255">
        <v>0.15</v>
      </c>
      <c r="AL255">
        <v>0.45</v>
      </c>
      <c r="AM255" t="s">
        <v>414</v>
      </c>
      <c r="AN255" t="s">
        <v>225</v>
      </c>
      <c r="AO255" t="s">
        <v>221</v>
      </c>
      <c r="AP255" t="s">
        <v>225</v>
      </c>
      <c r="AQ255" t="s">
        <v>221</v>
      </c>
      <c r="AR255" t="s">
        <v>225</v>
      </c>
      <c r="AS255" t="s">
        <v>221</v>
      </c>
      <c r="AT255" t="s">
        <v>225</v>
      </c>
      <c r="AU255" t="s">
        <v>220</v>
      </c>
      <c r="AV255"/>
      <c r="AW255" s="313" t="s">
        <v>220</v>
      </c>
      <c r="AX255" t="s">
        <v>226</v>
      </c>
      <c r="AY255" s="313" t="s">
        <v>220</v>
      </c>
      <c r="AZ255" s="313">
        <v>0.27700000000000002</v>
      </c>
      <c r="BA255" s="3" t="s">
        <v>415</v>
      </c>
      <c r="BB255" s="313" t="s">
        <v>220</v>
      </c>
      <c r="BC255">
        <v>0.115</v>
      </c>
      <c r="BD255" t="s">
        <v>220</v>
      </c>
      <c r="BE255">
        <v>0.23899999999999999</v>
      </c>
      <c r="BF255" s="2" t="s">
        <v>220</v>
      </c>
      <c r="BG255" s="2" t="s">
        <v>653</v>
      </c>
      <c r="BH255" s="2" t="s">
        <v>274</v>
      </c>
      <c r="BI255" s="2" t="s">
        <v>275</v>
      </c>
      <c r="BM255"/>
      <c r="BP255" s="8"/>
      <c r="BQ255" t="s">
        <v>230</v>
      </c>
      <c r="BR255" t="s">
        <v>230</v>
      </c>
      <c r="BU255" t="s">
        <v>231</v>
      </c>
      <c r="BV255" t="s">
        <v>236</v>
      </c>
      <c r="BW255" t="s">
        <v>232</v>
      </c>
      <c r="BX255" t="s">
        <v>284</v>
      </c>
      <c r="BY255" t="s">
        <v>220</v>
      </c>
      <c r="BZ255">
        <v>0.47799999999999998</v>
      </c>
      <c r="CA255" t="s">
        <v>372</v>
      </c>
      <c r="CF255" t="s">
        <v>220</v>
      </c>
      <c r="CG255">
        <v>0.435</v>
      </c>
      <c r="CH255" t="s">
        <v>257</v>
      </c>
      <c r="CI255">
        <v>0.64100000000000001</v>
      </c>
      <c r="CK255"/>
      <c r="CL255"/>
      <c r="CM255"/>
      <c r="CS255" s="8"/>
      <c r="CW255" t="s">
        <v>220</v>
      </c>
      <c r="CX255" t="s">
        <v>220</v>
      </c>
      <c r="CY255" t="s">
        <v>231</v>
      </c>
      <c r="CZ255" t="s">
        <v>220</v>
      </c>
      <c r="DA255" t="s">
        <v>257</v>
      </c>
      <c r="DB255" t="s">
        <v>220</v>
      </c>
      <c r="DC255"/>
      <c r="DD255"/>
      <c r="DE255"/>
      <c r="DF255"/>
      <c r="DG255"/>
      <c r="DH255" s="323"/>
      <c r="DI255" s="323"/>
      <c r="DJ255" s="323"/>
      <c r="DL255" t="s">
        <v>257</v>
      </c>
      <c r="DM255" t="s">
        <v>257</v>
      </c>
      <c r="DN255" t="s">
        <v>257</v>
      </c>
      <c r="DO255" t="s">
        <v>220</v>
      </c>
      <c r="DP255" t="s">
        <v>257</v>
      </c>
      <c r="DS255" s="309">
        <v>97.713999999999999</v>
      </c>
      <c r="DU255" s="309">
        <v>197.73099999999999</v>
      </c>
      <c r="DW255"/>
      <c r="DX255" t="s">
        <v>235</v>
      </c>
      <c r="DY255"/>
      <c r="DZ255" t="s">
        <v>235</v>
      </c>
      <c r="EA255"/>
      <c r="EB255"/>
      <c r="ED255" s="410"/>
      <c r="EE255" s="1"/>
      <c r="EG255" s="410"/>
      <c r="EI255" s="410"/>
      <c r="EK255" s="1"/>
      <c r="EM255"/>
      <c r="EQ255" s="344"/>
      <c r="EU255" s="344"/>
      <c r="EW255" s="409"/>
      <c r="EY255" s="1"/>
      <c r="FA255">
        <v>60.11</v>
      </c>
      <c r="FB255" t="s">
        <v>225</v>
      </c>
      <c r="FC255" s="7">
        <v>155.66823452755398</v>
      </c>
      <c r="FD255" s="357" t="s">
        <v>236</v>
      </c>
      <c r="FE255" s="8">
        <v>404.38962050781976</v>
      </c>
      <c r="FF255" t="s">
        <v>237</v>
      </c>
      <c r="FH255" s="9">
        <v>102.54157883552323</v>
      </c>
      <c r="FI255" s="9" t="s">
        <v>236</v>
      </c>
      <c r="FK255" t="s">
        <v>235</v>
      </c>
      <c r="FL255">
        <v>171</v>
      </c>
      <c r="FM255">
        <v>1169.4993910198725</v>
      </c>
      <c r="FN255" s="5" t="s">
        <v>237</v>
      </c>
      <c r="FP255" s="6">
        <v>17.100000000000001</v>
      </c>
      <c r="FQ255" t="s">
        <v>239</v>
      </c>
      <c r="FS255" t="s">
        <v>240</v>
      </c>
      <c r="FU255" s="8">
        <v>1</v>
      </c>
      <c r="FV255" s="8">
        <v>10</v>
      </c>
      <c r="FW255" s="8">
        <v>10</v>
      </c>
      <c r="FX255" s="8">
        <v>10</v>
      </c>
      <c r="FY255" s="8">
        <v>3</v>
      </c>
      <c r="FZ255">
        <f t="shared" si="4"/>
        <v>3000</v>
      </c>
      <c r="GA255" s="7" t="s">
        <v>326</v>
      </c>
      <c r="GB255" s="7" t="s">
        <v>326</v>
      </c>
      <c r="GC255" s="6">
        <v>1.5</v>
      </c>
      <c r="GD255" s="348" t="s">
        <v>242</v>
      </c>
      <c r="GF255" s="6">
        <v>5.7000000000000002E-2</v>
      </c>
      <c r="GH255" s="7"/>
      <c r="GI255" s="441">
        <v>0.38</v>
      </c>
      <c r="GJ255" s="441">
        <v>0.71299999999999997</v>
      </c>
      <c r="GK255" s="441">
        <v>1.1399999999999999</v>
      </c>
      <c r="GL255" s="441">
        <v>2.85</v>
      </c>
      <c r="GM255" s="452" t="s">
        <v>262</v>
      </c>
      <c r="GN255" s="6">
        <v>0.01</v>
      </c>
      <c r="GO255" s="6">
        <v>1.8749999999999999E-2</v>
      </c>
      <c r="GP255" s="6">
        <v>0.03</v>
      </c>
      <c r="GQ255" s="6">
        <v>7.4999999999999997E-2</v>
      </c>
      <c r="GR255" s="6" t="s">
        <v>230</v>
      </c>
      <c r="GU255" t="s">
        <v>243</v>
      </c>
      <c r="GV255" t="s">
        <v>236</v>
      </c>
      <c r="GW255" t="s">
        <v>359</v>
      </c>
      <c r="GX255" t="s">
        <v>225</v>
      </c>
      <c r="GY255" t="s">
        <v>245</v>
      </c>
      <c r="HE255" t="s">
        <v>384</v>
      </c>
      <c r="HF255" t="s">
        <v>223</v>
      </c>
      <c r="HG255" t="s">
        <v>231</v>
      </c>
      <c r="HH255" t="s">
        <v>225</v>
      </c>
      <c r="HI255" t="s">
        <v>247</v>
      </c>
      <c r="HJ255" t="s">
        <v>223</v>
      </c>
      <c r="HK255" t="s">
        <v>248</v>
      </c>
      <c r="HO255" t="s">
        <v>231</v>
      </c>
      <c r="HP255" t="s">
        <v>223</v>
      </c>
      <c r="HQ255" t="s">
        <v>231</v>
      </c>
      <c r="HR255" t="s">
        <v>223</v>
      </c>
      <c r="HU255" t="s">
        <v>231</v>
      </c>
      <c r="HV255" t="s">
        <v>223</v>
      </c>
      <c r="HW255" t="s">
        <v>482</v>
      </c>
      <c r="HX255" t="s">
        <v>236</v>
      </c>
      <c r="IA255" t="s">
        <v>231</v>
      </c>
      <c r="IB255" t="s">
        <v>250</v>
      </c>
      <c r="IC255">
        <v>0.38</v>
      </c>
      <c r="ID255">
        <v>0.71299999999999997</v>
      </c>
      <c r="IE255">
        <v>1.1399999999999999</v>
      </c>
      <c r="IF255">
        <v>2.85</v>
      </c>
      <c r="IH255" t="s">
        <v>267</v>
      </c>
    </row>
    <row r="256" spans="1:242" x14ac:dyDescent="0.35">
      <c r="A256" s="310" t="s">
        <v>1581</v>
      </c>
      <c r="B256" s="313" t="s">
        <v>1582</v>
      </c>
      <c r="C256" s="310" t="s">
        <v>1583</v>
      </c>
      <c r="D256" s="316"/>
      <c r="F256" t="s">
        <v>1584</v>
      </c>
      <c r="I256" s="310" t="s">
        <v>1585</v>
      </c>
      <c r="M256" s="313" t="s">
        <v>220</v>
      </c>
      <c r="O256"/>
      <c r="P256" s="381"/>
      <c r="Q256"/>
      <c r="T256" s="8"/>
      <c r="U256"/>
      <c r="V256" s="313"/>
      <c r="W256" t="s">
        <v>301</v>
      </c>
      <c r="X256"/>
      <c r="Z256"/>
      <c r="AB256"/>
      <c r="AD256" s="8" t="s">
        <v>230</v>
      </c>
      <c r="AF256" s="8" t="s">
        <v>230</v>
      </c>
      <c r="AG256"/>
      <c r="AH256"/>
      <c r="AI256"/>
      <c r="AJ256" t="s">
        <v>221</v>
      </c>
      <c r="AK256">
        <v>0</v>
      </c>
      <c r="AL256">
        <v>0.9</v>
      </c>
      <c r="AM256" t="s">
        <v>221</v>
      </c>
      <c r="AN256" t="s">
        <v>223</v>
      </c>
      <c r="AO256" t="s">
        <v>221</v>
      </c>
      <c r="AP256" t="s">
        <v>223</v>
      </c>
      <c r="AQ256" t="s">
        <v>221</v>
      </c>
      <c r="AR256" t="s">
        <v>223</v>
      </c>
      <c r="AS256" t="s">
        <v>221</v>
      </c>
      <c r="AT256" t="s">
        <v>223</v>
      </c>
      <c r="AU256" t="s">
        <v>220</v>
      </c>
      <c r="AV256"/>
      <c r="AW256" s="313" t="s">
        <v>220</v>
      </c>
      <c r="AX256" t="s">
        <v>226</v>
      </c>
      <c r="AY256" s="313" t="s">
        <v>220</v>
      </c>
      <c r="AZ256" s="313">
        <v>0.157</v>
      </c>
      <c r="BB256" s="313" t="s">
        <v>220</v>
      </c>
      <c r="BC256">
        <v>6.4299999999999996E-2</v>
      </c>
      <c r="BD256" t="s">
        <v>220</v>
      </c>
      <c r="BE256">
        <v>5.1499999999999997E-2</v>
      </c>
      <c r="BF256" s="2" t="s">
        <v>220</v>
      </c>
      <c r="BG256" s="2" t="s">
        <v>273</v>
      </c>
      <c r="BH256" s="2" t="s">
        <v>274</v>
      </c>
      <c r="BI256" s="2" t="s">
        <v>275</v>
      </c>
      <c r="BM256"/>
      <c r="BP256" s="8"/>
      <c r="BQ256" t="s">
        <v>230</v>
      </c>
      <c r="BR256" t="s">
        <v>230</v>
      </c>
      <c r="BU256" t="s">
        <v>231</v>
      </c>
      <c r="BV256" t="s">
        <v>223</v>
      </c>
      <c r="BW256" t="s">
        <v>232</v>
      </c>
      <c r="BX256" t="s">
        <v>284</v>
      </c>
      <c r="BY256" t="s">
        <v>220</v>
      </c>
      <c r="BZ256">
        <v>0.36199999999999999</v>
      </c>
      <c r="CA256" t="s">
        <v>234</v>
      </c>
      <c r="CF256" t="s">
        <v>220</v>
      </c>
      <c r="CG256">
        <v>2.07E-2</v>
      </c>
      <c r="CH256" t="s">
        <v>220</v>
      </c>
      <c r="CI256">
        <v>3.0700000000000002E-2</v>
      </c>
      <c r="CK256"/>
      <c r="CL256"/>
      <c r="CM256"/>
      <c r="CS256" s="8"/>
      <c r="CW256" t="s">
        <v>220</v>
      </c>
      <c r="CX256" t="s">
        <v>220</v>
      </c>
      <c r="CY256" t="s">
        <v>231</v>
      </c>
      <c r="CZ256" t="s">
        <v>220</v>
      </c>
      <c r="DA256" t="s">
        <v>220</v>
      </c>
      <c r="DB256" t="s">
        <v>227</v>
      </c>
      <c r="DC256"/>
      <c r="DD256"/>
      <c r="DE256"/>
      <c r="DF256"/>
      <c r="DG256"/>
      <c r="DH256" s="323"/>
      <c r="DI256" s="323"/>
      <c r="DJ256" s="323"/>
      <c r="DL256" t="s">
        <v>257</v>
      </c>
      <c r="DM256" t="s">
        <v>220</v>
      </c>
      <c r="DN256" t="s">
        <v>257</v>
      </c>
      <c r="DO256" t="s">
        <v>220</v>
      </c>
      <c r="DP256" t="s">
        <v>220</v>
      </c>
      <c r="DS256" s="309">
        <v>148.96299999999999</v>
      </c>
      <c r="DU256" s="309">
        <v>345.33</v>
      </c>
      <c r="DW256">
        <v>187</v>
      </c>
      <c r="DX256" t="s">
        <v>238</v>
      </c>
      <c r="DY256">
        <v>1500</v>
      </c>
      <c r="DZ256" t="s">
        <v>238</v>
      </c>
      <c r="EA256"/>
      <c r="EB256"/>
      <c r="ED256" s="410"/>
      <c r="EE256" s="1"/>
      <c r="EG256" s="410"/>
      <c r="EI256" s="410"/>
      <c r="EK256" s="1"/>
      <c r="EM256"/>
      <c r="EQ256" s="344"/>
      <c r="EU256" s="344"/>
      <c r="EW256" s="409"/>
      <c r="EY256" s="1"/>
      <c r="FA256">
        <v>74.709999999999994</v>
      </c>
      <c r="FB256" t="s">
        <v>223</v>
      </c>
      <c r="FC256" s="7">
        <v>181.25917542871403</v>
      </c>
      <c r="FD256" s="357" t="s">
        <v>225</v>
      </c>
      <c r="FE256" s="8">
        <v>41.352331434760586</v>
      </c>
      <c r="FF256" t="s">
        <v>237</v>
      </c>
      <c r="FH256" s="9">
        <v>133.56725478916954</v>
      </c>
      <c r="FI256" s="9" t="s">
        <v>225</v>
      </c>
      <c r="FJ256">
        <v>50.1</v>
      </c>
      <c r="FK256" t="s">
        <v>238</v>
      </c>
      <c r="FL256">
        <v>146</v>
      </c>
      <c r="FM256">
        <v>101.78880130154219</v>
      </c>
      <c r="FN256" s="5" t="s">
        <v>237</v>
      </c>
      <c r="FP256" s="6">
        <v>5.01</v>
      </c>
      <c r="FQ256" t="s">
        <v>450</v>
      </c>
      <c r="FS256" t="s">
        <v>240</v>
      </c>
      <c r="FU256" s="8">
        <v>1</v>
      </c>
      <c r="FV256" s="8">
        <v>10</v>
      </c>
      <c r="FW256" s="8">
        <v>10</v>
      </c>
      <c r="FX256" s="8">
        <v>10</v>
      </c>
      <c r="FY256" s="8">
        <v>3</v>
      </c>
      <c r="FZ256">
        <f t="shared" si="4"/>
        <v>3000</v>
      </c>
      <c r="GA256" s="7" t="s">
        <v>241</v>
      </c>
      <c r="GB256" s="7" t="s">
        <v>241</v>
      </c>
      <c r="GC256" s="6">
        <v>30</v>
      </c>
      <c r="GD256" s="348" t="s">
        <v>242</v>
      </c>
      <c r="GF256" s="6">
        <v>1.67E-2</v>
      </c>
      <c r="GH256" s="7"/>
      <c r="GI256" s="445"/>
      <c r="GJ256" s="445"/>
      <c r="GK256" s="445"/>
      <c r="GL256" s="445"/>
      <c r="GM256" s="453"/>
      <c r="GN256" s="6">
        <v>0.2</v>
      </c>
      <c r="GO256" s="6">
        <v>0.375</v>
      </c>
      <c r="GP256" s="6">
        <v>0.6</v>
      </c>
      <c r="GQ256" s="6">
        <v>1.5</v>
      </c>
      <c r="GR256" s="6" t="s">
        <v>230</v>
      </c>
      <c r="GU256" t="s">
        <v>243</v>
      </c>
      <c r="GV256" t="s">
        <v>236</v>
      </c>
      <c r="GW256" t="s">
        <v>359</v>
      </c>
      <c r="GX256" t="s">
        <v>223</v>
      </c>
      <c r="GY256" t="s">
        <v>245</v>
      </c>
      <c r="GZ256" t="s">
        <v>376</v>
      </c>
      <c r="HB256" t="s">
        <v>376</v>
      </c>
      <c r="HE256" t="s">
        <v>247</v>
      </c>
      <c r="HF256" t="s">
        <v>249</v>
      </c>
      <c r="HG256" t="s">
        <v>231</v>
      </c>
      <c r="HH256" t="s">
        <v>223</v>
      </c>
      <c r="HI256" t="s">
        <v>247</v>
      </c>
      <c r="HJ256" t="s">
        <v>249</v>
      </c>
      <c r="HK256" t="s">
        <v>266</v>
      </c>
      <c r="HL256" t="s">
        <v>231</v>
      </c>
      <c r="HM256" t="s">
        <v>231</v>
      </c>
      <c r="HO256" t="s">
        <v>231</v>
      </c>
      <c r="HP256" t="s">
        <v>249</v>
      </c>
      <c r="HQ256" t="s">
        <v>231</v>
      </c>
      <c r="HR256" t="s">
        <v>249</v>
      </c>
      <c r="HS256" t="s">
        <v>231</v>
      </c>
      <c r="HU256" t="s">
        <v>231</v>
      </c>
      <c r="HV256" t="s">
        <v>249</v>
      </c>
      <c r="HW256" t="s">
        <v>563</v>
      </c>
      <c r="HX256" t="s">
        <v>236</v>
      </c>
      <c r="IA256" t="s">
        <v>231</v>
      </c>
      <c r="IB256" t="s">
        <v>250</v>
      </c>
      <c r="IC256" s="447"/>
      <c r="ID256" s="447"/>
      <c r="IE256" s="447"/>
      <c r="IF256" s="447"/>
      <c r="IH256" t="s">
        <v>235</v>
      </c>
    </row>
    <row r="257" spans="1:242" ht="58" x14ac:dyDescent="0.35">
      <c r="A257" s="310" t="s">
        <v>1586</v>
      </c>
      <c r="B257" s="313" t="s">
        <v>1587</v>
      </c>
      <c r="C257" s="310" t="s">
        <v>1588</v>
      </c>
      <c r="D257" s="316"/>
      <c r="F257" t="s">
        <v>1588</v>
      </c>
      <c r="I257" s="310" t="s">
        <v>1589</v>
      </c>
      <c r="M257" s="313"/>
      <c r="O257"/>
      <c r="P257" s="381"/>
      <c r="Q257"/>
      <c r="T257" s="8"/>
      <c r="U257"/>
      <c r="V257" s="313"/>
      <c r="W257" t="s">
        <v>220</v>
      </c>
      <c r="X257" t="s">
        <v>220</v>
      </c>
      <c r="Z257"/>
      <c r="AB257"/>
      <c r="AD257" s="8" t="s">
        <v>230</v>
      </c>
      <c r="AF257" s="8" t="s">
        <v>230</v>
      </c>
      <c r="AG257"/>
      <c r="AH257"/>
      <c r="AI257"/>
      <c r="AJ257" t="s">
        <v>221</v>
      </c>
      <c r="AK257">
        <v>0</v>
      </c>
      <c r="AL257">
        <v>0.5</v>
      </c>
      <c r="AM257" t="s">
        <v>221</v>
      </c>
      <c r="AN257" t="s">
        <v>236</v>
      </c>
      <c r="AO257" t="s">
        <v>221</v>
      </c>
      <c r="AP257" t="s">
        <v>225</v>
      </c>
      <c r="AQ257" t="s">
        <v>221</v>
      </c>
      <c r="AR257" t="s">
        <v>225</v>
      </c>
      <c r="AS257" t="s">
        <v>221</v>
      </c>
      <c r="AT257" t="s">
        <v>225</v>
      </c>
      <c r="AU257" t="s">
        <v>220</v>
      </c>
      <c r="AV257"/>
      <c r="AW257" s="313" t="s">
        <v>220</v>
      </c>
      <c r="AX257" t="s">
        <v>226</v>
      </c>
      <c r="AY257" s="313" t="s">
        <v>220</v>
      </c>
      <c r="AZ257" s="313">
        <v>4.3700000000000003E-2</v>
      </c>
      <c r="BB257" s="313" t="s">
        <v>227</v>
      </c>
      <c r="BC257">
        <v>2.35E-2</v>
      </c>
      <c r="BD257" t="s">
        <v>227</v>
      </c>
      <c r="BE257">
        <v>5.28E-2</v>
      </c>
      <c r="BF257" s="2" t="s">
        <v>220</v>
      </c>
      <c r="BH257" s="2" t="s">
        <v>228</v>
      </c>
      <c r="BI257" s="2" t="s">
        <v>800</v>
      </c>
      <c r="BM257"/>
      <c r="BP257" s="8"/>
      <c r="BQ257" t="s">
        <v>230</v>
      </c>
      <c r="BR257" t="s">
        <v>230</v>
      </c>
      <c r="BU257" t="s">
        <v>231</v>
      </c>
      <c r="BV257" t="s">
        <v>223</v>
      </c>
      <c r="BW257" t="s">
        <v>232</v>
      </c>
      <c r="BX257" t="s">
        <v>500</v>
      </c>
      <c r="BY257" t="s">
        <v>227</v>
      </c>
      <c r="BZ257">
        <v>0.17899999999999999</v>
      </c>
      <c r="CA257" t="s">
        <v>234</v>
      </c>
      <c r="CF257" t="s">
        <v>227</v>
      </c>
      <c r="CG257">
        <v>5.2400000000000002E-2</v>
      </c>
      <c r="CH257" t="s">
        <v>227</v>
      </c>
      <c r="CI257">
        <v>6.0499999999999998E-2</v>
      </c>
      <c r="CK257"/>
      <c r="CL257"/>
      <c r="CM257"/>
      <c r="CS257" s="8"/>
      <c r="CW257" t="s">
        <v>227</v>
      </c>
      <c r="CX257" t="s">
        <v>227</v>
      </c>
      <c r="CY257" t="s">
        <v>231</v>
      </c>
      <c r="CZ257" t="s">
        <v>227</v>
      </c>
      <c r="DA257" t="s">
        <v>227</v>
      </c>
      <c r="DB257" t="s">
        <v>227</v>
      </c>
      <c r="DC257"/>
      <c r="DD257"/>
      <c r="DE257"/>
      <c r="DF257"/>
      <c r="DG257"/>
      <c r="DH257" s="323"/>
      <c r="DI257" s="323"/>
      <c r="DJ257" s="323"/>
      <c r="DL257" t="s">
        <v>227</v>
      </c>
      <c r="DM257" t="s">
        <v>227</v>
      </c>
      <c r="DN257" t="s">
        <v>227</v>
      </c>
      <c r="DO257" t="s">
        <v>227</v>
      </c>
      <c r="DP257" t="s">
        <v>227</v>
      </c>
      <c r="DS257" s="338">
        <v>3319.962</v>
      </c>
      <c r="DT257" s="8" t="s">
        <v>394</v>
      </c>
      <c r="DU257" s="338">
        <v>383.75900000000001</v>
      </c>
      <c r="DV257" s="8" t="s">
        <v>394</v>
      </c>
      <c r="DW257">
        <v>37</v>
      </c>
      <c r="DX257" t="s">
        <v>238</v>
      </c>
      <c r="DY257">
        <v>891</v>
      </c>
      <c r="DZ257" t="s">
        <v>238</v>
      </c>
      <c r="EA257"/>
      <c r="EB257"/>
      <c r="ED257" s="410"/>
      <c r="EE257" s="1"/>
      <c r="EG257" s="410"/>
      <c r="EI257" s="410"/>
      <c r="EK257" s="1"/>
      <c r="EM257"/>
      <c r="EQ257" s="344"/>
      <c r="EU257" s="344"/>
      <c r="EW257" s="409"/>
      <c r="EY257" s="1"/>
      <c r="FA257">
        <v>116.48</v>
      </c>
      <c r="FB257" t="s">
        <v>225</v>
      </c>
      <c r="FC257" s="7">
        <v>3735.0807894306213</v>
      </c>
      <c r="FD257" s="357" t="s">
        <v>236</v>
      </c>
      <c r="FE257" s="8">
        <v>5.0757473902890169</v>
      </c>
      <c r="FF257" t="s">
        <v>237</v>
      </c>
      <c r="FH257" s="9">
        <v>1440.4560102463779</v>
      </c>
      <c r="FI257" s="9" t="s">
        <v>236</v>
      </c>
      <c r="FJ257">
        <v>91.6</v>
      </c>
      <c r="FK257" t="s">
        <v>238</v>
      </c>
      <c r="FL257">
        <v>64.7</v>
      </c>
      <c r="FM257">
        <v>75.875226408184716</v>
      </c>
      <c r="FN257" s="5" t="s">
        <v>237</v>
      </c>
      <c r="FP257" s="6">
        <v>6.4700000000000006</v>
      </c>
      <c r="FQ257" t="s">
        <v>239</v>
      </c>
      <c r="FS257" t="s">
        <v>240</v>
      </c>
      <c r="FU257" s="8">
        <v>1</v>
      </c>
      <c r="FV257" s="8">
        <v>10</v>
      </c>
      <c r="FW257" s="8">
        <v>10</v>
      </c>
      <c r="FX257" s="8">
        <v>10</v>
      </c>
      <c r="FY257" s="8">
        <v>3</v>
      </c>
      <c r="FZ257">
        <f t="shared" si="4"/>
        <v>3000</v>
      </c>
      <c r="GA257" s="7" t="s">
        <v>241</v>
      </c>
      <c r="GB257" s="7" t="s">
        <v>241</v>
      </c>
      <c r="GC257" s="6">
        <v>30</v>
      </c>
      <c r="GD257" s="348" t="s">
        <v>242</v>
      </c>
      <c r="GF257" s="6">
        <v>2.1566666666666668E-2</v>
      </c>
      <c r="GH257" s="7"/>
      <c r="GI257" s="445"/>
      <c r="GJ257" s="445"/>
      <c r="GK257" s="445"/>
      <c r="GL257" s="445"/>
      <c r="GM257" s="460" t="s">
        <v>329</v>
      </c>
      <c r="GN257" s="448"/>
      <c r="GO257" s="448"/>
      <c r="GP257" s="448"/>
      <c r="GQ257" s="448"/>
      <c r="GR257" s="460" t="s">
        <v>329</v>
      </c>
      <c r="GU257" t="s">
        <v>243</v>
      </c>
      <c r="GV257" t="s">
        <v>236</v>
      </c>
      <c r="GW257" t="s">
        <v>244</v>
      </c>
      <c r="GX257" t="s">
        <v>236</v>
      </c>
      <c r="GY257" t="s">
        <v>245</v>
      </c>
      <c r="HE257" t="s">
        <v>246</v>
      </c>
      <c r="HF257" t="s">
        <v>236</v>
      </c>
      <c r="HG257" t="s">
        <v>231</v>
      </c>
      <c r="HH257" t="s">
        <v>236</v>
      </c>
      <c r="HI257" t="s">
        <v>247</v>
      </c>
      <c r="HJ257" t="s">
        <v>223</v>
      </c>
      <c r="HK257" t="s">
        <v>266</v>
      </c>
      <c r="HO257" t="s">
        <v>231</v>
      </c>
      <c r="HP257" t="s">
        <v>223</v>
      </c>
      <c r="HQ257" t="s">
        <v>231</v>
      </c>
      <c r="HR257" t="s">
        <v>223</v>
      </c>
      <c r="HU257" t="s">
        <v>231</v>
      </c>
      <c r="HV257" t="s">
        <v>225</v>
      </c>
      <c r="HW257" t="s">
        <v>246</v>
      </c>
      <c r="HX257" t="s">
        <v>236</v>
      </c>
      <c r="IA257" t="s">
        <v>231</v>
      </c>
      <c r="IB257" t="s">
        <v>250</v>
      </c>
      <c r="IC257" s="447"/>
      <c r="ID257" s="447"/>
      <c r="IE257" s="447"/>
      <c r="IF257" s="447"/>
      <c r="IG257" s="459" t="s">
        <v>451</v>
      </c>
      <c r="IH257" t="s">
        <v>235</v>
      </c>
    </row>
    <row r="258" spans="1:242" ht="58" x14ac:dyDescent="0.35">
      <c r="A258" s="310" t="s">
        <v>1590</v>
      </c>
      <c r="B258" s="313" t="s">
        <v>1591</v>
      </c>
      <c r="C258" s="310" t="s">
        <v>1592</v>
      </c>
      <c r="D258" s="316"/>
      <c r="F258" t="s">
        <v>1592</v>
      </c>
      <c r="I258" s="310" t="s">
        <v>1593</v>
      </c>
      <c r="M258" s="313"/>
      <c r="O258"/>
      <c r="P258" s="381"/>
      <c r="Q258"/>
      <c r="T258" s="8"/>
      <c r="U258"/>
      <c r="V258" s="313"/>
      <c r="W258"/>
      <c r="X258"/>
      <c r="Z258"/>
      <c r="AB258"/>
      <c r="AD258" s="8" t="s">
        <v>230</v>
      </c>
      <c r="AF258" s="8" t="s">
        <v>230</v>
      </c>
      <c r="AG258"/>
      <c r="AH258"/>
      <c r="AI258"/>
      <c r="AJ258" t="s">
        <v>221</v>
      </c>
      <c r="AK258">
        <v>0</v>
      </c>
      <c r="AL258">
        <v>0.5</v>
      </c>
      <c r="AM258" t="s">
        <v>221</v>
      </c>
      <c r="AN258" t="s">
        <v>236</v>
      </c>
      <c r="AO258" t="s">
        <v>221</v>
      </c>
      <c r="AP258" t="s">
        <v>225</v>
      </c>
      <c r="AQ258" t="s">
        <v>221</v>
      </c>
      <c r="AR258" t="s">
        <v>225</v>
      </c>
      <c r="AS258" t="s">
        <v>221</v>
      </c>
      <c r="AT258" t="s">
        <v>225</v>
      </c>
      <c r="AU258" t="s">
        <v>272</v>
      </c>
      <c r="AV258"/>
      <c r="AW258" s="313" t="s">
        <v>227</v>
      </c>
      <c r="AX258" t="s">
        <v>226</v>
      </c>
      <c r="AY258" s="313" t="s">
        <v>227</v>
      </c>
      <c r="AZ258" s="313">
        <v>4.3400000000000001E-2</v>
      </c>
      <c r="BB258" s="313" t="s">
        <v>227</v>
      </c>
      <c r="BC258">
        <v>2.3599999999999999E-2</v>
      </c>
      <c r="BD258" t="s">
        <v>227</v>
      </c>
      <c r="BE258">
        <v>5.2600000000000001E-2</v>
      </c>
      <c r="BF258" s="2" t="s">
        <v>220</v>
      </c>
      <c r="BG258" s="2" t="s">
        <v>273</v>
      </c>
      <c r="BH258" s="2" t="s">
        <v>274</v>
      </c>
      <c r="BI258" s="2" t="s">
        <v>275</v>
      </c>
      <c r="BM258"/>
      <c r="BP258" s="8"/>
      <c r="BQ258" t="s">
        <v>230</v>
      </c>
      <c r="BR258" t="s">
        <v>230</v>
      </c>
      <c r="BU258" t="s">
        <v>231</v>
      </c>
      <c r="BV258" t="s">
        <v>223</v>
      </c>
      <c r="BW258" t="s">
        <v>232</v>
      </c>
      <c r="BX258" t="s">
        <v>500</v>
      </c>
      <c r="BY258" t="s">
        <v>227</v>
      </c>
      <c r="BZ258">
        <v>0.17799999999999999</v>
      </c>
      <c r="CA258" t="s">
        <v>234</v>
      </c>
      <c r="CF258" t="s">
        <v>227</v>
      </c>
      <c r="CG258">
        <v>5.0599999999999999E-2</v>
      </c>
      <c r="CH258" t="s">
        <v>227</v>
      </c>
      <c r="CI258">
        <v>5.9299999999999999E-2</v>
      </c>
      <c r="CK258"/>
      <c r="CL258"/>
      <c r="CM258"/>
      <c r="CS258" s="8"/>
      <c r="CW258" t="s">
        <v>227</v>
      </c>
      <c r="CX258" t="s">
        <v>227</v>
      </c>
      <c r="CY258" t="s">
        <v>231</v>
      </c>
      <c r="CZ258" t="s">
        <v>227</v>
      </c>
      <c r="DA258" t="s">
        <v>227</v>
      </c>
      <c r="DB258" t="s">
        <v>227</v>
      </c>
      <c r="DC258"/>
      <c r="DD258"/>
      <c r="DE258"/>
      <c r="DF258"/>
      <c r="DG258"/>
      <c r="DH258" s="323"/>
      <c r="DI258" s="323"/>
      <c r="DJ258" s="323"/>
      <c r="DL258" t="s">
        <v>227</v>
      </c>
      <c r="DM258" t="s">
        <v>227</v>
      </c>
      <c r="DN258" t="s">
        <v>227</v>
      </c>
      <c r="DO258" t="s">
        <v>227</v>
      </c>
      <c r="DP258" t="s">
        <v>227</v>
      </c>
      <c r="DS258" s="338">
        <v>3667.442</v>
      </c>
      <c r="DT258" s="8" t="s">
        <v>394</v>
      </c>
      <c r="DU258" s="338">
        <v>392.05700000000002</v>
      </c>
      <c r="DV258" s="8" t="s">
        <v>394</v>
      </c>
      <c r="DW258">
        <v>33.4</v>
      </c>
      <c r="DX258" t="s">
        <v>238</v>
      </c>
      <c r="DY258">
        <v>875</v>
      </c>
      <c r="DZ258" t="s">
        <v>238</v>
      </c>
      <c r="EA258"/>
      <c r="EB258"/>
      <c r="ED258" s="410"/>
      <c r="EE258" s="1"/>
      <c r="EG258" s="410"/>
      <c r="EI258" s="410"/>
      <c r="EK258" s="1"/>
      <c r="EM258"/>
      <c r="EQ258" s="344"/>
      <c r="EU258" s="344"/>
      <c r="EW258" s="409"/>
      <c r="EY258" s="1"/>
      <c r="FA258">
        <v>122.69</v>
      </c>
      <c r="FB258" t="s">
        <v>225</v>
      </c>
      <c r="FC258" s="7">
        <v>4353.1135922963786</v>
      </c>
      <c r="FD258" s="357" t="s">
        <v>236</v>
      </c>
      <c r="FE258" s="8">
        <v>4.7719952202688392</v>
      </c>
      <c r="FF258" t="s">
        <v>237</v>
      </c>
      <c r="FH258" s="9">
        <v>1649.3012950896443</v>
      </c>
      <c r="FI258" s="9" t="s">
        <v>236</v>
      </c>
      <c r="FJ258">
        <v>83</v>
      </c>
      <c r="FK258" t="s">
        <v>238</v>
      </c>
      <c r="FL258">
        <v>62.6</v>
      </c>
      <c r="FM258">
        <v>75.318211717417938</v>
      </c>
      <c r="FN258" s="5" t="s">
        <v>237</v>
      </c>
      <c r="FP258" s="6">
        <v>6.26</v>
      </c>
      <c r="FQ258" t="s">
        <v>239</v>
      </c>
      <c r="FS258" t="s">
        <v>240</v>
      </c>
      <c r="FU258" s="8">
        <v>1</v>
      </c>
      <c r="FV258" s="8">
        <v>10</v>
      </c>
      <c r="FW258" s="8">
        <v>10</v>
      </c>
      <c r="FX258" s="8">
        <v>10</v>
      </c>
      <c r="FY258" s="8">
        <v>3</v>
      </c>
      <c r="FZ258">
        <f t="shared" si="4"/>
        <v>3000</v>
      </c>
      <c r="GA258" s="7" t="s">
        <v>241</v>
      </c>
      <c r="GB258" s="7" t="s">
        <v>241</v>
      </c>
      <c r="GC258" s="6">
        <v>30</v>
      </c>
      <c r="GD258" s="348" t="s">
        <v>242</v>
      </c>
      <c r="GF258" s="6">
        <v>2.0866666666666665E-2</v>
      </c>
      <c r="GH258" s="7"/>
      <c r="GI258" s="445"/>
      <c r="GJ258" s="445"/>
      <c r="GK258" s="445"/>
      <c r="GL258" s="445"/>
      <c r="GM258" s="460" t="s">
        <v>329</v>
      </c>
      <c r="GN258" s="448"/>
      <c r="GO258" s="448"/>
      <c r="GP258" s="448"/>
      <c r="GQ258" s="448"/>
      <c r="GR258" s="460" t="s">
        <v>329</v>
      </c>
      <c r="GU258" t="s">
        <v>243</v>
      </c>
      <c r="GV258" t="s">
        <v>236</v>
      </c>
      <c r="GW258" t="s">
        <v>244</v>
      </c>
      <c r="GX258" t="s">
        <v>236</v>
      </c>
      <c r="GY258" t="s">
        <v>245</v>
      </c>
      <c r="HE258" t="s">
        <v>246</v>
      </c>
      <c r="HF258" t="s">
        <v>236</v>
      </c>
      <c r="HG258" t="s">
        <v>231</v>
      </c>
      <c r="HH258" t="s">
        <v>236</v>
      </c>
      <c r="HI258" t="s">
        <v>247</v>
      </c>
      <c r="HJ258" t="s">
        <v>223</v>
      </c>
      <c r="HK258" t="s">
        <v>266</v>
      </c>
      <c r="HO258" t="s">
        <v>231</v>
      </c>
      <c r="HP258" t="s">
        <v>223</v>
      </c>
      <c r="HQ258" t="s">
        <v>231</v>
      </c>
      <c r="HR258" t="s">
        <v>223</v>
      </c>
      <c r="HU258" t="s">
        <v>231</v>
      </c>
      <c r="HV258" t="s">
        <v>225</v>
      </c>
      <c r="HW258" t="s">
        <v>246</v>
      </c>
      <c r="HX258" t="s">
        <v>236</v>
      </c>
      <c r="IA258" t="s">
        <v>231</v>
      </c>
      <c r="IB258" t="s">
        <v>250</v>
      </c>
      <c r="IC258" s="447"/>
      <c r="ID258" s="447"/>
      <c r="IE258" s="447"/>
      <c r="IF258" s="447"/>
      <c r="IG258" s="459" t="s">
        <v>451</v>
      </c>
      <c r="IH258" t="s">
        <v>235</v>
      </c>
    </row>
    <row r="259" spans="1:242" ht="58" x14ac:dyDescent="0.35">
      <c r="A259" s="310" t="s">
        <v>1594</v>
      </c>
      <c r="B259" s="313" t="s">
        <v>1595</v>
      </c>
      <c r="C259" s="310" t="s">
        <v>1596</v>
      </c>
      <c r="D259" s="316"/>
      <c r="F259" t="s">
        <v>1596</v>
      </c>
      <c r="I259" s="310" t="s">
        <v>1597</v>
      </c>
      <c r="M259" s="313"/>
      <c r="O259"/>
      <c r="P259" s="381"/>
      <c r="Q259"/>
      <c r="T259" s="8"/>
      <c r="U259"/>
      <c r="V259" s="313"/>
      <c r="W259"/>
      <c r="X259"/>
      <c r="Z259"/>
      <c r="AB259"/>
      <c r="AD259" s="8" t="s">
        <v>230</v>
      </c>
      <c r="AF259" s="8" t="s">
        <v>230</v>
      </c>
      <c r="AG259"/>
      <c r="AH259"/>
      <c r="AI259"/>
      <c r="AJ259" t="s">
        <v>221</v>
      </c>
      <c r="AK259">
        <v>0</v>
      </c>
      <c r="AL259">
        <v>0.5</v>
      </c>
      <c r="AM259" t="s">
        <v>221</v>
      </c>
      <c r="AN259" t="s">
        <v>236</v>
      </c>
      <c r="AO259" t="s">
        <v>221</v>
      </c>
      <c r="AP259" t="s">
        <v>225</v>
      </c>
      <c r="AQ259" t="s">
        <v>221</v>
      </c>
      <c r="AR259" t="s">
        <v>225</v>
      </c>
      <c r="AS259" t="s">
        <v>221</v>
      </c>
      <c r="AT259" t="s">
        <v>225</v>
      </c>
      <c r="AU259" t="s">
        <v>272</v>
      </c>
      <c r="AV259"/>
      <c r="AW259" s="313" t="s">
        <v>227</v>
      </c>
      <c r="AX259" t="s">
        <v>226</v>
      </c>
      <c r="AY259" s="313" t="s">
        <v>227</v>
      </c>
      <c r="AZ259" s="313">
        <v>4.3099999999999999E-2</v>
      </c>
      <c r="BB259" s="313" t="s">
        <v>227</v>
      </c>
      <c r="BC259">
        <v>2.3699999999999999E-2</v>
      </c>
      <c r="BD259" t="s">
        <v>227</v>
      </c>
      <c r="BE259">
        <v>5.2400000000000002E-2</v>
      </c>
      <c r="BF259" s="2" t="s">
        <v>220</v>
      </c>
      <c r="BG259" s="2" t="s">
        <v>273</v>
      </c>
      <c r="BH259" s="2" t="s">
        <v>274</v>
      </c>
      <c r="BI259" s="2" t="s">
        <v>275</v>
      </c>
      <c r="BM259"/>
      <c r="BP259" s="8"/>
      <c r="BQ259" t="s">
        <v>230</v>
      </c>
      <c r="BR259" t="s">
        <v>230</v>
      </c>
      <c r="BU259" t="s">
        <v>231</v>
      </c>
      <c r="BV259" t="s">
        <v>223</v>
      </c>
      <c r="BW259" t="s">
        <v>232</v>
      </c>
      <c r="BX259" t="s">
        <v>500</v>
      </c>
      <c r="BY259" t="s">
        <v>227</v>
      </c>
      <c r="BZ259">
        <v>0.17799999999999999</v>
      </c>
      <c r="CA259" t="s">
        <v>234</v>
      </c>
      <c r="CF259" t="s">
        <v>227</v>
      </c>
      <c r="CG259">
        <v>4.8800000000000003E-2</v>
      </c>
      <c r="CH259" t="s">
        <v>227</v>
      </c>
      <c r="CI259">
        <v>5.8099999999999999E-2</v>
      </c>
      <c r="CK259"/>
      <c r="CL259"/>
      <c r="CM259"/>
      <c r="CS259" s="8"/>
      <c r="CW259" t="s">
        <v>227</v>
      </c>
      <c r="CX259" t="s">
        <v>227</v>
      </c>
      <c r="CY259" t="s">
        <v>231</v>
      </c>
      <c r="CZ259" t="s">
        <v>227</v>
      </c>
      <c r="DA259" t="s">
        <v>227</v>
      </c>
      <c r="DB259" t="s">
        <v>227</v>
      </c>
      <c r="DC259"/>
      <c r="DD259"/>
      <c r="DE259"/>
      <c r="DF259"/>
      <c r="DG259"/>
      <c r="DH259" s="323"/>
      <c r="DI259" s="323"/>
      <c r="DJ259" s="323"/>
      <c r="DL259" t="s">
        <v>227</v>
      </c>
      <c r="DM259" t="s">
        <v>227</v>
      </c>
      <c r="DN259" t="s">
        <v>227</v>
      </c>
      <c r="DO259" t="s">
        <v>227</v>
      </c>
      <c r="DP259" t="s">
        <v>227</v>
      </c>
      <c r="DS259" s="338">
        <v>4036.4140000000002</v>
      </c>
      <c r="DT259" s="8" t="s">
        <v>394</v>
      </c>
      <c r="DU259" s="338">
        <v>400.44099999999997</v>
      </c>
      <c r="DV259" s="8" t="s">
        <v>394</v>
      </c>
      <c r="DW259">
        <v>36.5</v>
      </c>
      <c r="DX259" t="s">
        <v>238</v>
      </c>
      <c r="DY259">
        <v>956</v>
      </c>
      <c r="DZ259" t="s">
        <v>238</v>
      </c>
      <c r="EA259"/>
      <c r="EB259"/>
      <c r="ED259" s="410"/>
      <c r="EE259" s="1"/>
      <c r="EG259" s="410"/>
      <c r="EI259" s="410"/>
      <c r="EK259" s="1"/>
      <c r="EM259"/>
      <c r="EQ259" s="344"/>
      <c r="EU259" s="344"/>
      <c r="EW259" s="409"/>
      <c r="EY259" s="1"/>
      <c r="FA259">
        <v>129.22999999999999</v>
      </c>
      <c r="FB259" t="s">
        <v>225</v>
      </c>
      <c r="FC259" s="7">
        <v>5073.4104603729802</v>
      </c>
      <c r="FD259" s="357" t="s">
        <v>236</v>
      </c>
      <c r="FE259" s="8">
        <v>4.4874538993313227</v>
      </c>
      <c r="FF259" t="s">
        <v>237</v>
      </c>
      <c r="FH259" s="9">
        <v>1888.4261252234382</v>
      </c>
      <c r="FI259" s="9" t="s">
        <v>236</v>
      </c>
      <c r="FJ259">
        <v>95.7</v>
      </c>
      <c r="FK259" t="s">
        <v>238</v>
      </c>
      <c r="FL259">
        <v>60.4</v>
      </c>
      <c r="FM259">
        <v>74.748072817566396</v>
      </c>
      <c r="FN259" s="5" t="s">
        <v>237</v>
      </c>
      <c r="FP259" s="6">
        <v>6.04</v>
      </c>
      <c r="FQ259" t="s">
        <v>239</v>
      </c>
      <c r="FS259" t="s">
        <v>240</v>
      </c>
      <c r="FU259" s="8">
        <v>1</v>
      </c>
      <c r="FV259" s="8">
        <v>10</v>
      </c>
      <c r="FW259" s="8">
        <v>10</v>
      </c>
      <c r="FX259" s="8">
        <v>10</v>
      </c>
      <c r="FY259" s="8">
        <v>3</v>
      </c>
      <c r="FZ259">
        <f t="shared" si="4"/>
        <v>3000</v>
      </c>
      <c r="GA259" s="7" t="s">
        <v>241</v>
      </c>
      <c r="GB259" s="7" t="s">
        <v>241</v>
      </c>
      <c r="GC259" s="6">
        <v>30</v>
      </c>
      <c r="GD259" s="348" t="s">
        <v>242</v>
      </c>
      <c r="GF259" s="6">
        <v>2.0133333333333333E-2</v>
      </c>
      <c r="GH259" s="7"/>
      <c r="GI259" s="445"/>
      <c r="GJ259" s="445"/>
      <c r="GK259" s="445"/>
      <c r="GL259" s="445"/>
      <c r="GM259" s="460" t="s">
        <v>329</v>
      </c>
      <c r="GN259" s="448"/>
      <c r="GO259" s="448"/>
      <c r="GP259" s="448"/>
      <c r="GQ259" s="448"/>
      <c r="GR259" s="460" t="s">
        <v>329</v>
      </c>
      <c r="GU259" t="s">
        <v>243</v>
      </c>
      <c r="GV259" t="s">
        <v>236</v>
      </c>
      <c r="GW259" t="s">
        <v>244</v>
      </c>
      <c r="GX259" t="s">
        <v>236</v>
      </c>
      <c r="GY259" t="s">
        <v>245</v>
      </c>
      <c r="HE259" t="s">
        <v>246</v>
      </c>
      <c r="HF259" t="s">
        <v>236</v>
      </c>
      <c r="HG259" t="s">
        <v>231</v>
      </c>
      <c r="HH259" t="s">
        <v>236</v>
      </c>
      <c r="HI259" t="s">
        <v>247</v>
      </c>
      <c r="HJ259" t="s">
        <v>223</v>
      </c>
      <c r="HK259" t="s">
        <v>266</v>
      </c>
      <c r="HO259" t="s">
        <v>231</v>
      </c>
      <c r="HP259" t="s">
        <v>223</v>
      </c>
      <c r="HQ259" t="s">
        <v>231</v>
      </c>
      <c r="HR259" t="s">
        <v>223</v>
      </c>
      <c r="HU259" t="s">
        <v>231</v>
      </c>
      <c r="HV259" t="s">
        <v>225</v>
      </c>
      <c r="HW259" t="s">
        <v>246</v>
      </c>
      <c r="HX259" t="s">
        <v>236</v>
      </c>
      <c r="IA259" t="s">
        <v>231</v>
      </c>
      <c r="IB259" t="s">
        <v>250</v>
      </c>
      <c r="IC259" s="447"/>
      <c r="ID259" s="447"/>
      <c r="IE259" s="447"/>
      <c r="IF259" s="447"/>
      <c r="IG259" s="459" t="s">
        <v>451</v>
      </c>
      <c r="IH259" t="s">
        <v>235</v>
      </c>
    </row>
    <row r="260" spans="1:242" ht="58" x14ac:dyDescent="0.35">
      <c r="A260" s="310" t="s">
        <v>1598</v>
      </c>
      <c r="B260" s="313" t="s">
        <v>1599</v>
      </c>
      <c r="C260" s="310" t="s">
        <v>1600</v>
      </c>
      <c r="D260" s="316"/>
      <c r="F260" t="s">
        <v>1600</v>
      </c>
      <c r="I260" s="310" t="s">
        <v>1601</v>
      </c>
      <c r="M260" s="313"/>
      <c r="O260"/>
      <c r="P260" s="381"/>
      <c r="Q260"/>
      <c r="T260" s="8"/>
      <c r="U260"/>
      <c r="V260" s="313"/>
      <c r="W260"/>
      <c r="X260"/>
      <c r="Z260"/>
      <c r="AB260"/>
      <c r="AD260" s="8" t="s">
        <v>230</v>
      </c>
      <c r="AF260" s="8" t="s">
        <v>230</v>
      </c>
      <c r="AG260"/>
      <c r="AH260"/>
      <c r="AI260"/>
      <c r="AJ260" t="s">
        <v>221</v>
      </c>
      <c r="AK260">
        <v>0</v>
      </c>
      <c r="AL260">
        <v>0.5</v>
      </c>
      <c r="AM260" t="s">
        <v>221</v>
      </c>
      <c r="AN260" t="s">
        <v>236</v>
      </c>
      <c r="AO260" t="s">
        <v>221</v>
      </c>
      <c r="AP260" t="s">
        <v>225</v>
      </c>
      <c r="AQ260" t="s">
        <v>221</v>
      </c>
      <c r="AR260" t="s">
        <v>225</v>
      </c>
      <c r="AS260" t="s">
        <v>221</v>
      </c>
      <c r="AT260" t="s">
        <v>225</v>
      </c>
      <c r="AU260" t="s">
        <v>272</v>
      </c>
      <c r="AV260"/>
      <c r="AW260" s="313" t="s">
        <v>227</v>
      </c>
      <c r="AX260" t="s">
        <v>226</v>
      </c>
      <c r="AY260" s="313" t="s">
        <v>227</v>
      </c>
      <c r="AZ260" s="313">
        <v>4.3999999999999997E-2</v>
      </c>
      <c r="BB260" s="313" t="s">
        <v>227</v>
      </c>
      <c r="BC260">
        <v>2.35E-2</v>
      </c>
      <c r="BD260" t="s">
        <v>227</v>
      </c>
      <c r="BE260">
        <v>5.3199999999999997E-2</v>
      </c>
      <c r="BF260" s="2" t="s">
        <v>220</v>
      </c>
      <c r="BG260" s="2" t="s">
        <v>273</v>
      </c>
      <c r="BH260" s="2" t="s">
        <v>274</v>
      </c>
      <c r="BI260" s="2" t="s">
        <v>275</v>
      </c>
      <c r="BM260"/>
      <c r="BP260" s="8"/>
      <c r="BQ260" t="s">
        <v>230</v>
      </c>
      <c r="BR260" t="s">
        <v>230</v>
      </c>
      <c r="BU260" t="s">
        <v>231</v>
      </c>
      <c r="BV260" t="s">
        <v>223</v>
      </c>
      <c r="BW260" t="s">
        <v>232</v>
      </c>
      <c r="BX260" t="s">
        <v>500</v>
      </c>
      <c r="BY260" t="s">
        <v>227</v>
      </c>
      <c r="BZ260">
        <v>0.18099999999999999</v>
      </c>
      <c r="CA260" t="s">
        <v>234</v>
      </c>
      <c r="CF260" t="s">
        <v>227</v>
      </c>
      <c r="CG260">
        <v>5.45E-2</v>
      </c>
      <c r="CH260" t="s">
        <v>227</v>
      </c>
      <c r="CI260">
        <v>6.2100000000000002E-2</v>
      </c>
      <c r="CK260"/>
      <c r="CL260"/>
      <c r="CM260"/>
      <c r="CS260" s="8"/>
      <c r="CW260" t="s">
        <v>227</v>
      </c>
      <c r="CX260" t="s">
        <v>227</v>
      </c>
      <c r="CY260" t="s">
        <v>231</v>
      </c>
      <c r="CZ260" t="s">
        <v>227</v>
      </c>
      <c r="DA260" t="s">
        <v>227</v>
      </c>
      <c r="DB260" t="s">
        <v>227</v>
      </c>
      <c r="DC260"/>
      <c r="DD260"/>
      <c r="DE260"/>
      <c r="DF260"/>
      <c r="DG260"/>
      <c r="DH260" s="323"/>
      <c r="DI260" s="323"/>
      <c r="DJ260" s="323"/>
      <c r="DL260" t="s">
        <v>227</v>
      </c>
      <c r="DM260" t="s">
        <v>227</v>
      </c>
      <c r="DN260" t="s">
        <v>227</v>
      </c>
      <c r="DO260" t="s">
        <v>227</v>
      </c>
      <c r="DP260" t="s">
        <v>227</v>
      </c>
      <c r="DS260" s="338">
        <v>2994.5639999999999</v>
      </c>
      <c r="DT260" s="8" t="s">
        <v>394</v>
      </c>
      <c r="DU260" s="338">
        <v>375.30599999999998</v>
      </c>
      <c r="DV260" s="8" t="s">
        <v>394</v>
      </c>
      <c r="DW260">
        <v>32.6</v>
      </c>
      <c r="DX260" t="s">
        <v>238</v>
      </c>
      <c r="DY260">
        <v>775</v>
      </c>
      <c r="DZ260" t="s">
        <v>238</v>
      </c>
      <c r="EA260"/>
      <c r="EB260"/>
      <c r="ED260" s="410"/>
      <c r="EE260" s="1"/>
      <c r="EG260" s="410"/>
      <c r="EI260" s="410"/>
      <c r="EK260" s="1"/>
      <c r="EM260"/>
      <c r="EQ260" s="344"/>
      <c r="EU260" s="344"/>
      <c r="EW260" s="409"/>
      <c r="EY260" s="1"/>
      <c r="FA260">
        <v>110.59</v>
      </c>
      <c r="FB260" t="s">
        <v>225</v>
      </c>
      <c r="FC260" s="7">
        <v>3204.793122849404</v>
      </c>
      <c r="FD260" s="357" t="s">
        <v>236</v>
      </c>
      <c r="FE260" s="8">
        <v>5.3975913355590057</v>
      </c>
      <c r="FF260" t="s">
        <v>237</v>
      </c>
      <c r="FH260" s="9">
        <v>1258.0560772203442</v>
      </c>
      <c r="FI260" s="9" t="s">
        <v>236</v>
      </c>
      <c r="FJ260">
        <v>85.7</v>
      </c>
      <c r="FK260" t="s">
        <v>238</v>
      </c>
      <c r="FL260">
        <v>66.900000000000006</v>
      </c>
      <c r="FM260">
        <v>76.436360492636638</v>
      </c>
      <c r="FN260" s="5" t="s">
        <v>237</v>
      </c>
      <c r="FP260" s="6">
        <v>6.69</v>
      </c>
      <c r="FQ260" t="s">
        <v>239</v>
      </c>
      <c r="FS260" t="s">
        <v>240</v>
      </c>
      <c r="FU260" s="8">
        <v>1</v>
      </c>
      <c r="FV260" s="8">
        <v>10</v>
      </c>
      <c r="FW260" s="8">
        <v>10</v>
      </c>
      <c r="FX260" s="8">
        <v>10</v>
      </c>
      <c r="FY260" s="8">
        <v>3</v>
      </c>
      <c r="FZ260">
        <f t="shared" si="4"/>
        <v>3000</v>
      </c>
      <c r="GA260" s="7" t="s">
        <v>241</v>
      </c>
      <c r="GB260" s="7" t="s">
        <v>241</v>
      </c>
      <c r="GC260" s="6">
        <v>30</v>
      </c>
      <c r="GD260" s="348" t="s">
        <v>242</v>
      </c>
      <c r="GF260" s="6">
        <v>2.23E-2</v>
      </c>
      <c r="GH260" s="7"/>
      <c r="GI260" s="445"/>
      <c r="GJ260" s="445"/>
      <c r="GK260" s="445"/>
      <c r="GL260" s="445"/>
      <c r="GM260" s="460" t="s">
        <v>329</v>
      </c>
      <c r="GN260" s="448"/>
      <c r="GO260" s="448"/>
      <c r="GP260" s="448"/>
      <c r="GQ260" s="448"/>
      <c r="GR260" s="460" t="s">
        <v>329</v>
      </c>
      <c r="GU260" t="s">
        <v>243</v>
      </c>
      <c r="GV260" t="s">
        <v>236</v>
      </c>
      <c r="GW260" t="s">
        <v>244</v>
      </c>
      <c r="GX260" t="s">
        <v>236</v>
      </c>
      <c r="GY260" t="s">
        <v>245</v>
      </c>
      <c r="HE260" t="s">
        <v>246</v>
      </c>
      <c r="HF260" t="s">
        <v>236</v>
      </c>
      <c r="HG260" t="s">
        <v>231</v>
      </c>
      <c r="HH260" t="s">
        <v>236</v>
      </c>
      <c r="HI260" t="s">
        <v>247</v>
      </c>
      <c r="HJ260" t="s">
        <v>223</v>
      </c>
      <c r="HK260" t="s">
        <v>266</v>
      </c>
      <c r="HO260" t="s">
        <v>231</v>
      </c>
      <c r="HP260" t="s">
        <v>223</v>
      </c>
      <c r="HQ260" t="s">
        <v>231</v>
      </c>
      <c r="HR260" t="s">
        <v>223</v>
      </c>
      <c r="HU260" t="s">
        <v>231</v>
      </c>
      <c r="HV260" t="s">
        <v>225</v>
      </c>
      <c r="HW260" t="s">
        <v>246</v>
      </c>
      <c r="HX260" t="s">
        <v>236</v>
      </c>
      <c r="IA260" t="s">
        <v>231</v>
      </c>
      <c r="IB260" t="s">
        <v>250</v>
      </c>
      <c r="IC260" s="447"/>
      <c r="ID260" s="447"/>
      <c r="IE260" s="447"/>
      <c r="IF260" s="447"/>
      <c r="IG260" s="459" t="s">
        <v>451</v>
      </c>
      <c r="IH260" t="s">
        <v>235</v>
      </c>
    </row>
    <row r="261" spans="1:242" ht="58" x14ac:dyDescent="0.35">
      <c r="A261" s="310" t="s">
        <v>1602</v>
      </c>
      <c r="B261" s="313" t="s">
        <v>1603</v>
      </c>
      <c r="C261" s="310" t="s">
        <v>1604</v>
      </c>
      <c r="D261" s="316"/>
      <c r="F261" t="s">
        <v>1604</v>
      </c>
      <c r="I261" s="310" t="s">
        <v>1605</v>
      </c>
      <c r="M261" s="313"/>
      <c r="O261"/>
      <c r="P261" s="381"/>
      <c r="Q261"/>
      <c r="T261" s="8"/>
      <c r="U261"/>
      <c r="V261" s="313"/>
      <c r="W261"/>
      <c r="X261"/>
      <c r="Z261"/>
      <c r="AB261"/>
      <c r="AD261" s="8" t="s">
        <v>230</v>
      </c>
      <c r="AF261" s="8" t="s">
        <v>230</v>
      </c>
      <c r="AG261"/>
      <c r="AH261"/>
      <c r="AI261"/>
      <c r="AJ261" t="s">
        <v>221</v>
      </c>
      <c r="AK261">
        <v>0</v>
      </c>
      <c r="AL261">
        <v>0.82499999999999996</v>
      </c>
      <c r="AM261" t="s">
        <v>221</v>
      </c>
      <c r="AN261" t="s">
        <v>223</v>
      </c>
      <c r="AO261" t="s">
        <v>221</v>
      </c>
      <c r="AP261" t="s">
        <v>223</v>
      </c>
      <c r="AQ261" t="s">
        <v>221</v>
      </c>
      <c r="AR261" t="s">
        <v>225</v>
      </c>
      <c r="AS261" t="s">
        <v>221</v>
      </c>
      <c r="AT261" t="s">
        <v>223</v>
      </c>
      <c r="AU261" t="s">
        <v>272</v>
      </c>
      <c r="AV261"/>
      <c r="AW261" s="313" t="s">
        <v>227</v>
      </c>
      <c r="AX261" t="s">
        <v>226</v>
      </c>
      <c r="AY261" s="313" t="s">
        <v>227</v>
      </c>
      <c r="AZ261" s="313">
        <v>4.4499999999999998E-2</v>
      </c>
      <c r="BB261" s="313" t="s">
        <v>227</v>
      </c>
      <c r="BC261">
        <v>2.3599999999999999E-2</v>
      </c>
      <c r="BD261" t="s">
        <v>227</v>
      </c>
      <c r="BE261">
        <v>5.6300000000000003E-2</v>
      </c>
      <c r="BF261" s="2" t="s">
        <v>220</v>
      </c>
      <c r="BG261" s="2" t="s">
        <v>273</v>
      </c>
      <c r="BH261" s="2" t="s">
        <v>274</v>
      </c>
      <c r="BI261" s="2" t="s">
        <v>275</v>
      </c>
      <c r="BM261"/>
      <c r="BP261" s="8"/>
      <c r="BQ261" t="s">
        <v>230</v>
      </c>
      <c r="BR261" t="s">
        <v>230</v>
      </c>
      <c r="BU261" t="s">
        <v>231</v>
      </c>
      <c r="BV261" t="s">
        <v>223</v>
      </c>
      <c r="BW261" t="s">
        <v>232</v>
      </c>
      <c r="BX261" t="s">
        <v>500</v>
      </c>
      <c r="BY261" t="s">
        <v>227</v>
      </c>
      <c r="BZ261">
        <v>0.189</v>
      </c>
      <c r="CA261" t="s">
        <v>234</v>
      </c>
      <c r="CF261" t="s">
        <v>227</v>
      </c>
      <c r="CG261">
        <v>6.25E-2</v>
      </c>
      <c r="CH261" t="s">
        <v>227</v>
      </c>
      <c r="CI261">
        <v>7.0599999999999996E-2</v>
      </c>
      <c r="CK261"/>
      <c r="CL261"/>
      <c r="CM261"/>
      <c r="CS261" s="8"/>
      <c r="CW261" t="s">
        <v>227</v>
      </c>
      <c r="CX261" t="s">
        <v>227</v>
      </c>
      <c r="CY261" t="s">
        <v>231</v>
      </c>
      <c r="CZ261" t="s">
        <v>227</v>
      </c>
      <c r="DA261" t="s">
        <v>227</v>
      </c>
      <c r="DB261" t="s">
        <v>227</v>
      </c>
      <c r="DC261"/>
      <c r="DD261"/>
      <c r="DE261"/>
      <c r="DF261"/>
      <c r="DG261"/>
      <c r="DH261" s="323"/>
      <c r="DI261" s="323"/>
      <c r="DJ261" s="323"/>
      <c r="DL261" t="s">
        <v>227</v>
      </c>
      <c r="DM261" t="s">
        <v>227</v>
      </c>
      <c r="DN261" t="s">
        <v>227</v>
      </c>
      <c r="DO261" t="s">
        <v>227</v>
      </c>
      <c r="DP261" t="s">
        <v>227</v>
      </c>
      <c r="DS261" s="338">
        <v>2411.0770000000002</v>
      </c>
      <c r="DT261" s="8" t="s">
        <v>394</v>
      </c>
      <c r="DU261" s="338">
        <v>358.4</v>
      </c>
      <c r="DV261" s="8" t="s">
        <v>394</v>
      </c>
      <c r="DW261">
        <v>29.2</v>
      </c>
      <c r="DX261" t="s">
        <v>238</v>
      </c>
      <c r="DY261">
        <v>685</v>
      </c>
      <c r="DZ261" t="s">
        <v>238</v>
      </c>
      <c r="EA261"/>
      <c r="EB261"/>
      <c r="ED261" s="410"/>
      <c r="EE261" s="1"/>
      <c r="EG261" s="410"/>
      <c r="EI261" s="410"/>
      <c r="EK261" s="1"/>
      <c r="EM261"/>
      <c r="EQ261" s="344"/>
      <c r="EU261" s="344"/>
      <c r="EW261" s="409"/>
      <c r="EY261" s="1"/>
      <c r="FA261">
        <v>99.68</v>
      </c>
      <c r="FB261" t="s">
        <v>225</v>
      </c>
      <c r="FC261" s="7">
        <v>2359.3914430440486</v>
      </c>
      <c r="FD261" s="357" t="s">
        <v>236</v>
      </c>
      <c r="FE261" s="8">
        <v>6.1052014683410212</v>
      </c>
      <c r="FF261" t="s">
        <v>237</v>
      </c>
      <c r="FH261" s="9">
        <v>959.40063151593438</v>
      </c>
      <c r="FI261" s="9" t="s">
        <v>236</v>
      </c>
      <c r="FJ261">
        <v>78.5</v>
      </c>
      <c r="FK261" t="s">
        <v>238</v>
      </c>
      <c r="FL261">
        <v>71</v>
      </c>
      <c r="FM261">
        <v>77.588972391987483</v>
      </c>
      <c r="FN261" s="5" t="s">
        <v>237</v>
      </c>
      <c r="FP261" s="6">
        <v>7.1</v>
      </c>
      <c r="FQ261" t="s">
        <v>239</v>
      </c>
      <c r="FS261" t="s">
        <v>240</v>
      </c>
      <c r="FU261" s="8">
        <v>1</v>
      </c>
      <c r="FV261" s="8">
        <v>10</v>
      </c>
      <c r="FW261" s="8">
        <v>10</v>
      </c>
      <c r="FX261" s="8">
        <v>10</v>
      </c>
      <c r="FY261" s="8">
        <v>3</v>
      </c>
      <c r="FZ261">
        <f t="shared" si="4"/>
        <v>3000</v>
      </c>
      <c r="GA261" s="7" t="s">
        <v>241</v>
      </c>
      <c r="GB261" s="7" t="s">
        <v>241</v>
      </c>
      <c r="GC261" s="6">
        <v>30</v>
      </c>
      <c r="GD261" s="348" t="s">
        <v>242</v>
      </c>
      <c r="GF261" s="6">
        <v>2.3666666666666666E-2</v>
      </c>
      <c r="GH261" s="7"/>
      <c r="GI261" s="445"/>
      <c r="GJ261" s="445"/>
      <c r="GK261" s="445"/>
      <c r="GL261" s="445"/>
      <c r="GM261" s="460" t="s">
        <v>329</v>
      </c>
      <c r="GN261" s="448"/>
      <c r="GO261" s="448"/>
      <c r="GP261" s="448"/>
      <c r="GQ261" s="448"/>
      <c r="GR261" s="460" t="s">
        <v>329</v>
      </c>
      <c r="GU261" t="s">
        <v>243</v>
      </c>
      <c r="GV261" t="s">
        <v>236</v>
      </c>
      <c r="GW261" t="s">
        <v>244</v>
      </c>
      <c r="GX261" t="s">
        <v>236</v>
      </c>
      <c r="GY261" t="s">
        <v>245</v>
      </c>
      <c r="HE261" t="s">
        <v>246</v>
      </c>
      <c r="HF261" t="s">
        <v>236</v>
      </c>
      <c r="HG261" t="s">
        <v>231</v>
      </c>
      <c r="HH261" t="s">
        <v>236</v>
      </c>
      <c r="HI261" t="s">
        <v>247</v>
      </c>
      <c r="HJ261" t="s">
        <v>223</v>
      </c>
      <c r="HK261" t="s">
        <v>266</v>
      </c>
      <c r="HO261" t="s">
        <v>231</v>
      </c>
      <c r="HP261" t="s">
        <v>223</v>
      </c>
      <c r="HQ261" t="s">
        <v>231</v>
      </c>
      <c r="HR261" t="s">
        <v>223</v>
      </c>
      <c r="HU261" t="s">
        <v>231</v>
      </c>
      <c r="HV261" t="s">
        <v>223</v>
      </c>
      <c r="HW261" t="s">
        <v>246</v>
      </c>
      <c r="HX261" t="s">
        <v>236</v>
      </c>
      <c r="IA261" t="s">
        <v>231</v>
      </c>
      <c r="IB261" t="s">
        <v>250</v>
      </c>
      <c r="IC261" s="447"/>
      <c r="ID261" s="447"/>
      <c r="IE261" s="447"/>
      <c r="IF261" s="447"/>
      <c r="IG261" s="459" t="s">
        <v>451</v>
      </c>
      <c r="IH261" t="s">
        <v>235</v>
      </c>
    </row>
    <row r="262" spans="1:242" ht="58" x14ac:dyDescent="0.35">
      <c r="A262" s="310" t="s">
        <v>1606</v>
      </c>
      <c r="B262" s="313" t="s">
        <v>1607</v>
      </c>
      <c r="C262" s="310" t="s">
        <v>1608</v>
      </c>
      <c r="D262" s="316"/>
      <c r="F262" t="s">
        <v>1608</v>
      </c>
      <c r="I262" s="310" t="s">
        <v>1609</v>
      </c>
      <c r="M262" s="313"/>
      <c r="O262"/>
      <c r="P262" s="381"/>
      <c r="Q262"/>
      <c r="T262" s="8"/>
      <c r="U262"/>
      <c r="V262" s="313"/>
      <c r="W262"/>
      <c r="X262"/>
      <c r="Z262"/>
      <c r="AB262"/>
      <c r="AD262" s="8" t="s">
        <v>230</v>
      </c>
      <c r="AF262" s="8" t="s">
        <v>230</v>
      </c>
      <c r="AG262"/>
      <c r="AH262"/>
      <c r="AI262"/>
      <c r="AJ262" t="s">
        <v>221</v>
      </c>
      <c r="AK262">
        <v>0</v>
      </c>
      <c r="AL262">
        <v>0.82499999999999996</v>
      </c>
      <c r="AM262" t="s">
        <v>221</v>
      </c>
      <c r="AN262" t="s">
        <v>223</v>
      </c>
      <c r="AO262" t="s">
        <v>221</v>
      </c>
      <c r="AP262" t="s">
        <v>223</v>
      </c>
      <c r="AQ262" t="s">
        <v>221</v>
      </c>
      <c r="AR262" t="s">
        <v>225</v>
      </c>
      <c r="AS262" t="s">
        <v>221</v>
      </c>
      <c r="AT262" t="s">
        <v>223</v>
      </c>
      <c r="AU262" t="s">
        <v>272</v>
      </c>
      <c r="AV262"/>
      <c r="AW262" s="313" t="s">
        <v>227</v>
      </c>
      <c r="AX262" t="s">
        <v>226</v>
      </c>
      <c r="AY262" s="313" t="s">
        <v>227</v>
      </c>
      <c r="AZ262" s="313">
        <v>4.48E-2</v>
      </c>
      <c r="BB262" s="313" t="s">
        <v>227</v>
      </c>
      <c r="BC262">
        <v>2.3599999999999999E-2</v>
      </c>
      <c r="BD262" t="s">
        <v>227</v>
      </c>
      <c r="BE262">
        <v>5.8000000000000003E-2</v>
      </c>
      <c r="BF262" s="2" t="s">
        <v>220</v>
      </c>
      <c r="BG262" s="2" t="s">
        <v>273</v>
      </c>
      <c r="BH262" s="2" t="s">
        <v>274</v>
      </c>
      <c r="BI262" s="2" t="s">
        <v>275</v>
      </c>
      <c r="BM262"/>
      <c r="BP262" s="8"/>
      <c r="BQ262" t="s">
        <v>230</v>
      </c>
      <c r="BR262" t="s">
        <v>230</v>
      </c>
      <c r="BU262" t="s">
        <v>231</v>
      </c>
      <c r="BV262" t="s">
        <v>223</v>
      </c>
      <c r="BW262" t="s">
        <v>232</v>
      </c>
      <c r="BX262" t="s">
        <v>500</v>
      </c>
      <c r="BY262" t="s">
        <v>227</v>
      </c>
      <c r="BZ262">
        <v>0.193</v>
      </c>
      <c r="CA262" t="s">
        <v>234</v>
      </c>
      <c r="CF262" t="s">
        <v>227</v>
      </c>
      <c r="CG262">
        <v>6.6799999999999998E-2</v>
      </c>
      <c r="CH262" t="s">
        <v>227</v>
      </c>
      <c r="CI262">
        <v>7.5300000000000006E-2</v>
      </c>
      <c r="CK262"/>
      <c r="CL262"/>
      <c r="CM262"/>
      <c r="CS262" s="8"/>
      <c r="CW262" t="s">
        <v>227</v>
      </c>
      <c r="CX262" t="s">
        <v>227</v>
      </c>
      <c r="CY262" t="s">
        <v>231</v>
      </c>
      <c r="CZ262" t="s">
        <v>227</v>
      </c>
      <c r="DA262" t="s">
        <v>227</v>
      </c>
      <c r="DB262" t="s">
        <v>227</v>
      </c>
      <c r="DC262"/>
      <c r="DD262"/>
      <c r="DE262"/>
      <c r="DF262"/>
      <c r="DG262"/>
      <c r="DH262" s="323"/>
      <c r="DI262" s="323"/>
      <c r="DJ262" s="323"/>
      <c r="DL262" t="s">
        <v>227</v>
      </c>
      <c r="DM262" t="s">
        <v>227</v>
      </c>
      <c r="DN262" t="s">
        <v>227</v>
      </c>
      <c r="DO262" t="s">
        <v>227</v>
      </c>
      <c r="DP262" t="s">
        <v>227</v>
      </c>
      <c r="DS262" s="338">
        <v>2152.817</v>
      </c>
      <c r="DT262" s="8" t="s">
        <v>394</v>
      </c>
      <c r="DU262" s="338">
        <v>349.94200000000001</v>
      </c>
      <c r="DV262" s="8" t="s">
        <v>394</v>
      </c>
      <c r="DW262">
        <v>36.6</v>
      </c>
      <c r="DX262" t="s">
        <v>238</v>
      </c>
      <c r="DY262">
        <v>856</v>
      </c>
      <c r="DZ262" t="s">
        <v>238</v>
      </c>
      <c r="EA262"/>
      <c r="EB262"/>
      <c r="ED262" s="410"/>
      <c r="EE262" s="1"/>
      <c r="EG262" s="410"/>
      <c r="EI262" s="410"/>
      <c r="EK262" s="1"/>
      <c r="EM262"/>
      <c r="EQ262" s="344"/>
      <c r="EU262" s="344"/>
      <c r="EW262" s="409"/>
      <c r="EY262" s="1"/>
      <c r="FA262">
        <v>94.64</v>
      </c>
      <c r="FB262" t="s">
        <v>225</v>
      </c>
      <c r="FC262" s="7">
        <v>2024.4171135933989</v>
      </c>
      <c r="FD262" s="357" t="s">
        <v>236</v>
      </c>
      <c r="FE262" s="8">
        <v>6.4923212314321326</v>
      </c>
      <c r="FF262" t="s">
        <v>237</v>
      </c>
      <c r="FH262" s="9">
        <v>837.91506743841046</v>
      </c>
      <c r="FI262" s="9" t="s">
        <v>236</v>
      </c>
      <c r="FJ262">
        <v>72.8</v>
      </c>
      <c r="FK262" t="s">
        <v>238</v>
      </c>
      <c r="FL262">
        <v>72.900000000000006</v>
      </c>
      <c r="FM262">
        <v>78.16278045883297</v>
      </c>
      <c r="FN262" s="5" t="s">
        <v>237</v>
      </c>
      <c r="FP262" s="6">
        <v>7.2799999999999994</v>
      </c>
      <c r="FQ262" t="s">
        <v>450</v>
      </c>
      <c r="FS262" t="s">
        <v>240</v>
      </c>
      <c r="FU262" s="8">
        <v>1</v>
      </c>
      <c r="FV262" s="8">
        <v>10</v>
      </c>
      <c r="FW262" s="8">
        <v>10</v>
      </c>
      <c r="FX262" s="8">
        <v>10</v>
      </c>
      <c r="FY262" s="8">
        <v>3</v>
      </c>
      <c r="FZ262">
        <f t="shared" si="4"/>
        <v>3000</v>
      </c>
      <c r="GA262" s="7" t="s">
        <v>241</v>
      </c>
      <c r="GB262" s="7" t="s">
        <v>241</v>
      </c>
      <c r="GC262" s="6">
        <v>30</v>
      </c>
      <c r="GD262" s="348" t="s">
        <v>242</v>
      </c>
      <c r="GF262" s="6">
        <v>2.4266666666666662E-2</v>
      </c>
      <c r="GH262" s="7"/>
      <c r="GI262" s="445"/>
      <c r="GJ262" s="445"/>
      <c r="GK262" s="445"/>
      <c r="GL262" s="445"/>
      <c r="GM262" s="460" t="s">
        <v>329</v>
      </c>
      <c r="GN262" s="448"/>
      <c r="GO262" s="448"/>
      <c r="GP262" s="448"/>
      <c r="GQ262" s="448"/>
      <c r="GR262" s="460" t="s">
        <v>329</v>
      </c>
      <c r="GU262" t="s">
        <v>243</v>
      </c>
      <c r="GV262" t="s">
        <v>236</v>
      </c>
      <c r="GW262" t="s">
        <v>244</v>
      </c>
      <c r="GX262" t="s">
        <v>236</v>
      </c>
      <c r="GY262" t="s">
        <v>245</v>
      </c>
      <c r="HE262" t="s">
        <v>246</v>
      </c>
      <c r="HF262" t="s">
        <v>236</v>
      </c>
      <c r="HG262" t="s">
        <v>231</v>
      </c>
      <c r="HH262" t="s">
        <v>236</v>
      </c>
      <c r="HI262" t="s">
        <v>247</v>
      </c>
      <c r="HJ262" t="s">
        <v>223</v>
      </c>
      <c r="HK262" t="s">
        <v>266</v>
      </c>
      <c r="HO262" t="s">
        <v>231</v>
      </c>
      <c r="HP262" t="s">
        <v>223</v>
      </c>
      <c r="HQ262" t="s">
        <v>231</v>
      </c>
      <c r="HR262" t="s">
        <v>223</v>
      </c>
      <c r="HU262" t="s">
        <v>231</v>
      </c>
      <c r="HV262" t="s">
        <v>223</v>
      </c>
      <c r="HW262" t="s">
        <v>246</v>
      </c>
      <c r="HX262" t="s">
        <v>236</v>
      </c>
      <c r="IA262" t="s">
        <v>231</v>
      </c>
      <c r="IB262" t="s">
        <v>250</v>
      </c>
      <c r="IC262" s="447"/>
      <c r="ID262" s="447"/>
      <c r="IE262" s="447"/>
      <c r="IF262" s="447"/>
      <c r="IG262" s="459" t="s">
        <v>451</v>
      </c>
      <c r="IH262" t="s">
        <v>235</v>
      </c>
    </row>
    <row r="263" spans="1:242" ht="58" x14ac:dyDescent="0.35">
      <c r="A263" s="310" t="s">
        <v>1610</v>
      </c>
      <c r="B263" s="313" t="s">
        <v>1611</v>
      </c>
      <c r="C263" s="310" t="s">
        <v>1612</v>
      </c>
      <c r="D263" s="316"/>
      <c r="F263" t="s">
        <v>1612</v>
      </c>
      <c r="I263" s="310" t="s">
        <v>1613</v>
      </c>
      <c r="M263" s="313"/>
      <c r="O263"/>
      <c r="P263" s="381"/>
      <c r="Q263"/>
      <c r="T263" s="8"/>
      <c r="U263"/>
      <c r="V263" s="313"/>
      <c r="W263"/>
      <c r="X263"/>
      <c r="Z263"/>
      <c r="AB263"/>
      <c r="AD263" s="8" t="s">
        <v>230</v>
      </c>
      <c r="AF263" s="8" t="s">
        <v>230</v>
      </c>
      <c r="AG263"/>
      <c r="AH263"/>
      <c r="AI263"/>
      <c r="AJ263" t="s">
        <v>221</v>
      </c>
      <c r="AK263">
        <v>0</v>
      </c>
      <c r="AL263">
        <v>0.5</v>
      </c>
      <c r="AM263" t="s">
        <v>221</v>
      </c>
      <c r="AN263" t="s">
        <v>236</v>
      </c>
      <c r="AO263" t="s">
        <v>221</v>
      </c>
      <c r="AP263" t="s">
        <v>225</v>
      </c>
      <c r="AQ263" t="s">
        <v>221</v>
      </c>
      <c r="AR263" t="s">
        <v>225</v>
      </c>
      <c r="AS263" t="s">
        <v>221</v>
      </c>
      <c r="AT263" t="s">
        <v>225</v>
      </c>
      <c r="AU263" t="s">
        <v>272</v>
      </c>
      <c r="AV263"/>
      <c r="AW263" s="313" t="s">
        <v>227</v>
      </c>
      <c r="AX263" t="s">
        <v>226</v>
      </c>
      <c r="AY263" s="313" t="s">
        <v>227</v>
      </c>
      <c r="AZ263" s="313">
        <v>4.2900000000000001E-2</v>
      </c>
      <c r="BB263" s="313" t="s">
        <v>227</v>
      </c>
      <c r="BC263">
        <v>2.3699999999999999E-2</v>
      </c>
      <c r="BD263" t="s">
        <v>227</v>
      </c>
      <c r="BE263">
        <v>5.2200000000000003E-2</v>
      </c>
      <c r="BF263" s="2" t="s">
        <v>220</v>
      </c>
      <c r="BG263" s="2" t="s">
        <v>273</v>
      </c>
      <c r="BH263" s="2" t="s">
        <v>274</v>
      </c>
      <c r="BI263" s="2" t="s">
        <v>275</v>
      </c>
      <c r="BM263"/>
      <c r="BP263" s="8"/>
      <c r="BQ263" t="s">
        <v>230</v>
      </c>
      <c r="BR263" t="s">
        <v>230</v>
      </c>
      <c r="BU263" t="s">
        <v>231</v>
      </c>
      <c r="BV263" t="s">
        <v>223</v>
      </c>
      <c r="BW263" t="s">
        <v>232</v>
      </c>
      <c r="BX263" t="s">
        <v>500</v>
      </c>
      <c r="BY263" t="s">
        <v>227</v>
      </c>
      <c r="BZ263">
        <v>0.17699999999999999</v>
      </c>
      <c r="CA263" t="s">
        <v>234</v>
      </c>
      <c r="CF263" t="s">
        <v>227</v>
      </c>
      <c r="CG263">
        <v>4.7100000000000003E-2</v>
      </c>
      <c r="CH263" t="s">
        <v>227</v>
      </c>
      <c r="CI263">
        <v>5.7000000000000002E-2</v>
      </c>
      <c r="CK263"/>
      <c r="CL263"/>
      <c r="CM263"/>
      <c r="CS263" s="8"/>
      <c r="CW263" t="s">
        <v>227</v>
      </c>
      <c r="CX263" t="s">
        <v>227</v>
      </c>
      <c r="CY263" t="s">
        <v>231</v>
      </c>
      <c r="CZ263" t="s">
        <v>227</v>
      </c>
      <c r="DA263" t="s">
        <v>227</v>
      </c>
      <c r="DB263" t="s">
        <v>227</v>
      </c>
      <c r="DC263"/>
      <c r="DD263"/>
      <c r="DE263"/>
      <c r="DF263"/>
      <c r="DG263"/>
      <c r="DH263" s="323"/>
      <c r="DI263" s="323"/>
      <c r="DJ263" s="323"/>
      <c r="DL263" t="s">
        <v>227</v>
      </c>
      <c r="DM263" t="s">
        <v>227</v>
      </c>
      <c r="DN263" t="s">
        <v>227</v>
      </c>
      <c r="DO263" t="s">
        <v>227</v>
      </c>
      <c r="DP263" t="s">
        <v>227</v>
      </c>
      <c r="DS263" s="338">
        <v>4426.058</v>
      </c>
      <c r="DT263" s="8" t="s">
        <v>394</v>
      </c>
      <c r="DU263" s="338">
        <v>408.68099999999998</v>
      </c>
      <c r="DV263" s="8" t="s">
        <v>394</v>
      </c>
      <c r="DW263">
        <v>35.1</v>
      </c>
      <c r="DX263" t="s">
        <v>238</v>
      </c>
      <c r="DY263">
        <v>947</v>
      </c>
      <c r="DZ263" t="s">
        <v>238</v>
      </c>
      <c r="EA263"/>
      <c r="EB263"/>
      <c r="ED263" s="410"/>
      <c r="EE263" s="1"/>
      <c r="EG263" s="410"/>
      <c r="EI263" s="410"/>
      <c r="EK263" s="1"/>
      <c r="EM263"/>
      <c r="EQ263" s="344"/>
      <c r="EU263" s="344"/>
      <c r="EW263" s="409"/>
      <c r="EY263" s="1"/>
      <c r="FA263">
        <v>136.12</v>
      </c>
      <c r="FB263" t="s">
        <v>225</v>
      </c>
      <c r="FC263" s="7">
        <v>5912.8927269374872</v>
      </c>
      <c r="FD263" s="357" t="s">
        <v>236</v>
      </c>
      <c r="FE263" s="8">
        <v>4.219879016871567</v>
      </c>
      <c r="FF263" t="s">
        <v>237</v>
      </c>
      <c r="FH263" s="9">
        <v>2162.7185237270223</v>
      </c>
      <c r="FI263" s="9" t="s">
        <v>236</v>
      </c>
      <c r="FJ263">
        <v>85.3</v>
      </c>
      <c r="FK263" t="s">
        <v>238</v>
      </c>
      <c r="FL263">
        <v>58.1</v>
      </c>
      <c r="FM263">
        <v>74.199332778994361</v>
      </c>
      <c r="FN263" s="5" t="s">
        <v>237</v>
      </c>
      <c r="FP263" s="6">
        <v>5.8100000000000005</v>
      </c>
      <c r="FQ263" t="s">
        <v>239</v>
      </c>
      <c r="FS263" t="s">
        <v>240</v>
      </c>
      <c r="FU263" s="8">
        <v>1</v>
      </c>
      <c r="FV263" s="8">
        <v>10</v>
      </c>
      <c r="FW263" s="8">
        <v>10</v>
      </c>
      <c r="FX263" s="8">
        <v>10</v>
      </c>
      <c r="FY263" s="8">
        <v>3</v>
      </c>
      <c r="FZ263">
        <f t="shared" si="4"/>
        <v>3000</v>
      </c>
      <c r="GA263" s="7" t="s">
        <v>241</v>
      </c>
      <c r="GB263" s="7" t="s">
        <v>241</v>
      </c>
      <c r="GC263" s="6">
        <v>30</v>
      </c>
      <c r="GD263" s="348" t="s">
        <v>242</v>
      </c>
      <c r="GF263" s="6">
        <v>1.9366666666666667E-2</v>
      </c>
      <c r="GH263" s="7"/>
      <c r="GI263" s="445"/>
      <c r="GJ263" s="445"/>
      <c r="GK263" s="445"/>
      <c r="GL263" s="445"/>
      <c r="GM263" s="460" t="s">
        <v>329</v>
      </c>
      <c r="GN263" s="448"/>
      <c r="GO263" s="448"/>
      <c r="GP263" s="448"/>
      <c r="GQ263" s="448"/>
      <c r="GR263" s="460" t="s">
        <v>329</v>
      </c>
      <c r="GU263" t="s">
        <v>243</v>
      </c>
      <c r="GV263" t="s">
        <v>236</v>
      </c>
      <c r="GW263" t="s">
        <v>244</v>
      </c>
      <c r="GX263" t="s">
        <v>236</v>
      </c>
      <c r="GY263" t="s">
        <v>245</v>
      </c>
      <c r="HE263" t="s">
        <v>246</v>
      </c>
      <c r="HF263" t="s">
        <v>236</v>
      </c>
      <c r="HG263" t="s">
        <v>231</v>
      </c>
      <c r="HH263" t="s">
        <v>236</v>
      </c>
      <c r="HI263" t="s">
        <v>247</v>
      </c>
      <c r="HJ263" t="s">
        <v>223</v>
      </c>
      <c r="HK263" t="s">
        <v>266</v>
      </c>
      <c r="HO263" t="s">
        <v>231</v>
      </c>
      <c r="HP263" t="s">
        <v>223</v>
      </c>
      <c r="HQ263" t="s">
        <v>231</v>
      </c>
      <c r="HR263" t="s">
        <v>223</v>
      </c>
      <c r="HU263" t="s">
        <v>231</v>
      </c>
      <c r="HV263" t="s">
        <v>225</v>
      </c>
      <c r="HW263" t="s">
        <v>246</v>
      </c>
      <c r="HX263" t="s">
        <v>236</v>
      </c>
      <c r="IA263" t="s">
        <v>231</v>
      </c>
      <c r="IB263" t="s">
        <v>250</v>
      </c>
      <c r="IC263" s="447"/>
      <c r="ID263" s="447"/>
      <c r="IE263" s="447"/>
      <c r="IF263" s="447"/>
      <c r="IG263" s="459" t="s">
        <v>451</v>
      </c>
      <c r="IH263" t="s">
        <v>235</v>
      </c>
    </row>
    <row r="264" spans="1:242" ht="58" x14ac:dyDescent="0.35">
      <c r="A264" s="310" t="s">
        <v>1614</v>
      </c>
      <c r="B264" s="313" t="s">
        <v>1615</v>
      </c>
      <c r="C264" s="310" t="s">
        <v>1616</v>
      </c>
      <c r="D264" s="316"/>
      <c r="F264" t="s">
        <v>1616</v>
      </c>
      <c r="I264" s="310" t="s">
        <v>1617</v>
      </c>
      <c r="M264" s="313"/>
      <c r="O264"/>
      <c r="P264" s="381"/>
      <c r="Q264"/>
      <c r="T264" s="8"/>
      <c r="U264"/>
      <c r="V264" s="313"/>
      <c r="W264"/>
      <c r="X264"/>
      <c r="Z264"/>
      <c r="AB264"/>
      <c r="AD264" s="8" t="s">
        <v>230</v>
      </c>
      <c r="AF264" s="8" t="s">
        <v>230</v>
      </c>
      <c r="AG264"/>
      <c r="AH264"/>
      <c r="AI264"/>
      <c r="AJ264" t="s">
        <v>221</v>
      </c>
      <c r="AK264">
        <v>0</v>
      </c>
      <c r="AL264">
        <v>0.82499999999999996</v>
      </c>
      <c r="AM264" t="s">
        <v>221</v>
      </c>
      <c r="AN264" t="s">
        <v>223</v>
      </c>
      <c r="AO264" t="s">
        <v>221</v>
      </c>
      <c r="AP264" t="s">
        <v>223</v>
      </c>
      <c r="AQ264" t="s">
        <v>221</v>
      </c>
      <c r="AR264" t="s">
        <v>225</v>
      </c>
      <c r="AS264" t="s">
        <v>221</v>
      </c>
      <c r="AT264" t="s">
        <v>223</v>
      </c>
      <c r="AU264" t="s">
        <v>272</v>
      </c>
      <c r="AV264"/>
      <c r="AW264" s="313" t="s">
        <v>227</v>
      </c>
      <c r="AX264" t="s">
        <v>226</v>
      </c>
      <c r="AY264" s="313" t="s">
        <v>227</v>
      </c>
      <c r="AZ264" s="313">
        <v>4.5400000000000003E-2</v>
      </c>
      <c r="BB264" s="313" t="s">
        <v>227</v>
      </c>
      <c r="BC264">
        <v>2.3699999999999999E-2</v>
      </c>
      <c r="BD264" t="s">
        <v>227</v>
      </c>
      <c r="BE264">
        <v>6.1400000000000003E-2</v>
      </c>
      <c r="BF264" s="2" t="s">
        <v>220</v>
      </c>
      <c r="BG264" s="2" t="s">
        <v>273</v>
      </c>
      <c r="BH264" s="2" t="s">
        <v>274</v>
      </c>
      <c r="BI264" s="2" t="s">
        <v>275</v>
      </c>
      <c r="BM264"/>
      <c r="BP264" s="8"/>
      <c r="BQ264" t="s">
        <v>230</v>
      </c>
      <c r="BR264" t="s">
        <v>230</v>
      </c>
      <c r="BU264" t="s">
        <v>231</v>
      </c>
      <c r="BV264" t="s">
        <v>223</v>
      </c>
      <c r="BW264" t="s">
        <v>232</v>
      </c>
      <c r="BX264" t="s">
        <v>500</v>
      </c>
      <c r="BY264" t="s">
        <v>227</v>
      </c>
      <c r="BZ264">
        <v>0.20200000000000001</v>
      </c>
      <c r="CA264" t="s">
        <v>234</v>
      </c>
      <c r="CF264" t="s">
        <v>227</v>
      </c>
      <c r="CG264">
        <v>7.6399999999999996E-2</v>
      </c>
      <c r="CH264" t="s">
        <v>227</v>
      </c>
      <c r="CI264">
        <v>8.5400000000000004E-2</v>
      </c>
      <c r="CK264"/>
      <c r="CL264"/>
      <c r="CM264"/>
      <c r="CS264" s="8"/>
      <c r="CW264" t="s">
        <v>227</v>
      </c>
      <c r="CX264" t="s">
        <v>227</v>
      </c>
      <c r="CY264" t="s">
        <v>231</v>
      </c>
      <c r="CZ264" t="s">
        <v>227</v>
      </c>
      <c r="DA264" t="s">
        <v>227</v>
      </c>
      <c r="DB264" t="s">
        <v>227</v>
      </c>
      <c r="DC264"/>
      <c r="DD264"/>
      <c r="DE264"/>
      <c r="DF264"/>
      <c r="DG264"/>
      <c r="DH264" s="323"/>
      <c r="DI264" s="323"/>
      <c r="DJ264" s="323"/>
      <c r="DL264" t="s">
        <v>227</v>
      </c>
      <c r="DM264" t="s">
        <v>227</v>
      </c>
      <c r="DN264" t="s">
        <v>227</v>
      </c>
      <c r="DO264" t="s">
        <v>227</v>
      </c>
      <c r="DP264" t="s">
        <v>227</v>
      </c>
      <c r="DS264" s="338">
        <v>1700.8</v>
      </c>
      <c r="DT264" s="8" t="s">
        <v>394</v>
      </c>
      <c r="DU264" s="338">
        <v>332.70100000000002</v>
      </c>
      <c r="DV264" s="8" t="s">
        <v>394</v>
      </c>
      <c r="DW264">
        <v>28.9</v>
      </c>
      <c r="DX264" t="s">
        <v>238</v>
      </c>
      <c r="DY264">
        <v>623</v>
      </c>
      <c r="DZ264" t="s">
        <v>238</v>
      </c>
      <c r="EA264"/>
      <c r="EB264"/>
      <c r="ED264" s="410"/>
      <c r="EE264" s="1"/>
      <c r="EG264" s="410"/>
      <c r="EI264" s="410"/>
      <c r="EK264" s="1"/>
      <c r="EM264"/>
      <c r="EQ264" s="344"/>
      <c r="EU264" s="344"/>
      <c r="EW264" s="409"/>
      <c r="EY264" s="1"/>
      <c r="FA264">
        <v>85.3</v>
      </c>
      <c r="FB264" t="s">
        <v>225</v>
      </c>
      <c r="FC264" s="7">
        <v>1490.3902473172677</v>
      </c>
      <c r="FD264" s="357" t="s">
        <v>236</v>
      </c>
      <c r="FE264" s="8">
        <v>7.3434475955886747</v>
      </c>
      <c r="FF264" t="s">
        <v>237</v>
      </c>
      <c r="FH264" s="9">
        <v>638.99873734827702</v>
      </c>
      <c r="FI264" s="9" t="s">
        <v>236</v>
      </c>
      <c r="FJ264">
        <v>71.5</v>
      </c>
      <c r="FK264" t="s">
        <v>238</v>
      </c>
      <c r="FL264">
        <v>76.599999999999994</v>
      </c>
      <c r="FM264">
        <v>79.323158742449607</v>
      </c>
      <c r="FN264" s="5" t="s">
        <v>237</v>
      </c>
      <c r="FP264" s="6">
        <v>7.15</v>
      </c>
      <c r="FQ264" t="s">
        <v>450</v>
      </c>
      <c r="FS264" t="s">
        <v>240</v>
      </c>
      <c r="FU264" s="8">
        <v>1</v>
      </c>
      <c r="FV264" s="8">
        <v>10</v>
      </c>
      <c r="FW264" s="8">
        <v>10</v>
      </c>
      <c r="FX264" s="8">
        <v>10</v>
      </c>
      <c r="FY264" s="8">
        <v>3</v>
      </c>
      <c r="FZ264">
        <f t="shared" si="4"/>
        <v>3000</v>
      </c>
      <c r="GA264" s="7" t="s">
        <v>241</v>
      </c>
      <c r="GB264" s="7" t="s">
        <v>241</v>
      </c>
      <c r="GC264" s="6">
        <v>30</v>
      </c>
      <c r="GD264" s="348" t="s">
        <v>242</v>
      </c>
      <c r="GF264" s="6">
        <v>2.3833333333333331E-2</v>
      </c>
      <c r="GH264" s="7"/>
      <c r="GI264" s="445"/>
      <c r="GJ264" s="445"/>
      <c r="GK264" s="445"/>
      <c r="GL264" s="445"/>
      <c r="GM264" s="460" t="s">
        <v>329</v>
      </c>
      <c r="GN264" s="448"/>
      <c r="GO264" s="448"/>
      <c r="GP264" s="448"/>
      <c r="GQ264" s="448"/>
      <c r="GR264" s="460" t="s">
        <v>329</v>
      </c>
      <c r="GU264" t="s">
        <v>243</v>
      </c>
      <c r="GV264" t="s">
        <v>236</v>
      </c>
      <c r="GW264" t="s">
        <v>244</v>
      </c>
      <c r="GX264" t="s">
        <v>236</v>
      </c>
      <c r="GY264" t="s">
        <v>245</v>
      </c>
      <c r="HE264" t="s">
        <v>246</v>
      </c>
      <c r="HF264" t="s">
        <v>236</v>
      </c>
      <c r="HG264" t="s">
        <v>231</v>
      </c>
      <c r="HH264" t="s">
        <v>236</v>
      </c>
      <c r="HI264" t="s">
        <v>247</v>
      </c>
      <c r="HJ264" t="s">
        <v>223</v>
      </c>
      <c r="HK264" t="s">
        <v>266</v>
      </c>
      <c r="HO264" t="s">
        <v>231</v>
      </c>
      <c r="HP264" t="s">
        <v>223</v>
      </c>
      <c r="HQ264" t="s">
        <v>231</v>
      </c>
      <c r="HR264" t="s">
        <v>223</v>
      </c>
      <c r="HU264" t="s">
        <v>231</v>
      </c>
      <c r="HV264" t="s">
        <v>223</v>
      </c>
      <c r="HW264" t="s">
        <v>246</v>
      </c>
      <c r="HX264" t="s">
        <v>236</v>
      </c>
      <c r="IA264" t="s">
        <v>231</v>
      </c>
      <c r="IB264" t="s">
        <v>250</v>
      </c>
      <c r="IC264" s="447"/>
      <c r="ID264" s="447"/>
      <c r="IE264" s="447"/>
      <c r="IF264" s="447"/>
      <c r="IG264" s="459" t="s">
        <v>451</v>
      </c>
      <c r="IH264" t="s">
        <v>235</v>
      </c>
    </row>
    <row r="265" spans="1:242" ht="58" x14ac:dyDescent="0.35">
      <c r="A265" s="310" t="s">
        <v>1618</v>
      </c>
      <c r="B265" s="313" t="s">
        <v>1619</v>
      </c>
      <c r="C265" s="310" t="s">
        <v>1620</v>
      </c>
      <c r="D265" s="316"/>
      <c r="F265" t="s">
        <v>1620</v>
      </c>
      <c r="I265" s="310" t="s">
        <v>1621</v>
      </c>
      <c r="M265" s="313"/>
      <c r="O265"/>
      <c r="P265" s="381"/>
      <c r="Q265"/>
      <c r="T265" s="8"/>
      <c r="U265"/>
      <c r="V265" s="313"/>
      <c r="W265"/>
      <c r="X265"/>
      <c r="Z265"/>
      <c r="AB265"/>
      <c r="AD265" s="8" t="s">
        <v>230</v>
      </c>
      <c r="AF265" s="8" t="s">
        <v>230</v>
      </c>
      <c r="AG265"/>
      <c r="AH265"/>
      <c r="AI265"/>
      <c r="AJ265" t="s">
        <v>221</v>
      </c>
      <c r="AK265">
        <v>0</v>
      </c>
      <c r="AL265">
        <v>0.82499999999999996</v>
      </c>
      <c r="AM265" t="s">
        <v>221</v>
      </c>
      <c r="AN265" t="s">
        <v>223</v>
      </c>
      <c r="AO265" t="s">
        <v>221</v>
      </c>
      <c r="AP265" t="s">
        <v>223</v>
      </c>
      <c r="AQ265" t="s">
        <v>221</v>
      </c>
      <c r="AR265" t="s">
        <v>225</v>
      </c>
      <c r="AS265" t="s">
        <v>221</v>
      </c>
      <c r="AT265" t="s">
        <v>223</v>
      </c>
      <c r="AU265" t="s">
        <v>272</v>
      </c>
      <c r="AV265"/>
      <c r="AW265" s="313" t="s">
        <v>227</v>
      </c>
      <c r="AX265" t="s">
        <v>226</v>
      </c>
      <c r="AY265" s="313" t="s">
        <v>227</v>
      </c>
      <c r="AZ265" s="313">
        <v>4.5100000000000001E-2</v>
      </c>
      <c r="BB265" s="313" t="s">
        <v>227</v>
      </c>
      <c r="BC265">
        <v>2.3599999999999999E-2</v>
      </c>
      <c r="BD265" t="s">
        <v>227</v>
      </c>
      <c r="BE265">
        <v>5.9700000000000003E-2</v>
      </c>
      <c r="BF265" s="2" t="s">
        <v>220</v>
      </c>
      <c r="BG265" s="2" t="s">
        <v>273</v>
      </c>
      <c r="BH265" s="2" t="s">
        <v>274</v>
      </c>
      <c r="BI265" s="2" t="s">
        <v>275</v>
      </c>
      <c r="BM265"/>
      <c r="BP265" s="8"/>
      <c r="BQ265" t="s">
        <v>230</v>
      </c>
      <c r="BR265" t="s">
        <v>230</v>
      </c>
      <c r="BU265" t="s">
        <v>231</v>
      </c>
      <c r="BV265" t="s">
        <v>223</v>
      </c>
      <c r="BW265" t="s">
        <v>232</v>
      </c>
      <c r="BX265" t="s">
        <v>500</v>
      </c>
      <c r="BY265" t="s">
        <v>227</v>
      </c>
      <c r="BZ265">
        <v>0.19700000000000001</v>
      </c>
      <c r="CA265" t="s">
        <v>234</v>
      </c>
      <c r="CF265" t="s">
        <v>227</v>
      </c>
      <c r="CG265">
        <v>7.1400000000000005E-2</v>
      </c>
      <c r="CH265" t="s">
        <v>227</v>
      </c>
      <c r="CI265">
        <v>8.0199999999999994E-2</v>
      </c>
      <c r="CK265"/>
      <c r="CL265"/>
      <c r="CM265"/>
      <c r="CS265" s="8"/>
      <c r="CW265" t="s">
        <v>227</v>
      </c>
      <c r="CX265" t="s">
        <v>227</v>
      </c>
      <c r="CY265" t="s">
        <v>231</v>
      </c>
      <c r="CZ265" t="s">
        <v>227</v>
      </c>
      <c r="DA265" t="s">
        <v>227</v>
      </c>
      <c r="DB265" t="s">
        <v>227</v>
      </c>
      <c r="DC265"/>
      <c r="DD265"/>
      <c r="DE265"/>
      <c r="DF265"/>
      <c r="DG265"/>
      <c r="DH265" s="323"/>
      <c r="DI265" s="323"/>
      <c r="DJ265" s="323"/>
      <c r="DL265" t="s">
        <v>227</v>
      </c>
      <c r="DM265" t="s">
        <v>227</v>
      </c>
      <c r="DN265" t="s">
        <v>227</v>
      </c>
      <c r="DO265" t="s">
        <v>227</v>
      </c>
      <c r="DP265" t="s">
        <v>227</v>
      </c>
      <c r="DS265" s="338">
        <v>1916.3050000000001</v>
      </c>
      <c r="DT265" s="8" t="s">
        <v>394</v>
      </c>
      <c r="DU265" s="338">
        <v>341.28399999999999</v>
      </c>
      <c r="DV265" s="8" t="s">
        <v>394</v>
      </c>
      <c r="DW265">
        <v>36.9</v>
      </c>
      <c r="DX265" t="s">
        <v>238</v>
      </c>
      <c r="DY265">
        <v>768</v>
      </c>
      <c r="DZ265" t="s">
        <v>238</v>
      </c>
      <c r="EA265"/>
      <c r="EB265"/>
      <c r="ED265" s="410"/>
      <c r="EE265" s="1"/>
      <c r="EG265" s="410"/>
      <c r="EI265" s="410"/>
      <c r="EK265" s="1"/>
      <c r="EM265"/>
      <c r="EQ265" s="344"/>
      <c r="EU265" s="344"/>
      <c r="EW265" s="409"/>
      <c r="EY265" s="1"/>
      <c r="FA265">
        <v>89.85</v>
      </c>
      <c r="FB265" t="s">
        <v>225</v>
      </c>
      <c r="FC265" s="7">
        <v>1737.0007261373762</v>
      </c>
      <c r="FD265" s="357" t="s">
        <v>236</v>
      </c>
      <c r="FE265" s="8">
        <v>6.9055774421968357</v>
      </c>
      <c r="FF265" t="s">
        <v>237</v>
      </c>
      <c r="FH265" s="9">
        <v>731.64431094907275</v>
      </c>
      <c r="FI265" s="9" t="s">
        <v>236</v>
      </c>
      <c r="FJ265">
        <v>76.2</v>
      </c>
      <c r="FK265" t="s">
        <v>238</v>
      </c>
      <c r="FL265">
        <v>74.8</v>
      </c>
      <c r="FM265">
        <v>78.740832114521439</v>
      </c>
      <c r="FN265" s="5" t="s">
        <v>237</v>
      </c>
      <c r="FP265" s="6">
        <v>7.4799999999999995</v>
      </c>
      <c r="FQ265" t="s">
        <v>239</v>
      </c>
      <c r="FS265" t="s">
        <v>240</v>
      </c>
      <c r="FU265" s="8">
        <v>1</v>
      </c>
      <c r="FV265" s="8">
        <v>10</v>
      </c>
      <c r="FW265" s="8">
        <v>10</v>
      </c>
      <c r="FX265" s="8">
        <v>10</v>
      </c>
      <c r="FY265" s="8">
        <v>3</v>
      </c>
      <c r="FZ265">
        <f t="shared" si="4"/>
        <v>3000</v>
      </c>
      <c r="GA265" s="7" t="s">
        <v>241</v>
      </c>
      <c r="GB265" s="7" t="s">
        <v>241</v>
      </c>
      <c r="GC265" s="6">
        <v>30</v>
      </c>
      <c r="GD265" s="348" t="s">
        <v>242</v>
      </c>
      <c r="GF265" s="6">
        <v>2.4933333333333332E-2</v>
      </c>
      <c r="GH265" s="7"/>
      <c r="GI265" s="445"/>
      <c r="GJ265" s="445"/>
      <c r="GK265" s="445"/>
      <c r="GL265" s="445"/>
      <c r="GM265" s="460" t="s">
        <v>329</v>
      </c>
      <c r="GN265" s="448"/>
      <c r="GO265" s="448"/>
      <c r="GP265" s="448"/>
      <c r="GQ265" s="448"/>
      <c r="GR265" s="460" t="s">
        <v>329</v>
      </c>
      <c r="GU265" t="s">
        <v>243</v>
      </c>
      <c r="GV265" t="s">
        <v>236</v>
      </c>
      <c r="GW265" t="s">
        <v>244</v>
      </c>
      <c r="GX265" t="s">
        <v>236</v>
      </c>
      <c r="GY265" t="s">
        <v>245</v>
      </c>
      <c r="HE265" t="s">
        <v>246</v>
      </c>
      <c r="HF265" t="s">
        <v>236</v>
      </c>
      <c r="HG265" t="s">
        <v>231</v>
      </c>
      <c r="HH265" t="s">
        <v>236</v>
      </c>
      <c r="HI265" t="s">
        <v>247</v>
      </c>
      <c r="HJ265" t="s">
        <v>223</v>
      </c>
      <c r="HK265" t="s">
        <v>266</v>
      </c>
      <c r="HO265" t="s">
        <v>231</v>
      </c>
      <c r="HP265" t="s">
        <v>223</v>
      </c>
      <c r="HQ265" t="s">
        <v>231</v>
      </c>
      <c r="HR265" t="s">
        <v>223</v>
      </c>
      <c r="HU265" t="s">
        <v>231</v>
      </c>
      <c r="HV265" t="s">
        <v>223</v>
      </c>
      <c r="HW265" t="s">
        <v>246</v>
      </c>
      <c r="HX265" t="s">
        <v>236</v>
      </c>
      <c r="IA265" t="s">
        <v>231</v>
      </c>
      <c r="IB265" t="s">
        <v>250</v>
      </c>
      <c r="IC265" s="447"/>
      <c r="ID265" s="447"/>
      <c r="IE265" s="447"/>
      <c r="IF265" s="447"/>
      <c r="IG265" s="459" t="s">
        <v>451</v>
      </c>
      <c r="IH265" t="s">
        <v>235</v>
      </c>
    </row>
    <row r="266" spans="1:242" ht="58" x14ac:dyDescent="0.35">
      <c r="A266" s="310" t="s">
        <v>1622</v>
      </c>
      <c r="B266" s="313" t="s">
        <v>1623</v>
      </c>
      <c r="C266" s="310" t="s">
        <v>1624</v>
      </c>
      <c r="D266" s="316"/>
      <c r="F266" t="s">
        <v>1624</v>
      </c>
      <c r="I266" s="310" t="s">
        <v>1625</v>
      </c>
      <c r="M266" s="313"/>
      <c r="O266"/>
      <c r="P266" s="381"/>
      <c r="Q266"/>
      <c r="T266" s="8"/>
      <c r="U266"/>
      <c r="V266" s="313"/>
      <c r="W266"/>
      <c r="X266"/>
      <c r="Z266"/>
      <c r="AB266"/>
      <c r="AD266" s="8" t="s">
        <v>230</v>
      </c>
      <c r="AF266" s="8" t="s">
        <v>230</v>
      </c>
      <c r="AG266"/>
      <c r="AH266"/>
      <c r="AI266"/>
      <c r="AJ266" t="s">
        <v>221</v>
      </c>
      <c r="AK266">
        <v>0</v>
      </c>
      <c r="AL266">
        <v>0.82499999999999996</v>
      </c>
      <c r="AM266" t="s">
        <v>221</v>
      </c>
      <c r="AN266" t="s">
        <v>223</v>
      </c>
      <c r="AO266" t="s">
        <v>221</v>
      </c>
      <c r="AP266" t="s">
        <v>223</v>
      </c>
      <c r="AQ266" t="s">
        <v>221</v>
      </c>
      <c r="AR266" t="s">
        <v>225</v>
      </c>
      <c r="AS266" t="s">
        <v>221</v>
      </c>
      <c r="AT266" t="s">
        <v>223</v>
      </c>
      <c r="AU266" t="s">
        <v>272</v>
      </c>
      <c r="AV266"/>
      <c r="AW266" s="313" t="s">
        <v>227</v>
      </c>
      <c r="AX266" t="s">
        <v>226</v>
      </c>
      <c r="AY266" s="313" t="s">
        <v>227</v>
      </c>
      <c r="AZ266" s="313">
        <v>4.5699999999999998E-2</v>
      </c>
      <c r="BB266" s="313" t="s">
        <v>227</v>
      </c>
      <c r="BC266">
        <v>2.3699999999999999E-2</v>
      </c>
      <c r="BD266" t="s">
        <v>227</v>
      </c>
      <c r="BE266">
        <v>6.3200000000000006E-2</v>
      </c>
      <c r="BF266" s="2" t="s">
        <v>220</v>
      </c>
      <c r="BG266" s="2" t="s">
        <v>273</v>
      </c>
      <c r="BH266" s="2" t="s">
        <v>274</v>
      </c>
      <c r="BI266" s="2" t="s">
        <v>275</v>
      </c>
      <c r="BM266"/>
      <c r="BP266" s="8"/>
      <c r="BQ266" t="s">
        <v>230</v>
      </c>
      <c r="BR266" t="s">
        <v>230</v>
      </c>
      <c r="BU266" t="s">
        <v>231</v>
      </c>
      <c r="BV266" t="s">
        <v>223</v>
      </c>
      <c r="BW266" t="s">
        <v>232</v>
      </c>
      <c r="BX266" t="s">
        <v>500</v>
      </c>
      <c r="BY266" t="s">
        <v>227</v>
      </c>
      <c r="BZ266">
        <v>0.20699999999999999</v>
      </c>
      <c r="CA266" t="s">
        <v>234</v>
      </c>
      <c r="CF266" t="s">
        <v>227</v>
      </c>
      <c r="CG266">
        <v>8.1600000000000006E-2</v>
      </c>
      <c r="CH266" t="s">
        <v>227</v>
      </c>
      <c r="CI266">
        <v>9.0899999999999995E-2</v>
      </c>
      <c r="CK266"/>
      <c r="CL266"/>
      <c r="CM266"/>
      <c r="CS266" s="8"/>
      <c r="CW266" t="s">
        <v>227</v>
      </c>
      <c r="CX266" t="s">
        <v>227</v>
      </c>
      <c r="CY266" t="s">
        <v>231</v>
      </c>
      <c r="CZ266" t="s">
        <v>227</v>
      </c>
      <c r="DA266" t="s">
        <v>227</v>
      </c>
      <c r="DB266" t="s">
        <v>227</v>
      </c>
      <c r="DC266"/>
      <c r="DD266"/>
      <c r="DE266"/>
      <c r="DF266"/>
      <c r="DG266"/>
      <c r="DH266" s="323"/>
      <c r="DI266" s="323"/>
      <c r="DJ266" s="323"/>
      <c r="DL266" t="s">
        <v>227</v>
      </c>
      <c r="DM266" t="s">
        <v>227</v>
      </c>
      <c r="DN266" t="s">
        <v>227</v>
      </c>
      <c r="DO266" t="s">
        <v>227</v>
      </c>
      <c r="DP266" t="s">
        <v>227</v>
      </c>
      <c r="DS266" s="338">
        <v>1505.357</v>
      </c>
      <c r="DT266" s="8" t="s">
        <v>394</v>
      </c>
      <c r="DU266" s="309">
        <v>323.88499999999999</v>
      </c>
      <c r="DW266">
        <v>25.8</v>
      </c>
      <c r="DX266" t="s">
        <v>238</v>
      </c>
      <c r="DY266">
        <v>657</v>
      </c>
      <c r="DZ266" t="s">
        <v>238</v>
      </c>
      <c r="EA266"/>
      <c r="EB266"/>
      <c r="ED266" s="410"/>
      <c r="EE266" s="1"/>
      <c r="EG266" s="410"/>
      <c r="EI266" s="410"/>
      <c r="EK266" s="1"/>
      <c r="EM266"/>
      <c r="EQ266" s="344"/>
      <c r="EU266" s="344"/>
      <c r="EW266" s="409"/>
      <c r="EY266" s="1"/>
      <c r="FA266">
        <v>80.989999999999995</v>
      </c>
      <c r="FB266" t="s">
        <v>225</v>
      </c>
      <c r="FC266" s="7">
        <v>1278.7922629358468</v>
      </c>
      <c r="FD266" s="357" t="s">
        <v>236</v>
      </c>
      <c r="FE266" s="8">
        <v>7.8090823020300242</v>
      </c>
      <c r="FF266" t="s">
        <v>237</v>
      </c>
      <c r="FH266" s="9">
        <v>558.08455040541457</v>
      </c>
      <c r="FI266" s="9" t="s">
        <v>236</v>
      </c>
      <c r="FJ266">
        <v>65.8</v>
      </c>
      <c r="FK266" t="s">
        <v>238</v>
      </c>
      <c r="FL266">
        <v>78.2</v>
      </c>
      <c r="FM266">
        <v>79.928193986215064</v>
      </c>
      <c r="FN266" s="5" t="s">
        <v>237</v>
      </c>
      <c r="FP266" s="6">
        <v>6.58</v>
      </c>
      <c r="FQ266" t="s">
        <v>450</v>
      </c>
      <c r="FS266" t="s">
        <v>240</v>
      </c>
      <c r="FU266" s="8">
        <v>1</v>
      </c>
      <c r="FV266" s="8">
        <v>10</v>
      </c>
      <c r="FW266" s="8">
        <v>10</v>
      </c>
      <c r="FX266" s="8">
        <v>10</v>
      </c>
      <c r="FY266" s="8">
        <v>3</v>
      </c>
      <c r="FZ266">
        <f t="shared" si="4"/>
        <v>3000</v>
      </c>
      <c r="GA266" s="7" t="s">
        <v>241</v>
      </c>
      <c r="GB266" s="7" t="s">
        <v>241</v>
      </c>
      <c r="GC266" s="6">
        <v>30</v>
      </c>
      <c r="GD266" s="348" t="s">
        <v>242</v>
      </c>
      <c r="GF266" s="6">
        <v>2.1933333333333332E-2</v>
      </c>
      <c r="GH266" s="7"/>
      <c r="GI266" s="445"/>
      <c r="GJ266" s="445"/>
      <c r="GK266" s="445"/>
      <c r="GL266" s="445"/>
      <c r="GM266" s="460" t="s">
        <v>329</v>
      </c>
      <c r="GN266" s="448"/>
      <c r="GO266" s="448"/>
      <c r="GP266" s="448"/>
      <c r="GQ266" s="448"/>
      <c r="GR266" s="460" t="s">
        <v>329</v>
      </c>
      <c r="GU266" t="s">
        <v>243</v>
      </c>
      <c r="GV266" t="s">
        <v>236</v>
      </c>
      <c r="GW266" t="s">
        <v>244</v>
      </c>
      <c r="GX266" t="s">
        <v>236</v>
      </c>
      <c r="GY266" t="s">
        <v>245</v>
      </c>
      <c r="HE266" t="s">
        <v>246</v>
      </c>
      <c r="HF266" t="s">
        <v>236</v>
      </c>
      <c r="HG266" t="s">
        <v>231</v>
      </c>
      <c r="HH266" t="s">
        <v>236</v>
      </c>
      <c r="HI266" t="s">
        <v>247</v>
      </c>
      <c r="HJ266" t="s">
        <v>223</v>
      </c>
      <c r="HK266" t="s">
        <v>266</v>
      </c>
      <c r="HO266" t="s">
        <v>231</v>
      </c>
      <c r="HP266" t="s">
        <v>223</v>
      </c>
      <c r="HQ266" t="s">
        <v>231</v>
      </c>
      <c r="HR266" t="s">
        <v>223</v>
      </c>
      <c r="HU266" t="s">
        <v>231</v>
      </c>
      <c r="HV266" t="s">
        <v>223</v>
      </c>
      <c r="HW266" t="s">
        <v>246</v>
      </c>
      <c r="HX266" t="s">
        <v>236</v>
      </c>
      <c r="IA266" t="s">
        <v>231</v>
      </c>
      <c r="IB266" t="s">
        <v>250</v>
      </c>
      <c r="IC266" s="447"/>
      <c r="ID266" s="447"/>
      <c r="IE266" s="447"/>
      <c r="IF266" s="447"/>
      <c r="IG266" s="459" t="s">
        <v>451</v>
      </c>
      <c r="IH266" t="s">
        <v>235</v>
      </c>
    </row>
    <row r="267" spans="1:242" ht="58" x14ac:dyDescent="0.35">
      <c r="A267" s="310" t="s">
        <v>1626</v>
      </c>
      <c r="B267" s="313" t="s">
        <v>1627</v>
      </c>
      <c r="C267" s="310" t="s">
        <v>1628</v>
      </c>
      <c r="D267" s="316"/>
      <c r="F267" t="s">
        <v>1628</v>
      </c>
      <c r="I267" s="310" t="s">
        <v>1629</v>
      </c>
      <c r="M267" s="313"/>
      <c r="O267"/>
      <c r="P267" s="381"/>
      <c r="Q267"/>
      <c r="T267" s="8"/>
      <c r="U267"/>
      <c r="V267" s="313"/>
      <c r="W267"/>
      <c r="X267"/>
      <c r="Z267"/>
      <c r="AB267"/>
      <c r="AD267" s="8" t="s">
        <v>230</v>
      </c>
      <c r="AF267" s="8" t="s">
        <v>230</v>
      </c>
      <c r="AG267"/>
      <c r="AH267"/>
      <c r="AI267"/>
      <c r="AJ267" t="s">
        <v>221</v>
      </c>
      <c r="AK267">
        <v>0</v>
      </c>
      <c r="AL267">
        <v>0.5</v>
      </c>
      <c r="AM267" t="s">
        <v>221</v>
      </c>
      <c r="AN267" t="s">
        <v>236</v>
      </c>
      <c r="AO267" t="s">
        <v>221</v>
      </c>
      <c r="AP267" t="s">
        <v>225</v>
      </c>
      <c r="AQ267" t="s">
        <v>221</v>
      </c>
      <c r="AR267" t="s">
        <v>225</v>
      </c>
      <c r="AS267" t="s">
        <v>221</v>
      </c>
      <c r="AT267" t="s">
        <v>225</v>
      </c>
      <c r="AU267" t="s">
        <v>272</v>
      </c>
      <c r="AV267"/>
      <c r="AW267" s="313" t="s">
        <v>227</v>
      </c>
      <c r="AX267" t="s">
        <v>226</v>
      </c>
      <c r="AY267" s="313" t="s">
        <v>227</v>
      </c>
      <c r="AZ267" s="313">
        <v>4.2599999999999999E-2</v>
      </c>
      <c r="BB267" s="313" t="s">
        <v>227</v>
      </c>
      <c r="BC267">
        <v>2.3800000000000002E-2</v>
      </c>
      <c r="BD267" t="s">
        <v>227</v>
      </c>
      <c r="BE267">
        <v>5.1999999999999998E-2</v>
      </c>
      <c r="BF267" s="2" t="s">
        <v>220</v>
      </c>
      <c r="BG267" s="2" t="s">
        <v>273</v>
      </c>
      <c r="BH267" s="2" t="s">
        <v>274</v>
      </c>
      <c r="BI267" s="2" t="s">
        <v>275</v>
      </c>
      <c r="BM267"/>
      <c r="BP267" s="8"/>
      <c r="BQ267" t="s">
        <v>230</v>
      </c>
      <c r="BR267" t="s">
        <v>230</v>
      </c>
      <c r="BU267" t="s">
        <v>231</v>
      </c>
      <c r="BV267" t="s">
        <v>223</v>
      </c>
      <c r="BW267" t="s">
        <v>232</v>
      </c>
      <c r="BX267" t="s">
        <v>500</v>
      </c>
      <c r="BY267" t="s">
        <v>227</v>
      </c>
      <c r="BZ267">
        <v>0.17599999999999999</v>
      </c>
      <c r="CA267" t="s">
        <v>234</v>
      </c>
      <c r="CF267" t="s">
        <v>227</v>
      </c>
      <c r="CG267">
        <v>4.5400000000000003E-2</v>
      </c>
      <c r="CH267" t="s">
        <v>227</v>
      </c>
      <c r="CI267">
        <v>5.5800000000000002E-2</v>
      </c>
      <c r="CK267"/>
      <c r="CL267"/>
      <c r="CM267"/>
      <c r="CS267" s="8"/>
      <c r="CW267" t="s">
        <v>227</v>
      </c>
      <c r="CX267" t="s">
        <v>227</v>
      </c>
      <c r="CY267" t="s">
        <v>231</v>
      </c>
      <c r="CZ267" t="s">
        <v>227</v>
      </c>
      <c r="DA267" t="s">
        <v>227</v>
      </c>
      <c r="DB267" t="s">
        <v>227</v>
      </c>
      <c r="DC267"/>
      <c r="DD267"/>
      <c r="DE267"/>
      <c r="DF267"/>
      <c r="DG267"/>
      <c r="DH267" s="323"/>
      <c r="DI267" s="323"/>
      <c r="DJ267" s="323"/>
      <c r="DL267" t="s">
        <v>227</v>
      </c>
      <c r="DM267" t="s">
        <v>227</v>
      </c>
      <c r="DN267" t="s">
        <v>227</v>
      </c>
      <c r="DO267" t="s">
        <v>227</v>
      </c>
      <c r="DP267" t="s">
        <v>227</v>
      </c>
      <c r="DS267" s="338">
        <v>4835.3729999999996</v>
      </c>
      <c r="DT267" s="8" t="s">
        <v>394</v>
      </c>
      <c r="DU267" s="338">
        <v>417.00299999999999</v>
      </c>
      <c r="DV267" s="8" t="s">
        <v>394</v>
      </c>
      <c r="DW267">
        <v>35.6</v>
      </c>
      <c r="DX267" t="s">
        <v>238</v>
      </c>
      <c r="DY267">
        <v>948</v>
      </c>
      <c r="DZ267" t="s">
        <v>238</v>
      </c>
      <c r="EA267"/>
      <c r="EB267"/>
      <c r="ED267" s="410"/>
      <c r="EE267" s="1"/>
      <c r="EG267" s="410"/>
      <c r="EI267" s="410"/>
      <c r="EK267" s="1"/>
      <c r="EM267"/>
      <c r="EQ267" s="344"/>
      <c r="EU267" s="344"/>
      <c r="EW267" s="409"/>
      <c r="EY267" s="1"/>
      <c r="FA267">
        <v>143.37</v>
      </c>
      <c r="FB267" t="s">
        <v>225</v>
      </c>
      <c r="FC267" s="7">
        <v>6892.8686073184563</v>
      </c>
      <c r="FD267" s="357" t="s">
        <v>236</v>
      </c>
      <c r="FE267" s="8">
        <v>3.9673452893165471</v>
      </c>
      <c r="FF267" t="s">
        <v>237</v>
      </c>
      <c r="FH267" s="9">
        <v>2476.2814252739618</v>
      </c>
      <c r="FI267" s="9" t="s">
        <v>236</v>
      </c>
      <c r="FJ267">
        <v>91.4</v>
      </c>
      <c r="FK267" t="s">
        <v>238</v>
      </c>
      <c r="FL267">
        <v>55.9</v>
      </c>
      <c r="FM267">
        <v>73.654621147023136</v>
      </c>
      <c r="FN267" s="5" t="s">
        <v>237</v>
      </c>
      <c r="FP267" s="6">
        <v>5.59</v>
      </c>
      <c r="FQ267" t="s">
        <v>239</v>
      </c>
      <c r="FS267" t="s">
        <v>240</v>
      </c>
      <c r="FU267" s="8">
        <v>1</v>
      </c>
      <c r="FV267" s="8">
        <v>10</v>
      </c>
      <c r="FW267" s="8">
        <v>10</v>
      </c>
      <c r="FX267" s="8">
        <v>10</v>
      </c>
      <c r="FY267" s="8">
        <v>3</v>
      </c>
      <c r="FZ267">
        <f t="shared" si="4"/>
        <v>3000</v>
      </c>
      <c r="GA267" s="7" t="s">
        <v>241</v>
      </c>
      <c r="GB267" s="7" t="s">
        <v>241</v>
      </c>
      <c r="GC267" s="6">
        <v>30</v>
      </c>
      <c r="GD267" s="348" t="s">
        <v>242</v>
      </c>
      <c r="GF267" s="6">
        <v>1.8633333333333332E-2</v>
      </c>
      <c r="GH267" s="7"/>
      <c r="GI267" s="445"/>
      <c r="GJ267" s="445"/>
      <c r="GK267" s="445"/>
      <c r="GL267" s="445"/>
      <c r="GM267" s="460" t="s">
        <v>329</v>
      </c>
      <c r="GN267" s="448"/>
      <c r="GO267" s="448"/>
      <c r="GP267" s="448"/>
      <c r="GQ267" s="448"/>
      <c r="GR267" s="460" t="s">
        <v>329</v>
      </c>
      <c r="GU267" t="s">
        <v>243</v>
      </c>
      <c r="GV267" t="s">
        <v>236</v>
      </c>
      <c r="GW267" t="s">
        <v>244</v>
      </c>
      <c r="GX267" t="s">
        <v>236</v>
      </c>
      <c r="GY267" t="s">
        <v>245</v>
      </c>
      <c r="HE267" t="s">
        <v>246</v>
      </c>
      <c r="HF267" t="s">
        <v>236</v>
      </c>
      <c r="HG267" t="s">
        <v>231</v>
      </c>
      <c r="HH267" t="s">
        <v>236</v>
      </c>
      <c r="HI267" t="s">
        <v>247</v>
      </c>
      <c r="HJ267" t="s">
        <v>223</v>
      </c>
      <c r="HK267" t="s">
        <v>266</v>
      </c>
      <c r="HO267" t="s">
        <v>231</v>
      </c>
      <c r="HP267" t="s">
        <v>223</v>
      </c>
      <c r="HQ267" t="s">
        <v>231</v>
      </c>
      <c r="HR267" t="s">
        <v>223</v>
      </c>
      <c r="HU267" t="s">
        <v>231</v>
      </c>
      <c r="HV267" t="s">
        <v>225</v>
      </c>
      <c r="HW267" t="s">
        <v>246</v>
      </c>
      <c r="HX267" t="s">
        <v>236</v>
      </c>
      <c r="IA267" t="s">
        <v>231</v>
      </c>
      <c r="IB267" t="s">
        <v>250</v>
      </c>
      <c r="IC267" s="447"/>
      <c r="ID267" s="447"/>
      <c r="IE267" s="447"/>
      <c r="IF267" s="447"/>
      <c r="IG267" s="459" t="s">
        <v>451</v>
      </c>
      <c r="IH267" t="s">
        <v>235</v>
      </c>
    </row>
    <row r="268" spans="1:242" ht="58" x14ac:dyDescent="0.35">
      <c r="A268" s="310" t="s">
        <v>1630</v>
      </c>
      <c r="B268" s="313" t="s">
        <v>1631</v>
      </c>
      <c r="C268" s="310" t="s">
        <v>1632</v>
      </c>
      <c r="D268" s="316"/>
      <c r="F268" t="s">
        <v>1632</v>
      </c>
      <c r="I268" s="310" t="s">
        <v>1633</v>
      </c>
      <c r="M268" s="313"/>
      <c r="O268"/>
      <c r="P268" s="381"/>
      <c r="Q268"/>
      <c r="T268" s="8"/>
      <c r="U268"/>
      <c r="V268" s="313"/>
      <c r="W268"/>
      <c r="X268"/>
      <c r="Z268"/>
      <c r="AB268"/>
      <c r="AD268" s="8" t="s">
        <v>230</v>
      </c>
      <c r="AF268" s="8" t="s">
        <v>230</v>
      </c>
      <c r="AG268"/>
      <c r="AH268"/>
      <c r="AI268"/>
      <c r="AJ268" t="s">
        <v>221</v>
      </c>
      <c r="AK268">
        <v>0</v>
      </c>
      <c r="AL268">
        <v>0.82499999999999996</v>
      </c>
      <c r="AM268" t="s">
        <v>221</v>
      </c>
      <c r="AN268" t="s">
        <v>223</v>
      </c>
      <c r="AO268" t="s">
        <v>221</v>
      </c>
      <c r="AP268" t="s">
        <v>223</v>
      </c>
      <c r="AQ268" t="s">
        <v>221</v>
      </c>
      <c r="AR268" t="s">
        <v>225</v>
      </c>
      <c r="AS268" t="s">
        <v>221</v>
      </c>
      <c r="AT268" t="s">
        <v>223</v>
      </c>
      <c r="AU268" t="s">
        <v>272</v>
      </c>
      <c r="AV268"/>
      <c r="AW268" s="313" t="s">
        <v>227</v>
      </c>
      <c r="AX268" t="s">
        <v>226</v>
      </c>
      <c r="AY268" s="313" t="s">
        <v>227</v>
      </c>
      <c r="AZ268" s="313">
        <v>4.5999999999999999E-2</v>
      </c>
      <c r="BB268" s="313" t="s">
        <v>227</v>
      </c>
      <c r="BC268">
        <v>2.3699999999999999E-2</v>
      </c>
      <c r="BD268" t="s">
        <v>227</v>
      </c>
      <c r="BE268">
        <v>6.5000000000000002E-2</v>
      </c>
      <c r="BF268" s="2" t="s">
        <v>220</v>
      </c>
      <c r="BG268" s="2" t="s">
        <v>273</v>
      </c>
      <c r="BH268" s="2" t="s">
        <v>274</v>
      </c>
      <c r="BI268" s="2" t="s">
        <v>275</v>
      </c>
      <c r="BM268"/>
      <c r="BP268" s="8"/>
      <c r="BQ268" t="s">
        <v>230</v>
      </c>
      <c r="BR268" t="s">
        <v>230</v>
      </c>
      <c r="BU268" t="s">
        <v>231</v>
      </c>
      <c r="BV268" t="s">
        <v>223</v>
      </c>
      <c r="BW268" t="s">
        <v>232</v>
      </c>
      <c r="BX268" t="s">
        <v>500</v>
      </c>
      <c r="BY268" t="s">
        <v>227</v>
      </c>
      <c r="BZ268">
        <v>0.21099999999999999</v>
      </c>
      <c r="CA268" t="s">
        <v>234</v>
      </c>
      <c r="CF268" t="s">
        <v>227</v>
      </c>
      <c r="CG268">
        <v>8.72E-2</v>
      </c>
      <c r="CH268" t="s">
        <v>227</v>
      </c>
      <c r="CI268">
        <v>9.6699999999999994E-2</v>
      </c>
      <c r="CK268"/>
      <c r="CL268"/>
      <c r="CM268"/>
      <c r="CS268" s="8"/>
      <c r="CW268" t="s">
        <v>227</v>
      </c>
      <c r="CX268" t="s">
        <v>227</v>
      </c>
      <c r="CY268" t="s">
        <v>231</v>
      </c>
      <c r="CZ268" t="s">
        <v>227</v>
      </c>
      <c r="DA268" t="s">
        <v>227</v>
      </c>
      <c r="DB268" t="s">
        <v>227</v>
      </c>
      <c r="DC268"/>
      <c r="DD268"/>
      <c r="DE268"/>
      <c r="DF268"/>
      <c r="DG268"/>
      <c r="DH268" s="323"/>
      <c r="DI268" s="323"/>
      <c r="DJ268" s="323"/>
      <c r="DL268" t="s">
        <v>227</v>
      </c>
      <c r="DM268" t="s">
        <v>227</v>
      </c>
      <c r="DN268" t="s">
        <v>227</v>
      </c>
      <c r="DO268" t="s">
        <v>227</v>
      </c>
      <c r="DP268" t="s">
        <v>227</v>
      </c>
      <c r="DS268" s="338">
        <v>1328.8679999999999</v>
      </c>
      <c r="DT268" s="8" t="s">
        <v>394</v>
      </c>
      <c r="DU268" s="309">
        <v>315.14100000000002</v>
      </c>
      <c r="DW268">
        <v>33.200000000000003</v>
      </c>
      <c r="DX268" t="s">
        <v>238</v>
      </c>
      <c r="DY268">
        <v>585</v>
      </c>
      <c r="DZ268" t="s">
        <v>238</v>
      </c>
      <c r="EA268"/>
      <c r="EB268"/>
      <c r="ED268" s="410"/>
      <c r="EE268" s="1"/>
      <c r="EG268" s="410"/>
      <c r="EI268" s="410"/>
      <c r="EK268" s="1"/>
      <c r="EM268"/>
      <c r="EQ268" s="344"/>
      <c r="EU268" s="344"/>
      <c r="EW268" s="409"/>
      <c r="EY268" s="1"/>
      <c r="FA268">
        <v>76.89</v>
      </c>
      <c r="FB268" t="s">
        <v>225</v>
      </c>
      <c r="FC268" s="7">
        <v>1097.2358781119076</v>
      </c>
      <c r="FD268" s="357" t="s">
        <v>236</v>
      </c>
      <c r="FE268" s="8">
        <v>8.3061544040792281</v>
      </c>
      <c r="FF268" t="s">
        <v>237</v>
      </c>
      <c r="FH268" s="9">
        <v>487.41624544315431</v>
      </c>
      <c r="FI268" s="9" t="s">
        <v>236</v>
      </c>
      <c r="FJ268">
        <v>64.8</v>
      </c>
      <c r="FK268" t="s">
        <v>238</v>
      </c>
      <c r="FL268">
        <v>79.7</v>
      </c>
      <c r="FM268">
        <v>80.519301730830804</v>
      </c>
      <c r="FN268" s="5" t="s">
        <v>237</v>
      </c>
      <c r="FP268" s="6">
        <v>6.4799999999999995</v>
      </c>
      <c r="FQ268" t="s">
        <v>450</v>
      </c>
      <c r="FS268" t="s">
        <v>240</v>
      </c>
      <c r="FU268" s="8">
        <v>1</v>
      </c>
      <c r="FV268" s="8">
        <v>10</v>
      </c>
      <c r="FW268" s="8">
        <v>10</v>
      </c>
      <c r="FX268" s="8">
        <v>10</v>
      </c>
      <c r="FY268" s="8">
        <v>3</v>
      </c>
      <c r="FZ268">
        <f t="shared" si="4"/>
        <v>3000</v>
      </c>
      <c r="GA268" s="7" t="s">
        <v>241</v>
      </c>
      <c r="GB268" s="7" t="s">
        <v>241</v>
      </c>
      <c r="GC268" s="6">
        <v>30</v>
      </c>
      <c r="GD268" s="348" t="s">
        <v>242</v>
      </c>
      <c r="GF268" s="6">
        <v>2.1599999999999998E-2</v>
      </c>
      <c r="GH268" s="7"/>
      <c r="GI268" s="445"/>
      <c r="GJ268" s="445"/>
      <c r="GK268" s="445"/>
      <c r="GL268" s="445"/>
      <c r="GM268" s="460" t="s">
        <v>329</v>
      </c>
      <c r="GN268" s="448"/>
      <c r="GO268" s="448"/>
      <c r="GP268" s="448"/>
      <c r="GQ268" s="448"/>
      <c r="GR268" s="460" t="s">
        <v>329</v>
      </c>
      <c r="GU268" t="s">
        <v>243</v>
      </c>
      <c r="GV268" t="s">
        <v>236</v>
      </c>
      <c r="GW268" t="s">
        <v>244</v>
      </c>
      <c r="GX268" t="s">
        <v>236</v>
      </c>
      <c r="GY268" t="s">
        <v>245</v>
      </c>
      <c r="HE268" t="s">
        <v>246</v>
      </c>
      <c r="HF268" t="s">
        <v>236</v>
      </c>
      <c r="HG268" t="s">
        <v>231</v>
      </c>
      <c r="HH268" t="s">
        <v>236</v>
      </c>
      <c r="HI268" t="s">
        <v>247</v>
      </c>
      <c r="HJ268" t="s">
        <v>223</v>
      </c>
      <c r="HK268" t="s">
        <v>266</v>
      </c>
      <c r="HO268" t="s">
        <v>231</v>
      </c>
      <c r="HP268" t="s">
        <v>223</v>
      </c>
      <c r="HQ268" t="s">
        <v>231</v>
      </c>
      <c r="HR268" t="s">
        <v>223</v>
      </c>
      <c r="HU268" t="s">
        <v>231</v>
      </c>
      <c r="HV268" t="s">
        <v>223</v>
      </c>
      <c r="HW268" t="s">
        <v>246</v>
      </c>
      <c r="HX268" t="s">
        <v>236</v>
      </c>
      <c r="IA268" t="s">
        <v>231</v>
      </c>
      <c r="IB268" t="s">
        <v>250</v>
      </c>
      <c r="IC268" s="447"/>
      <c r="ID268" s="447"/>
      <c r="IE268" s="447"/>
      <c r="IF268" s="447"/>
      <c r="IG268" s="459" t="s">
        <v>451</v>
      </c>
      <c r="IH268" t="s">
        <v>235</v>
      </c>
    </row>
    <row r="269" spans="1:242" ht="58" x14ac:dyDescent="0.35">
      <c r="A269" s="310" t="s">
        <v>1634</v>
      </c>
      <c r="B269" s="313" t="s">
        <v>1635</v>
      </c>
      <c r="C269" s="310" t="s">
        <v>1636</v>
      </c>
      <c r="D269" s="316"/>
      <c r="F269" t="s">
        <v>1636</v>
      </c>
      <c r="I269" s="310" t="s">
        <v>1637</v>
      </c>
      <c r="M269" s="313"/>
      <c r="O269"/>
      <c r="P269" s="381"/>
      <c r="Q269"/>
      <c r="T269" s="8"/>
      <c r="U269"/>
      <c r="V269" s="313"/>
      <c r="W269"/>
      <c r="X269"/>
      <c r="Z269"/>
      <c r="AB269"/>
      <c r="AD269" s="8" t="s">
        <v>230</v>
      </c>
      <c r="AF269" s="8" t="s">
        <v>230</v>
      </c>
      <c r="AG269"/>
      <c r="AH269"/>
      <c r="AI269"/>
      <c r="AJ269" t="s">
        <v>221</v>
      </c>
      <c r="AK269">
        <v>0</v>
      </c>
      <c r="AL269">
        <v>0.5</v>
      </c>
      <c r="AM269" t="s">
        <v>221</v>
      </c>
      <c r="AN269" t="s">
        <v>236</v>
      </c>
      <c r="AO269" t="s">
        <v>221</v>
      </c>
      <c r="AP269" t="s">
        <v>225</v>
      </c>
      <c r="AQ269" t="s">
        <v>221</v>
      </c>
      <c r="AR269" t="s">
        <v>225</v>
      </c>
      <c r="AS269" t="s">
        <v>221</v>
      </c>
      <c r="AT269" t="s">
        <v>225</v>
      </c>
      <c r="AU269" t="s">
        <v>272</v>
      </c>
      <c r="AV269"/>
      <c r="AW269" s="313" t="s">
        <v>227</v>
      </c>
      <c r="AX269" t="s">
        <v>226</v>
      </c>
      <c r="AY269" s="313" t="s">
        <v>227</v>
      </c>
      <c r="AZ269" s="313">
        <v>4.2299999999999997E-2</v>
      </c>
      <c r="BB269" s="313" t="s">
        <v>227</v>
      </c>
      <c r="BC269">
        <v>2.3800000000000002E-2</v>
      </c>
      <c r="BD269" t="s">
        <v>227</v>
      </c>
      <c r="BE269">
        <v>5.1799999999999999E-2</v>
      </c>
      <c r="BF269" s="2" t="s">
        <v>220</v>
      </c>
      <c r="BG269" s="2" t="s">
        <v>273</v>
      </c>
      <c r="BH269" s="2" t="s">
        <v>274</v>
      </c>
      <c r="BI269" s="2" t="s">
        <v>275</v>
      </c>
      <c r="BM269"/>
      <c r="BP269" s="8"/>
      <c r="BQ269" t="s">
        <v>230</v>
      </c>
      <c r="BR269" t="s">
        <v>230</v>
      </c>
      <c r="BU269" t="s">
        <v>231</v>
      </c>
      <c r="BV269" t="s">
        <v>223</v>
      </c>
      <c r="BW269" t="s">
        <v>232</v>
      </c>
      <c r="BX269" t="s">
        <v>500</v>
      </c>
      <c r="BY269" t="s">
        <v>227</v>
      </c>
      <c r="BZ269">
        <v>0.17899999999999999</v>
      </c>
      <c r="CA269" t="s">
        <v>234</v>
      </c>
      <c r="CF269" t="s">
        <v>227</v>
      </c>
      <c r="CG269">
        <v>4.3799999999999999E-2</v>
      </c>
      <c r="CH269" t="s">
        <v>227</v>
      </c>
      <c r="CI269">
        <v>5.4699999999999999E-2</v>
      </c>
      <c r="CK269"/>
      <c r="CL269"/>
      <c r="CM269"/>
      <c r="CS269" s="8"/>
      <c r="CW269" t="s">
        <v>227</v>
      </c>
      <c r="CX269" t="s">
        <v>227</v>
      </c>
      <c r="CY269" t="s">
        <v>231</v>
      </c>
      <c r="CZ269" t="s">
        <v>227</v>
      </c>
      <c r="DA269" t="s">
        <v>227</v>
      </c>
      <c r="DB269" t="s">
        <v>227</v>
      </c>
      <c r="DC269"/>
      <c r="DD269"/>
      <c r="DE269"/>
      <c r="DF269"/>
      <c r="DG269"/>
      <c r="DH269" s="323"/>
      <c r="DI269" s="323"/>
      <c r="DJ269" s="323"/>
      <c r="DL269" t="s">
        <v>227</v>
      </c>
      <c r="DM269" t="s">
        <v>227</v>
      </c>
      <c r="DN269" t="s">
        <v>227</v>
      </c>
      <c r="DO269" t="s">
        <v>227</v>
      </c>
      <c r="DP269" t="s">
        <v>227</v>
      </c>
      <c r="DS269" s="338">
        <v>5263.2219999999998</v>
      </c>
      <c r="DT269" s="8" t="s">
        <v>394</v>
      </c>
      <c r="DU269" s="338">
        <v>425.18700000000001</v>
      </c>
      <c r="DV269" s="8" t="s">
        <v>394</v>
      </c>
      <c r="DW269">
        <v>35.299999999999997</v>
      </c>
      <c r="DX269" t="s">
        <v>238</v>
      </c>
      <c r="DY269">
        <v>1040</v>
      </c>
      <c r="DZ269" t="s">
        <v>238</v>
      </c>
      <c r="EA269"/>
      <c r="EB269"/>
      <c r="ED269" s="410"/>
      <c r="EE269" s="1"/>
      <c r="EG269" s="410"/>
      <c r="EI269" s="410"/>
      <c r="EK269" s="1"/>
      <c r="EM269"/>
      <c r="EQ269" s="344"/>
      <c r="EU269" s="344"/>
      <c r="EW269" s="409"/>
      <c r="EY269" s="1"/>
      <c r="FA269">
        <v>151.01</v>
      </c>
      <c r="FB269" t="s">
        <v>225</v>
      </c>
      <c r="FC269" s="7">
        <v>8033.4112475797438</v>
      </c>
      <c r="FD269" s="357" t="s">
        <v>236</v>
      </c>
      <c r="FE269" s="8">
        <v>3.7307830931847223</v>
      </c>
      <c r="FF269" t="s">
        <v>237</v>
      </c>
      <c r="FH269" s="9">
        <v>2835.3064117606887</v>
      </c>
      <c r="FI269" s="9" t="s">
        <v>236</v>
      </c>
      <c r="FJ269">
        <v>102</v>
      </c>
      <c r="FK269" t="s">
        <v>238</v>
      </c>
      <c r="FL269">
        <v>53.7</v>
      </c>
      <c r="FM269">
        <v>73.113908348341823</v>
      </c>
      <c r="FN269" s="5" t="s">
        <v>237</v>
      </c>
      <c r="FP269" s="6">
        <v>5.37</v>
      </c>
      <c r="FQ269" t="s">
        <v>239</v>
      </c>
      <c r="FS269" t="s">
        <v>240</v>
      </c>
      <c r="FU269" s="8">
        <v>1</v>
      </c>
      <c r="FV269" s="8">
        <v>10</v>
      </c>
      <c r="FW269" s="8">
        <v>10</v>
      </c>
      <c r="FX269" s="8">
        <v>10</v>
      </c>
      <c r="FY269" s="8">
        <v>3</v>
      </c>
      <c r="FZ269">
        <f t="shared" si="4"/>
        <v>3000</v>
      </c>
      <c r="GA269" s="7" t="s">
        <v>241</v>
      </c>
      <c r="GB269" s="7" t="s">
        <v>241</v>
      </c>
      <c r="GC269" s="6">
        <v>30</v>
      </c>
      <c r="GD269" s="348" t="s">
        <v>242</v>
      </c>
      <c r="GF269" s="6">
        <v>1.7899999999999999E-2</v>
      </c>
      <c r="GH269" s="7"/>
      <c r="GI269" s="445"/>
      <c r="GJ269" s="445"/>
      <c r="GK269" s="445"/>
      <c r="GL269" s="445"/>
      <c r="GM269" s="460" t="s">
        <v>329</v>
      </c>
      <c r="GN269" s="448"/>
      <c r="GO269" s="448"/>
      <c r="GP269" s="448"/>
      <c r="GQ269" s="448"/>
      <c r="GR269" s="460" t="s">
        <v>329</v>
      </c>
      <c r="GU269" t="s">
        <v>243</v>
      </c>
      <c r="GV269" t="s">
        <v>236</v>
      </c>
      <c r="GW269" t="s">
        <v>244</v>
      </c>
      <c r="GX269" t="s">
        <v>236</v>
      </c>
      <c r="GY269" t="s">
        <v>245</v>
      </c>
      <c r="HE269" t="s">
        <v>246</v>
      </c>
      <c r="HF269" t="s">
        <v>236</v>
      </c>
      <c r="HG269" t="s">
        <v>231</v>
      </c>
      <c r="HH269" t="s">
        <v>236</v>
      </c>
      <c r="HI269" t="s">
        <v>247</v>
      </c>
      <c r="HJ269" t="s">
        <v>225</v>
      </c>
      <c r="HK269" t="s">
        <v>568</v>
      </c>
      <c r="HO269" t="s">
        <v>231</v>
      </c>
      <c r="HP269" t="s">
        <v>223</v>
      </c>
      <c r="HQ269" t="s">
        <v>231</v>
      </c>
      <c r="HR269" t="s">
        <v>223</v>
      </c>
      <c r="HU269" t="s">
        <v>231</v>
      </c>
      <c r="HV269" t="s">
        <v>225</v>
      </c>
      <c r="HW269" t="s">
        <v>246</v>
      </c>
      <c r="HX269" t="s">
        <v>236</v>
      </c>
      <c r="IA269" t="s">
        <v>231</v>
      </c>
      <c r="IB269" t="s">
        <v>250</v>
      </c>
      <c r="IC269" s="447"/>
      <c r="ID269" s="447"/>
      <c r="IE269" s="447"/>
      <c r="IF269" s="447"/>
      <c r="IG269" s="459" t="s">
        <v>451</v>
      </c>
      <c r="IH269" t="s">
        <v>235</v>
      </c>
    </row>
    <row r="270" spans="1:242" ht="58" x14ac:dyDescent="0.35">
      <c r="A270" s="310" t="s">
        <v>1638</v>
      </c>
      <c r="B270" s="313" t="s">
        <v>1639</v>
      </c>
      <c r="C270" s="310" t="s">
        <v>1640</v>
      </c>
      <c r="D270" s="316"/>
      <c r="F270" t="s">
        <v>1640</v>
      </c>
      <c r="I270" s="310" t="s">
        <v>1641</v>
      </c>
      <c r="M270" s="313"/>
      <c r="O270"/>
      <c r="P270" s="381"/>
      <c r="Q270"/>
      <c r="T270" s="8"/>
      <c r="U270"/>
      <c r="V270" s="313"/>
      <c r="W270" t="s">
        <v>301</v>
      </c>
      <c r="X270"/>
      <c r="Z270"/>
      <c r="AB270"/>
      <c r="AD270" s="8" t="s">
        <v>230</v>
      </c>
      <c r="AF270" s="8" t="s">
        <v>230</v>
      </c>
      <c r="AG270"/>
      <c r="AH270"/>
      <c r="AI270"/>
      <c r="AJ270" t="s">
        <v>221</v>
      </c>
      <c r="AK270">
        <v>0</v>
      </c>
      <c r="AL270">
        <v>0.82499999999999996</v>
      </c>
      <c r="AM270" t="s">
        <v>221</v>
      </c>
      <c r="AN270" t="s">
        <v>223</v>
      </c>
      <c r="AO270" t="s">
        <v>221</v>
      </c>
      <c r="AP270" t="s">
        <v>223</v>
      </c>
      <c r="AQ270" t="s">
        <v>221</v>
      </c>
      <c r="AR270" t="s">
        <v>225</v>
      </c>
      <c r="AS270" t="s">
        <v>221</v>
      </c>
      <c r="AT270" t="s">
        <v>223</v>
      </c>
      <c r="AU270" t="s">
        <v>272</v>
      </c>
      <c r="AV270"/>
      <c r="AW270" s="313" t="s">
        <v>227</v>
      </c>
      <c r="AX270" t="s">
        <v>226</v>
      </c>
      <c r="AY270" s="313" t="s">
        <v>227</v>
      </c>
      <c r="AZ270" s="313">
        <v>4.6199999999999998E-2</v>
      </c>
      <c r="BB270" s="313" t="s">
        <v>227</v>
      </c>
      <c r="BC270">
        <v>2.3800000000000002E-2</v>
      </c>
      <c r="BD270" t="s">
        <v>227</v>
      </c>
      <c r="BE270">
        <v>6.6900000000000001E-2</v>
      </c>
      <c r="BF270" s="2" t="s">
        <v>220</v>
      </c>
      <c r="BG270" s="2" t="s">
        <v>273</v>
      </c>
      <c r="BH270" s="2" t="s">
        <v>274</v>
      </c>
      <c r="BI270" s="2" t="s">
        <v>275</v>
      </c>
      <c r="BK270" s="2" t="s">
        <v>352</v>
      </c>
      <c r="BM270"/>
      <c r="BP270" s="8"/>
      <c r="BQ270" t="s">
        <v>230</v>
      </c>
      <c r="BR270" t="s">
        <v>230</v>
      </c>
      <c r="BU270" t="s">
        <v>231</v>
      </c>
      <c r="BV270" t="s">
        <v>223</v>
      </c>
      <c r="BW270" t="s">
        <v>232</v>
      </c>
      <c r="BX270" t="s">
        <v>500</v>
      </c>
      <c r="BY270" t="s">
        <v>227</v>
      </c>
      <c r="BZ270">
        <v>0.216</v>
      </c>
      <c r="CA270" t="s">
        <v>234</v>
      </c>
      <c r="CF270" t="s">
        <v>227</v>
      </c>
      <c r="CG270">
        <v>9.3100000000000002E-2</v>
      </c>
      <c r="CH270" t="s">
        <v>227</v>
      </c>
      <c r="CI270">
        <v>0.10299999999999999</v>
      </c>
      <c r="CK270"/>
      <c r="CL270"/>
      <c r="CM270"/>
      <c r="CS270" s="8"/>
      <c r="CW270" t="s">
        <v>227</v>
      </c>
      <c r="CX270" t="s">
        <v>227</v>
      </c>
      <c r="CY270" t="s">
        <v>231</v>
      </c>
      <c r="CZ270" t="s">
        <v>227</v>
      </c>
      <c r="DA270" t="s">
        <v>227</v>
      </c>
      <c r="DB270" t="s">
        <v>227</v>
      </c>
      <c r="DC270"/>
      <c r="DD270"/>
      <c r="DE270"/>
      <c r="DF270"/>
      <c r="DG270"/>
      <c r="DH270" s="323"/>
      <c r="DI270" s="323"/>
      <c r="DJ270" s="323"/>
      <c r="DL270" t="s">
        <v>227</v>
      </c>
      <c r="DM270" t="s">
        <v>227</v>
      </c>
      <c r="DN270" t="s">
        <v>227</v>
      </c>
      <c r="DO270" t="s">
        <v>227</v>
      </c>
      <c r="DP270" t="s">
        <v>227</v>
      </c>
      <c r="DS270" s="338">
        <v>1170.1179999999999</v>
      </c>
      <c r="DT270" s="8" t="s">
        <v>394</v>
      </c>
      <c r="DU270" s="309">
        <v>306.13499999999999</v>
      </c>
      <c r="DW270">
        <v>28.9</v>
      </c>
      <c r="DX270" t="s">
        <v>238</v>
      </c>
      <c r="DY270">
        <v>610</v>
      </c>
      <c r="DZ270" t="s">
        <v>238</v>
      </c>
      <c r="EA270"/>
      <c r="EB270"/>
      <c r="ED270" s="410"/>
      <c r="EE270" s="1"/>
      <c r="EG270" s="410"/>
      <c r="EI270" s="410"/>
      <c r="EK270" s="1"/>
      <c r="EM270"/>
      <c r="EQ270" s="344"/>
      <c r="EU270" s="344"/>
      <c r="EW270" s="409"/>
      <c r="EY270" s="1"/>
      <c r="FA270">
        <v>73</v>
      </c>
      <c r="FB270" t="s">
        <v>225</v>
      </c>
      <c r="FC270" s="7">
        <v>941.45594019472594</v>
      </c>
      <c r="FD270" s="357" t="s">
        <v>236</v>
      </c>
      <c r="FE270" s="8">
        <v>8.8328326049182078</v>
      </c>
      <c r="FF270" t="s">
        <v>237</v>
      </c>
      <c r="FH270" s="9">
        <v>425.59841313374341</v>
      </c>
      <c r="FI270" s="9" t="s">
        <v>236</v>
      </c>
      <c r="FJ270">
        <v>65</v>
      </c>
      <c r="FK270" t="s">
        <v>238</v>
      </c>
      <c r="FL270">
        <v>81</v>
      </c>
      <c r="FM270">
        <v>81.114781003793723</v>
      </c>
      <c r="FN270" s="5" t="s">
        <v>237</v>
      </c>
      <c r="FP270" s="6">
        <v>6.5</v>
      </c>
      <c r="FQ270" t="s">
        <v>450</v>
      </c>
      <c r="FS270" t="s">
        <v>240</v>
      </c>
      <c r="FU270" s="8">
        <v>1</v>
      </c>
      <c r="FV270" s="8">
        <v>10</v>
      </c>
      <c r="FW270" s="8">
        <v>10</v>
      </c>
      <c r="FX270" s="8">
        <v>10</v>
      </c>
      <c r="FY270" s="8">
        <v>3</v>
      </c>
      <c r="FZ270">
        <f t="shared" si="4"/>
        <v>3000</v>
      </c>
      <c r="GA270" s="7" t="s">
        <v>241</v>
      </c>
      <c r="GB270" s="7" t="s">
        <v>241</v>
      </c>
      <c r="GC270" s="6">
        <v>30</v>
      </c>
      <c r="GD270" s="348" t="s">
        <v>242</v>
      </c>
      <c r="GF270" s="6">
        <v>2.1666666666666664E-2</v>
      </c>
      <c r="GH270" s="7"/>
      <c r="GI270" s="445"/>
      <c r="GJ270" s="445"/>
      <c r="GK270" s="445"/>
      <c r="GL270" s="445"/>
      <c r="GM270" s="460" t="s">
        <v>329</v>
      </c>
      <c r="GN270" s="448"/>
      <c r="GO270" s="448"/>
      <c r="GP270" s="448"/>
      <c r="GQ270" s="448"/>
      <c r="GR270" s="460" t="s">
        <v>329</v>
      </c>
      <c r="GU270" t="s">
        <v>243</v>
      </c>
      <c r="GV270" t="s">
        <v>236</v>
      </c>
      <c r="GW270" t="s">
        <v>244</v>
      </c>
      <c r="GX270" t="s">
        <v>236</v>
      </c>
      <c r="GY270" t="s">
        <v>245</v>
      </c>
      <c r="HE270" t="s">
        <v>246</v>
      </c>
      <c r="HF270" t="s">
        <v>236</v>
      </c>
      <c r="HG270" t="s">
        <v>231</v>
      </c>
      <c r="HH270" t="s">
        <v>236</v>
      </c>
      <c r="HI270" t="s">
        <v>247</v>
      </c>
      <c r="HJ270" t="s">
        <v>223</v>
      </c>
      <c r="HK270" t="s">
        <v>266</v>
      </c>
      <c r="HO270" t="s">
        <v>231</v>
      </c>
      <c r="HP270" t="s">
        <v>223</v>
      </c>
      <c r="HQ270" t="s">
        <v>231</v>
      </c>
      <c r="HR270" t="s">
        <v>223</v>
      </c>
      <c r="HU270" t="s">
        <v>231</v>
      </c>
      <c r="HV270" t="s">
        <v>223</v>
      </c>
      <c r="HW270" t="s">
        <v>246</v>
      </c>
      <c r="HX270" t="s">
        <v>236</v>
      </c>
      <c r="IA270" t="s">
        <v>231</v>
      </c>
      <c r="IB270" t="s">
        <v>250</v>
      </c>
      <c r="IC270" s="447"/>
      <c r="ID270" s="447"/>
      <c r="IE270" s="447"/>
      <c r="IF270" s="447"/>
      <c r="IG270" s="459" t="s">
        <v>451</v>
      </c>
      <c r="IH270" t="s">
        <v>235</v>
      </c>
    </row>
    <row r="271" spans="1:242" ht="58" x14ac:dyDescent="0.35">
      <c r="A271" s="310" t="s">
        <v>1642</v>
      </c>
      <c r="B271" s="313" t="s">
        <v>1643</v>
      </c>
      <c r="C271" s="310" t="s">
        <v>1644</v>
      </c>
      <c r="D271" s="316"/>
      <c r="F271" t="s">
        <v>1644</v>
      </c>
      <c r="I271" s="310" t="s">
        <v>1645</v>
      </c>
      <c r="M271" s="313"/>
      <c r="O271"/>
      <c r="P271" s="381"/>
      <c r="Q271"/>
      <c r="T271" s="8"/>
      <c r="U271"/>
      <c r="V271" s="313"/>
      <c r="W271"/>
      <c r="X271"/>
      <c r="Z271"/>
      <c r="AB271"/>
      <c r="AD271" s="8" t="s">
        <v>230</v>
      </c>
      <c r="AF271" s="8" t="s">
        <v>230</v>
      </c>
      <c r="AG271"/>
      <c r="AH271"/>
      <c r="AI271"/>
      <c r="AJ271" t="s">
        <v>221</v>
      </c>
      <c r="AK271">
        <v>0</v>
      </c>
      <c r="AL271">
        <v>0.5</v>
      </c>
      <c r="AM271" t="s">
        <v>221</v>
      </c>
      <c r="AN271" t="s">
        <v>236</v>
      </c>
      <c r="AO271" t="s">
        <v>221</v>
      </c>
      <c r="AP271" t="s">
        <v>225</v>
      </c>
      <c r="AQ271" t="s">
        <v>221</v>
      </c>
      <c r="AR271" t="s">
        <v>225</v>
      </c>
      <c r="AS271" t="s">
        <v>221</v>
      </c>
      <c r="AT271" t="s">
        <v>225</v>
      </c>
      <c r="AU271" t="s">
        <v>272</v>
      </c>
      <c r="AV271"/>
      <c r="AW271" s="313" t="s">
        <v>227</v>
      </c>
      <c r="AX271" t="s">
        <v>226</v>
      </c>
      <c r="AY271" s="313" t="s">
        <v>227</v>
      </c>
      <c r="AZ271" s="313">
        <v>4.2099999999999999E-2</v>
      </c>
      <c r="BB271" s="313" t="s">
        <v>227</v>
      </c>
      <c r="BC271">
        <v>2.3900000000000001E-2</v>
      </c>
      <c r="BD271" t="s">
        <v>227</v>
      </c>
      <c r="BE271">
        <v>5.16E-2</v>
      </c>
      <c r="BF271" s="2" t="s">
        <v>220</v>
      </c>
      <c r="BG271" s="2" t="s">
        <v>273</v>
      </c>
      <c r="BH271" s="2" t="s">
        <v>274</v>
      </c>
      <c r="BI271" s="2" t="s">
        <v>275</v>
      </c>
      <c r="BM271"/>
      <c r="BP271" s="8"/>
      <c r="BQ271" t="s">
        <v>230</v>
      </c>
      <c r="BR271" t="s">
        <v>230</v>
      </c>
      <c r="BU271" t="s">
        <v>231</v>
      </c>
      <c r="BV271" t="s">
        <v>223</v>
      </c>
      <c r="BW271" t="s">
        <v>232</v>
      </c>
      <c r="BX271" t="s">
        <v>500</v>
      </c>
      <c r="BY271" t="s">
        <v>227</v>
      </c>
      <c r="BZ271">
        <v>0.17799999999999999</v>
      </c>
      <c r="CA271" t="s">
        <v>234</v>
      </c>
      <c r="CF271" t="s">
        <v>227</v>
      </c>
      <c r="CG271">
        <v>4.2200000000000001E-2</v>
      </c>
      <c r="CH271" t="s">
        <v>227</v>
      </c>
      <c r="CI271">
        <v>5.3600000000000002E-2</v>
      </c>
      <c r="CK271"/>
      <c r="CL271"/>
      <c r="CM271"/>
      <c r="CS271" s="8"/>
      <c r="CW271" t="s">
        <v>227</v>
      </c>
      <c r="CX271" t="s">
        <v>227</v>
      </c>
      <c r="CY271" t="s">
        <v>231</v>
      </c>
      <c r="CZ271" t="s">
        <v>227</v>
      </c>
      <c r="DA271" t="s">
        <v>227</v>
      </c>
      <c r="DB271" t="s">
        <v>227</v>
      </c>
      <c r="DC271"/>
      <c r="DD271"/>
      <c r="DE271"/>
      <c r="DF271"/>
      <c r="DG271"/>
      <c r="DH271" s="323"/>
      <c r="DI271" s="323"/>
      <c r="DJ271" s="323"/>
      <c r="DL271" t="s">
        <v>227</v>
      </c>
      <c r="DM271" t="s">
        <v>227</v>
      </c>
      <c r="DN271" t="s">
        <v>227</v>
      </c>
      <c r="DO271" t="s">
        <v>227</v>
      </c>
      <c r="DP271" t="s">
        <v>227</v>
      </c>
      <c r="DS271" s="338">
        <v>5708.38</v>
      </c>
      <c r="DT271" s="8" t="s">
        <v>394</v>
      </c>
      <c r="DU271" s="338">
        <v>433.44600000000003</v>
      </c>
      <c r="DV271" s="8" t="s">
        <v>394</v>
      </c>
      <c r="DW271">
        <v>40.4</v>
      </c>
      <c r="DX271" t="s">
        <v>238</v>
      </c>
      <c r="DY271">
        <v>1030</v>
      </c>
      <c r="DZ271" t="s">
        <v>238</v>
      </c>
      <c r="EA271"/>
      <c r="EB271"/>
      <c r="ED271" s="410"/>
      <c r="EE271" s="1"/>
      <c r="EG271" s="410"/>
      <c r="EI271" s="410"/>
      <c r="EK271" s="1"/>
      <c r="EM271"/>
      <c r="EQ271" s="344"/>
      <c r="EU271" s="344"/>
      <c r="EW271" s="409"/>
      <c r="EY271" s="1"/>
      <c r="FA271">
        <v>159.06</v>
      </c>
      <c r="FB271" t="s">
        <v>225</v>
      </c>
      <c r="FC271" s="7">
        <v>9362.6761148791211</v>
      </c>
      <c r="FD271" s="357" t="s">
        <v>236</v>
      </c>
      <c r="FE271" s="8">
        <v>3.5083264685516555</v>
      </c>
      <c r="FF271" t="s">
        <v>237</v>
      </c>
      <c r="FH271" s="9">
        <v>3247.1324216780281</v>
      </c>
      <c r="FI271" s="9" t="s">
        <v>236</v>
      </c>
      <c r="FJ271">
        <v>100</v>
      </c>
      <c r="FK271" t="s">
        <v>238</v>
      </c>
      <c r="FL271">
        <v>51.5</v>
      </c>
      <c r="FM271">
        <v>72.56045544075063</v>
      </c>
      <c r="FN271" s="5" t="s">
        <v>237</v>
      </c>
      <c r="FP271" s="6">
        <v>5.15</v>
      </c>
      <c r="FQ271" t="s">
        <v>239</v>
      </c>
      <c r="FS271" t="s">
        <v>240</v>
      </c>
      <c r="FU271" s="8">
        <v>1</v>
      </c>
      <c r="FV271" s="8">
        <v>10</v>
      </c>
      <c r="FW271" s="8">
        <v>10</v>
      </c>
      <c r="FX271" s="8">
        <v>10</v>
      </c>
      <c r="FY271" s="8">
        <v>3</v>
      </c>
      <c r="FZ271">
        <f t="shared" si="4"/>
        <v>3000</v>
      </c>
      <c r="GA271" s="7" t="s">
        <v>241</v>
      </c>
      <c r="GB271" s="7" t="s">
        <v>241</v>
      </c>
      <c r="GC271" s="6">
        <v>30</v>
      </c>
      <c r="GD271" s="348" t="s">
        <v>242</v>
      </c>
      <c r="GF271" s="6">
        <v>1.7166666666666667E-2</v>
      </c>
      <c r="GH271" s="7"/>
      <c r="GI271" s="445"/>
      <c r="GJ271" s="445"/>
      <c r="GK271" s="445"/>
      <c r="GL271" s="445"/>
      <c r="GM271" s="460" t="s">
        <v>329</v>
      </c>
      <c r="GN271" s="448"/>
      <c r="GO271" s="448"/>
      <c r="GP271" s="448"/>
      <c r="GQ271" s="448"/>
      <c r="GR271" s="460" t="s">
        <v>329</v>
      </c>
      <c r="GU271" t="s">
        <v>243</v>
      </c>
      <c r="GV271" t="s">
        <v>236</v>
      </c>
      <c r="GW271" t="s">
        <v>244</v>
      </c>
      <c r="GX271" t="s">
        <v>236</v>
      </c>
      <c r="GY271" t="s">
        <v>245</v>
      </c>
      <c r="HE271" t="s">
        <v>246</v>
      </c>
      <c r="HF271" t="s">
        <v>236</v>
      </c>
      <c r="HG271" t="s">
        <v>231</v>
      </c>
      <c r="HH271" t="s">
        <v>236</v>
      </c>
      <c r="HI271" t="s">
        <v>247</v>
      </c>
      <c r="HJ271" t="s">
        <v>225</v>
      </c>
      <c r="HK271" t="s">
        <v>568</v>
      </c>
      <c r="HO271" t="s">
        <v>231</v>
      </c>
      <c r="HP271" t="s">
        <v>223</v>
      </c>
      <c r="HQ271" t="s">
        <v>231</v>
      </c>
      <c r="HR271" t="s">
        <v>223</v>
      </c>
      <c r="HU271" t="s">
        <v>231</v>
      </c>
      <c r="HV271" t="s">
        <v>225</v>
      </c>
      <c r="HW271" t="s">
        <v>246</v>
      </c>
      <c r="HX271" t="s">
        <v>236</v>
      </c>
      <c r="IA271" t="s">
        <v>231</v>
      </c>
      <c r="IB271" t="s">
        <v>250</v>
      </c>
      <c r="IC271" s="447"/>
      <c r="ID271" s="447"/>
      <c r="IE271" s="447"/>
      <c r="IF271" s="447"/>
      <c r="IG271" s="459" t="s">
        <v>451</v>
      </c>
      <c r="IH271" t="s">
        <v>235</v>
      </c>
    </row>
    <row r="272" spans="1:242" ht="58" x14ac:dyDescent="0.35">
      <c r="A272" s="310" t="s">
        <v>1646</v>
      </c>
      <c r="B272" s="313" t="s">
        <v>1647</v>
      </c>
      <c r="C272" s="310" t="s">
        <v>1648</v>
      </c>
      <c r="D272" s="316"/>
      <c r="F272" t="s">
        <v>1648</v>
      </c>
      <c r="I272" s="310" t="s">
        <v>1649</v>
      </c>
      <c r="M272" s="313"/>
      <c r="O272"/>
      <c r="P272" s="381"/>
      <c r="Q272"/>
      <c r="T272" s="8"/>
      <c r="U272"/>
      <c r="V272" s="313"/>
      <c r="W272"/>
      <c r="X272"/>
      <c r="Z272"/>
      <c r="AB272"/>
      <c r="AD272" s="8" t="s">
        <v>230</v>
      </c>
      <c r="AF272" s="8" t="s">
        <v>230</v>
      </c>
      <c r="AG272"/>
      <c r="AH272"/>
      <c r="AI272"/>
      <c r="AJ272" t="s">
        <v>221</v>
      </c>
      <c r="AK272">
        <v>0</v>
      </c>
      <c r="AL272">
        <v>0.82499999999999996</v>
      </c>
      <c r="AM272" t="s">
        <v>221</v>
      </c>
      <c r="AN272" t="s">
        <v>223</v>
      </c>
      <c r="AO272" t="s">
        <v>221</v>
      </c>
      <c r="AP272" t="s">
        <v>223</v>
      </c>
      <c r="AQ272" t="s">
        <v>221</v>
      </c>
      <c r="AR272" t="s">
        <v>225</v>
      </c>
      <c r="AS272" t="s">
        <v>221</v>
      </c>
      <c r="AT272" t="s">
        <v>223</v>
      </c>
      <c r="AU272" t="s">
        <v>272</v>
      </c>
      <c r="AV272"/>
      <c r="AW272" s="313" t="s">
        <v>227</v>
      </c>
      <c r="AX272" t="s">
        <v>226</v>
      </c>
      <c r="AY272" s="313" t="s">
        <v>227</v>
      </c>
      <c r="AZ272" s="313">
        <v>4.65E-2</v>
      </c>
      <c r="BB272" s="313" t="s">
        <v>227</v>
      </c>
      <c r="BC272">
        <v>2.3800000000000002E-2</v>
      </c>
      <c r="BD272" t="s">
        <v>227</v>
      </c>
      <c r="BE272">
        <v>6.88E-2</v>
      </c>
      <c r="BF272" s="2" t="s">
        <v>220</v>
      </c>
      <c r="BG272" s="2" t="s">
        <v>273</v>
      </c>
      <c r="BH272" s="2" t="s">
        <v>274</v>
      </c>
      <c r="BI272" s="2" t="s">
        <v>275</v>
      </c>
      <c r="BM272"/>
      <c r="BP272" s="8"/>
      <c r="BQ272" t="s">
        <v>230</v>
      </c>
      <c r="BR272" t="s">
        <v>230</v>
      </c>
      <c r="BU272" t="s">
        <v>231</v>
      </c>
      <c r="BV272" t="s">
        <v>223</v>
      </c>
      <c r="BW272" t="s">
        <v>232</v>
      </c>
      <c r="BX272" t="s">
        <v>500</v>
      </c>
      <c r="BY272" t="s">
        <v>227</v>
      </c>
      <c r="BZ272">
        <v>0.221</v>
      </c>
      <c r="CA272" t="s">
        <v>234</v>
      </c>
      <c r="CF272" t="s">
        <v>227</v>
      </c>
      <c r="CG272">
        <v>9.9400000000000002E-2</v>
      </c>
      <c r="CH272" t="s">
        <v>227</v>
      </c>
      <c r="CI272">
        <v>0.109</v>
      </c>
      <c r="CK272"/>
      <c r="CL272"/>
      <c r="CM272"/>
      <c r="CS272" s="8"/>
      <c r="CW272" t="s">
        <v>227</v>
      </c>
      <c r="CX272" t="s">
        <v>227</v>
      </c>
      <c r="CY272" t="s">
        <v>231</v>
      </c>
      <c r="CZ272" t="s">
        <v>227</v>
      </c>
      <c r="DA272" t="s">
        <v>227</v>
      </c>
      <c r="DB272" t="s">
        <v>227</v>
      </c>
      <c r="DC272"/>
      <c r="DD272"/>
      <c r="DE272"/>
      <c r="DF272"/>
      <c r="DG272"/>
      <c r="DH272" s="323"/>
      <c r="DI272" s="323"/>
      <c r="DJ272" s="323"/>
      <c r="DL272" t="s">
        <v>227</v>
      </c>
      <c r="DM272" t="s">
        <v>227</v>
      </c>
      <c r="DN272" t="s">
        <v>227</v>
      </c>
      <c r="DO272" t="s">
        <v>227</v>
      </c>
      <c r="DP272" t="s">
        <v>227</v>
      </c>
      <c r="DS272" s="338">
        <v>1027.828</v>
      </c>
      <c r="DT272" s="8" t="s">
        <v>394</v>
      </c>
      <c r="DU272" s="309">
        <v>297.20800000000003</v>
      </c>
      <c r="DW272">
        <v>20.7</v>
      </c>
      <c r="DX272" t="s">
        <v>238</v>
      </c>
      <c r="DY272">
        <v>591</v>
      </c>
      <c r="DZ272" t="s">
        <v>238</v>
      </c>
      <c r="EA272"/>
      <c r="EB272"/>
      <c r="ED272" s="410"/>
      <c r="EE272" s="1"/>
      <c r="EG272" s="410"/>
      <c r="EI272" s="410"/>
      <c r="EK272" s="1"/>
      <c r="EM272"/>
      <c r="EQ272" s="344"/>
      <c r="EU272" s="344"/>
      <c r="EW272" s="409"/>
      <c r="EY272" s="1"/>
      <c r="FA272">
        <v>69.31</v>
      </c>
      <c r="FB272" t="s">
        <v>225</v>
      </c>
      <c r="FC272" s="7">
        <v>807.79284109185619</v>
      </c>
      <c r="FD272" s="357" t="s">
        <v>236</v>
      </c>
      <c r="FE272" s="8">
        <v>9.3929065161839933</v>
      </c>
      <c r="FF272" t="s">
        <v>237</v>
      </c>
      <c r="FH272" s="9">
        <v>371.70636679606787</v>
      </c>
      <c r="FI272" s="9" t="s">
        <v>236</v>
      </c>
      <c r="FJ272">
        <v>54.9</v>
      </c>
      <c r="FK272" t="s">
        <v>238</v>
      </c>
      <c r="FL272">
        <v>82.2</v>
      </c>
      <c r="FM272">
        <v>81.714664134675189</v>
      </c>
      <c r="FN272" s="5" t="s">
        <v>237</v>
      </c>
      <c r="FP272" s="6">
        <v>5.49</v>
      </c>
      <c r="FQ272" t="s">
        <v>450</v>
      </c>
      <c r="FS272" t="s">
        <v>240</v>
      </c>
      <c r="FU272" s="8">
        <v>1</v>
      </c>
      <c r="FV272" s="8">
        <v>10</v>
      </c>
      <c r="FW272" s="8">
        <v>10</v>
      </c>
      <c r="FX272" s="8">
        <v>10</v>
      </c>
      <c r="FY272" s="8">
        <v>3</v>
      </c>
      <c r="FZ272">
        <f t="shared" si="4"/>
        <v>3000</v>
      </c>
      <c r="GA272" s="7" t="s">
        <v>241</v>
      </c>
      <c r="GB272" s="7" t="s">
        <v>241</v>
      </c>
      <c r="GC272" s="6">
        <v>30</v>
      </c>
      <c r="GD272" s="348" t="s">
        <v>242</v>
      </c>
      <c r="GF272" s="6">
        <v>1.83E-2</v>
      </c>
      <c r="GH272" s="7"/>
      <c r="GI272" s="445"/>
      <c r="GJ272" s="445"/>
      <c r="GK272" s="445"/>
      <c r="GL272" s="445"/>
      <c r="GM272" s="460" t="s">
        <v>329</v>
      </c>
      <c r="GN272" s="448"/>
      <c r="GO272" s="448"/>
      <c r="GP272" s="448"/>
      <c r="GQ272" s="448"/>
      <c r="GR272" s="460" t="s">
        <v>329</v>
      </c>
      <c r="GU272" t="s">
        <v>243</v>
      </c>
      <c r="GV272" t="s">
        <v>236</v>
      </c>
      <c r="GW272" t="s">
        <v>244</v>
      </c>
      <c r="GX272" t="s">
        <v>236</v>
      </c>
      <c r="GY272" t="s">
        <v>245</v>
      </c>
      <c r="HE272" t="s">
        <v>246</v>
      </c>
      <c r="HF272" t="s">
        <v>236</v>
      </c>
      <c r="HG272" t="s">
        <v>231</v>
      </c>
      <c r="HH272" t="s">
        <v>236</v>
      </c>
      <c r="HI272" t="s">
        <v>247</v>
      </c>
      <c r="HJ272" t="s">
        <v>223</v>
      </c>
      <c r="HK272" t="s">
        <v>266</v>
      </c>
      <c r="HO272" t="s">
        <v>231</v>
      </c>
      <c r="HP272" t="s">
        <v>223</v>
      </c>
      <c r="HQ272" t="s">
        <v>231</v>
      </c>
      <c r="HR272" t="s">
        <v>223</v>
      </c>
      <c r="HU272" t="s">
        <v>231</v>
      </c>
      <c r="HV272" t="s">
        <v>223</v>
      </c>
      <c r="HW272" t="s">
        <v>246</v>
      </c>
      <c r="HX272" t="s">
        <v>236</v>
      </c>
      <c r="IA272" t="s">
        <v>231</v>
      </c>
      <c r="IB272" t="s">
        <v>250</v>
      </c>
      <c r="IC272" s="447"/>
      <c r="ID272" s="447"/>
      <c r="IE272" s="447"/>
      <c r="IF272" s="447"/>
      <c r="IG272" s="459" t="s">
        <v>451</v>
      </c>
      <c r="IH272" t="s">
        <v>235</v>
      </c>
    </row>
    <row r="273" spans="1:242" ht="58" x14ac:dyDescent="0.35">
      <c r="A273" s="310" t="s">
        <v>1650</v>
      </c>
      <c r="B273" s="313" t="s">
        <v>1651</v>
      </c>
      <c r="C273" s="310" t="s">
        <v>1652</v>
      </c>
      <c r="D273" s="316"/>
      <c r="F273" t="s">
        <v>1652</v>
      </c>
      <c r="I273" s="310" t="s">
        <v>1653</v>
      </c>
      <c r="M273" s="313"/>
      <c r="O273"/>
      <c r="P273" s="381"/>
      <c r="Q273"/>
      <c r="T273" s="8"/>
      <c r="U273"/>
      <c r="V273" s="313"/>
      <c r="W273"/>
      <c r="X273"/>
      <c r="Z273"/>
      <c r="AB273"/>
      <c r="AD273" s="8" t="s">
        <v>230</v>
      </c>
      <c r="AF273" s="8" t="s">
        <v>230</v>
      </c>
      <c r="AG273"/>
      <c r="AH273"/>
      <c r="AI273"/>
      <c r="AJ273" t="s">
        <v>221</v>
      </c>
      <c r="AK273">
        <v>0</v>
      </c>
      <c r="AL273">
        <v>0.5</v>
      </c>
      <c r="AM273" t="s">
        <v>221</v>
      </c>
      <c r="AN273" t="s">
        <v>236</v>
      </c>
      <c r="AO273" t="s">
        <v>221</v>
      </c>
      <c r="AP273" t="s">
        <v>225</v>
      </c>
      <c r="AQ273" t="s">
        <v>221</v>
      </c>
      <c r="AR273" t="s">
        <v>225</v>
      </c>
      <c r="AS273" t="s">
        <v>221</v>
      </c>
      <c r="AT273" t="s">
        <v>225</v>
      </c>
      <c r="AU273" t="s">
        <v>272</v>
      </c>
      <c r="AV273"/>
      <c r="AW273" s="313" t="s">
        <v>227</v>
      </c>
      <c r="AX273" t="s">
        <v>226</v>
      </c>
      <c r="AY273" s="313" t="s">
        <v>227</v>
      </c>
      <c r="AZ273" s="313">
        <v>4.1799999999999997E-2</v>
      </c>
      <c r="BB273" s="313" t="s">
        <v>227</v>
      </c>
      <c r="BC273">
        <v>2.3900000000000001E-2</v>
      </c>
      <c r="BD273" t="s">
        <v>227</v>
      </c>
      <c r="BE273">
        <v>5.1400000000000001E-2</v>
      </c>
      <c r="BF273" s="2" t="s">
        <v>220</v>
      </c>
      <c r="BG273" s="2" t="s">
        <v>273</v>
      </c>
      <c r="BH273" s="2" t="s">
        <v>274</v>
      </c>
      <c r="BI273" s="2" t="s">
        <v>275</v>
      </c>
      <c r="BM273"/>
      <c r="BP273" s="8"/>
      <c r="BQ273" t="s">
        <v>230</v>
      </c>
      <c r="BR273" t="s">
        <v>230</v>
      </c>
      <c r="BU273" t="s">
        <v>231</v>
      </c>
      <c r="BV273" t="s">
        <v>223</v>
      </c>
      <c r="BW273" t="s">
        <v>232</v>
      </c>
      <c r="BX273" t="s">
        <v>500</v>
      </c>
      <c r="BY273" t="s">
        <v>227</v>
      </c>
      <c r="BZ273">
        <v>0.17699999999999999</v>
      </c>
      <c r="CA273" t="s">
        <v>234</v>
      </c>
      <c r="CF273" t="s">
        <v>227</v>
      </c>
      <c r="CG273">
        <v>4.07E-2</v>
      </c>
      <c r="CH273" t="s">
        <v>227</v>
      </c>
      <c r="CI273">
        <v>5.2499999999999998E-2</v>
      </c>
      <c r="CK273"/>
      <c r="CL273"/>
      <c r="CM273"/>
      <c r="CS273" s="8"/>
      <c r="CW273" t="s">
        <v>227</v>
      </c>
      <c r="CX273" t="s">
        <v>227</v>
      </c>
      <c r="CY273" t="s">
        <v>231</v>
      </c>
      <c r="CZ273" t="s">
        <v>227</v>
      </c>
      <c r="DA273" t="s">
        <v>227</v>
      </c>
      <c r="DB273" t="s">
        <v>227</v>
      </c>
      <c r="DC273"/>
      <c r="DD273"/>
      <c r="DE273"/>
      <c r="DF273"/>
      <c r="DG273"/>
      <c r="DH273" s="323"/>
      <c r="DI273" s="323"/>
      <c r="DJ273" s="323"/>
      <c r="DL273" t="s">
        <v>227</v>
      </c>
      <c r="DM273" t="s">
        <v>227</v>
      </c>
      <c r="DN273" t="s">
        <v>227</v>
      </c>
      <c r="DO273" t="s">
        <v>227</v>
      </c>
      <c r="DP273" t="s">
        <v>227</v>
      </c>
      <c r="DS273" s="338">
        <v>6169.5770000000002</v>
      </c>
      <c r="DT273" s="8" t="s">
        <v>394</v>
      </c>
      <c r="DU273" s="338">
        <v>441.57299999999998</v>
      </c>
      <c r="DV273" s="8" t="s">
        <v>394</v>
      </c>
      <c r="DW273">
        <v>36.799999999999997</v>
      </c>
      <c r="DX273" t="s">
        <v>238</v>
      </c>
      <c r="DY273">
        <v>1010</v>
      </c>
      <c r="DZ273" t="s">
        <v>238</v>
      </c>
      <c r="EA273"/>
      <c r="EB273"/>
      <c r="ED273" s="410"/>
      <c r="EE273" s="1"/>
      <c r="EG273" s="410"/>
      <c r="EI273" s="410"/>
      <c r="EK273" s="1"/>
      <c r="EM273"/>
      <c r="EQ273" s="344"/>
      <c r="EU273" s="344"/>
      <c r="EW273" s="409"/>
      <c r="EY273" s="1"/>
      <c r="FA273">
        <v>167.54</v>
      </c>
      <c r="FB273" t="s">
        <v>225</v>
      </c>
      <c r="FC273" s="7">
        <v>10911.890519552042</v>
      </c>
      <c r="FD273" s="357" t="s">
        <v>236</v>
      </c>
      <c r="FE273" s="8">
        <v>3.2983747715856819</v>
      </c>
      <c r="FF273" t="s">
        <v>237</v>
      </c>
      <c r="FH273" s="9">
        <v>3717.9196520448663</v>
      </c>
      <c r="FI273" s="9" t="s">
        <v>236</v>
      </c>
      <c r="FJ273">
        <v>99.8</v>
      </c>
      <c r="FK273" t="s">
        <v>238</v>
      </c>
      <c r="FL273">
        <v>49.3</v>
      </c>
      <c r="FM273">
        <v>72.027775123834076</v>
      </c>
      <c r="FN273" s="5" t="s">
        <v>237</v>
      </c>
      <c r="FP273" s="6">
        <v>4.93</v>
      </c>
      <c r="FQ273" t="s">
        <v>239</v>
      </c>
      <c r="FS273" t="s">
        <v>240</v>
      </c>
      <c r="FU273" s="8">
        <v>1</v>
      </c>
      <c r="FV273" s="8">
        <v>10</v>
      </c>
      <c r="FW273" s="8">
        <v>10</v>
      </c>
      <c r="FX273" s="8">
        <v>10</v>
      </c>
      <c r="FY273" s="8">
        <v>3</v>
      </c>
      <c r="FZ273">
        <f t="shared" si="4"/>
        <v>3000</v>
      </c>
      <c r="GA273" s="7" t="s">
        <v>241</v>
      </c>
      <c r="GB273" s="7" t="s">
        <v>241</v>
      </c>
      <c r="GC273" s="6">
        <v>30</v>
      </c>
      <c r="GD273" s="348" t="s">
        <v>242</v>
      </c>
      <c r="GF273" s="6">
        <v>1.6433333333333335E-2</v>
      </c>
      <c r="GH273" s="7"/>
      <c r="GI273" s="445"/>
      <c r="GJ273" s="445"/>
      <c r="GK273" s="445"/>
      <c r="GL273" s="445"/>
      <c r="GM273" s="460" t="s">
        <v>329</v>
      </c>
      <c r="GN273" s="448"/>
      <c r="GO273" s="448"/>
      <c r="GP273" s="448"/>
      <c r="GQ273" s="448"/>
      <c r="GR273" s="460" t="s">
        <v>329</v>
      </c>
      <c r="GU273" t="s">
        <v>243</v>
      </c>
      <c r="GV273" t="s">
        <v>236</v>
      </c>
      <c r="GW273" t="s">
        <v>244</v>
      </c>
      <c r="GX273" t="s">
        <v>236</v>
      </c>
      <c r="GY273" t="s">
        <v>245</v>
      </c>
      <c r="HE273" t="s">
        <v>246</v>
      </c>
      <c r="HF273" t="s">
        <v>236</v>
      </c>
      <c r="HG273" t="s">
        <v>231</v>
      </c>
      <c r="HH273" t="s">
        <v>236</v>
      </c>
      <c r="HI273" t="s">
        <v>247</v>
      </c>
      <c r="HJ273" t="s">
        <v>225</v>
      </c>
      <c r="HK273" t="s">
        <v>568</v>
      </c>
      <c r="HO273" t="s">
        <v>231</v>
      </c>
      <c r="HP273" t="s">
        <v>223</v>
      </c>
      <c r="HQ273" t="s">
        <v>231</v>
      </c>
      <c r="HR273" t="s">
        <v>223</v>
      </c>
      <c r="HU273" t="s">
        <v>231</v>
      </c>
      <c r="HV273" t="s">
        <v>225</v>
      </c>
      <c r="HW273" t="s">
        <v>246</v>
      </c>
      <c r="HX273" t="s">
        <v>236</v>
      </c>
      <c r="IA273" t="s">
        <v>231</v>
      </c>
      <c r="IB273" t="s">
        <v>250</v>
      </c>
      <c r="IC273" s="447"/>
      <c r="ID273" s="447"/>
      <c r="IE273" s="447"/>
      <c r="IF273" s="447"/>
      <c r="IG273" s="459" t="s">
        <v>451</v>
      </c>
      <c r="IH273" t="s">
        <v>235</v>
      </c>
    </row>
    <row r="274" spans="1:242" ht="58" x14ac:dyDescent="0.35">
      <c r="A274" s="310" t="s">
        <v>1654</v>
      </c>
      <c r="B274" s="313" t="s">
        <v>1655</v>
      </c>
      <c r="C274" s="310" t="s">
        <v>1656</v>
      </c>
      <c r="D274" s="316"/>
      <c r="F274" t="s">
        <v>1656</v>
      </c>
      <c r="I274" s="310" t="s">
        <v>1657</v>
      </c>
      <c r="M274" s="313"/>
      <c r="O274"/>
      <c r="P274" s="381"/>
      <c r="Q274"/>
      <c r="T274" s="8"/>
      <c r="U274"/>
      <c r="V274" s="313"/>
      <c r="W274"/>
      <c r="X274"/>
      <c r="Z274"/>
      <c r="AB274"/>
      <c r="AD274" s="8" t="s">
        <v>230</v>
      </c>
      <c r="AF274" s="8" t="s">
        <v>230</v>
      </c>
      <c r="AG274"/>
      <c r="AH274"/>
      <c r="AI274"/>
      <c r="AJ274" t="s">
        <v>221</v>
      </c>
      <c r="AK274">
        <v>0</v>
      </c>
      <c r="AL274">
        <v>0.5</v>
      </c>
      <c r="AM274" t="s">
        <v>221</v>
      </c>
      <c r="AN274" t="s">
        <v>236</v>
      </c>
      <c r="AO274" t="s">
        <v>221</v>
      </c>
      <c r="AP274" t="s">
        <v>225</v>
      </c>
      <c r="AQ274" t="s">
        <v>221</v>
      </c>
      <c r="AR274" t="s">
        <v>225</v>
      </c>
      <c r="AS274" t="s">
        <v>221</v>
      </c>
      <c r="AT274" t="s">
        <v>225</v>
      </c>
      <c r="AU274" t="s">
        <v>272</v>
      </c>
      <c r="AV274"/>
      <c r="AW274" s="313" t="s">
        <v>227</v>
      </c>
      <c r="AX274" t="s">
        <v>226</v>
      </c>
      <c r="AY274" s="313" t="s">
        <v>227</v>
      </c>
      <c r="AZ274" s="313">
        <v>4.1599999999999998E-2</v>
      </c>
      <c r="BB274" s="313" t="s">
        <v>227</v>
      </c>
      <c r="BC274">
        <v>2.4E-2</v>
      </c>
      <c r="BD274" t="s">
        <v>227</v>
      </c>
      <c r="BE274">
        <v>5.1200000000000002E-2</v>
      </c>
      <c r="BF274" s="2" t="s">
        <v>220</v>
      </c>
      <c r="BG274" s="2" t="s">
        <v>273</v>
      </c>
      <c r="BH274" s="2" t="s">
        <v>274</v>
      </c>
      <c r="BI274" s="2" t="s">
        <v>275</v>
      </c>
      <c r="BM274"/>
      <c r="BP274" s="8"/>
      <c r="BQ274" t="s">
        <v>230</v>
      </c>
      <c r="BR274" t="s">
        <v>230</v>
      </c>
      <c r="BU274" t="s">
        <v>231</v>
      </c>
      <c r="BV274" t="s">
        <v>225</v>
      </c>
      <c r="BW274" t="s">
        <v>232</v>
      </c>
      <c r="BX274" t="s">
        <v>500</v>
      </c>
      <c r="BY274" t="s">
        <v>227</v>
      </c>
      <c r="BZ274">
        <v>0.17699999999999999</v>
      </c>
      <c r="CA274" t="s">
        <v>234</v>
      </c>
      <c r="CF274" t="s">
        <v>227</v>
      </c>
      <c r="CG274">
        <v>3.9300000000000002E-2</v>
      </c>
      <c r="CH274" t="s">
        <v>227</v>
      </c>
      <c r="CI274">
        <v>5.1400000000000001E-2</v>
      </c>
      <c r="CK274"/>
      <c r="CL274"/>
      <c r="CM274"/>
      <c r="CS274" s="8"/>
      <c r="CW274" t="s">
        <v>227</v>
      </c>
      <c r="CX274" t="s">
        <v>227</v>
      </c>
      <c r="CY274" t="s">
        <v>231</v>
      </c>
      <c r="CZ274" t="s">
        <v>227</v>
      </c>
      <c r="DA274" t="s">
        <v>227</v>
      </c>
      <c r="DB274" t="s">
        <v>227</v>
      </c>
      <c r="DC274"/>
      <c r="DD274"/>
      <c r="DE274"/>
      <c r="DF274"/>
      <c r="DG274"/>
      <c r="DH274" s="323"/>
      <c r="DI274" s="323"/>
      <c r="DJ274" s="323"/>
      <c r="DL274" t="s">
        <v>227</v>
      </c>
      <c r="DM274" t="s">
        <v>227</v>
      </c>
      <c r="DN274" t="s">
        <v>227</v>
      </c>
      <c r="DO274" t="s">
        <v>227</v>
      </c>
      <c r="DP274" t="s">
        <v>227</v>
      </c>
      <c r="DS274" s="338">
        <v>6645.5439999999999</v>
      </c>
      <c r="DT274" s="8" t="s">
        <v>394</v>
      </c>
      <c r="DU274" s="338">
        <v>449.76900000000001</v>
      </c>
      <c r="DV274" s="8" t="s">
        <v>394</v>
      </c>
      <c r="DW274">
        <v>41.2</v>
      </c>
      <c r="DX274" t="s">
        <v>238</v>
      </c>
      <c r="DY274">
        <v>992</v>
      </c>
      <c r="DZ274" t="s">
        <v>238</v>
      </c>
      <c r="EA274"/>
      <c r="EB274"/>
      <c r="ED274" s="410"/>
      <c r="EE274" s="1"/>
      <c r="EG274" s="410"/>
      <c r="EI274" s="410"/>
      <c r="EK274" s="1"/>
      <c r="EM274"/>
      <c r="EQ274" s="344"/>
      <c r="EU274" s="344"/>
      <c r="EW274" s="409"/>
      <c r="EY274" s="1"/>
      <c r="FA274">
        <v>176.46</v>
      </c>
      <c r="FB274" t="s">
        <v>225</v>
      </c>
      <c r="FC274" s="7">
        <v>12717.448862880696</v>
      </c>
      <c r="FD274" s="357" t="s">
        <v>236</v>
      </c>
      <c r="FE274" s="8">
        <v>3.1017014994776893</v>
      </c>
      <c r="FF274" t="s">
        <v>237</v>
      </c>
      <c r="FH274" s="9">
        <v>4256.9642207317538</v>
      </c>
      <c r="FI274" s="9" t="s">
        <v>236</v>
      </c>
      <c r="FJ274">
        <v>110</v>
      </c>
      <c r="FK274" t="s">
        <v>238</v>
      </c>
      <c r="FL274">
        <v>47.2</v>
      </c>
      <c r="FM274">
        <v>71.49900531600008</v>
      </c>
      <c r="FN274" s="5" t="s">
        <v>237</v>
      </c>
      <c r="FP274" s="6">
        <v>4.7200000000000006</v>
      </c>
      <c r="FQ274" t="s">
        <v>239</v>
      </c>
      <c r="FS274" t="s">
        <v>240</v>
      </c>
      <c r="FU274" s="8">
        <v>1</v>
      </c>
      <c r="FV274" s="8">
        <v>10</v>
      </c>
      <c r="FW274" s="8">
        <v>10</v>
      </c>
      <c r="FX274" s="8">
        <v>10</v>
      </c>
      <c r="FY274" s="8">
        <v>3</v>
      </c>
      <c r="FZ274">
        <f t="shared" si="4"/>
        <v>3000</v>
      </c>
      <c r="GA274" s="7" t="s">
        <v>241</v>
      </c>
      <c r="GB274" s="7" t="s">
        <v>241</v>
      </c>
      <c r="GC274" s="6">
        <v>30</v>
      </c>
      <c r="GD274" s="348" t="s">
        <v>242</v>
      </c>
      <c r="GF274" s="6">
        <v>1.5733333333333335E-2</v>
      </c>
      <c r="GH274" s="7"/>
      <c r="GI274" s="445"/>
      <c r="GJ274" s="445"/>
      <c r="GK274" s="445"/>
      <c r="GL274" s="445"/>
      <c r="GM274" s="460" t="s">
        <v>329</v>
      </c>
      <c r="GN274" s="448"/>
      <c r="GO274" s="448"/>
      <c r="GP274" s="448"/>
      <c r="GQ274" s="448"/>
      <c r="GR274" s="460" t="s">
        <v>329</v>
      </c>
      <c r="GU274" t="s">
        <v>243</v>
      </c>
      <c r="GV274" t="s">
        <v>236</v>
      </c>
      <c r="GW274" t="s">
        <v>244</v>
      </c>
      <c r="GX274" t="s">
        <v>236</v>
      </c>
      <c r="GY274" t="s">
        <v>245</v>
      </c>
      <c r="HE274" t="s">
        <v>246</v>
      </c>
      <c r="HF274" t="s">
        <v>236</v>
      </c>
      <c r="HG274" t="s">
        <v>231</v>
      </c>
      <c r="HH274" t="s">
        <v>236</v>
      </c>
      <c r="HI274" t="s">
        <v>247</v>
      </c>
      <c r="HJ274" t="s">
        <v>225</v>
      </c>
      <c r="HK274" t="s">
        <v>568</v>
      </c>
      <c r="HO274" t="s">
        <v>231</v>
      </c>
      <c r="HP274" t="s">
        <v>223</v>
      </c>
      <c r="HQ274" t="s">
        <v>231</v>
      </c>
      <c r="HR274" t="s">
        <v>223</v>
      </c>
      <c r="HU274" t="s">
        <v>231</v>
      </c>
      <c r="HV274" t="s">
        <v>225</v>
      </c>
      <c r="HW274" t="s">
        <v>246</v>
      </c>
      <c r="HX274" t="s">
        <v>236</v>
      </c>
      <c r="IA274" t="s">
        <v>231</v>
      </c>
      <c r="IB274" t="s">
        <v>250</v>
      </c>
      <c r="IC274" s="447"/>
      <c r="ID274" s="447"/>
      <c r="IE274" s="447"/>
      <c r="IF274" s="447"/>
      <c r="IG274" s="459" t="s">
        <v>451</v>
      </c>
      <c r="IH274" t="s">
        <v>235</v>
      </c>
    </row>
    <row r="275" spans="1:242" ht="58" x14ac:dyDescent="0.35">
      <c r="A275" s="310" t="s">
        <v>1658</v>
      </c>
      <c r="B275" s="313" t="s">
        <v>1659</v>
      </c>
      <c r="C275" s="310" t="s">
        <v>1660</v>
      </c>
      <c r="D275" s="316"/>
      <c r="F275" t="s">
        <v>1660</v>
      </c>
      <c r="I275" s="310" t="s">
        <v>1661</v>
      </c>
      <c r="M275" s="313"/>
      <c r="O275"/>
      <c r="P275" s="381"/>
      <c r="Q275"/>
      <c r="T275" s="8"/>
      <c r="U275"/>
      <c r="V275" s="313"/>
      <c r="W275"/>
      <c r="X275"/>
      <c r="Z275"/>
      <c r="AB275"/>
      <c r="AD275" s="8" t="s">
        <v>230</v>
      </c>
      <c r="AF275" s="8" t="s">
        <v>230</v>
      </c>
      <c r="AG275"/>
      <c r="AH275"/>
      <c r="AI275"/>
      <c r="AJ275" t="s">
        <v>221</v>
      </c>
      <c r="AK275">
        <v>0</v>
      </c>
      <c r="AL275">
        <v>0.82499999999999996</v>
      </c>
      <c r="AM275" t="s">
        <v>221</v>
      </c>
      <c r="AN275" t="s">
        <v>223</v>
      </c>
      <c r="AO275" t="s">
        <v>221</v>
      </c>
      <c r="AP275" t="s">
        <v>223</v>
      </c>
      <c r="AQ275" t="s">
        <v>221</v>
      </c>
      <c r="AR275" t="s">
        <v>225</v>
      </c>
      <c r="AS275" t="s">
        <v>221</v>
      </c>
      <c r="AT275" t="s">
        <v>223</v>
      </c>
      <c r="AU275" t="s">
        <v>272</v>
      </c>
      <c r="AV275"/>
      <c r="AW275" s="313" t="s">
        <v>227</v>
      </c>
      <c r="AX275" t="s">
        <v>226</v>
      </c>
      <c r="AY275" s="313" t="s">
        <v>227</v>
      </c>
      <c r="AZ275" s="313">
        <v>4.7100000000000003E-2</v>
      </c>
      <c r="BB275" s="313" t="s">
        <v>227</v>
      </c>
      <c r="BC275">
        <v>2.3900000000000001E-2</v>
      </c>
      <c r="BD275" t="s">
        <v>227</v>
      </c>
      <c r="BE275">
        <v>7.2800000000000004E-2</v>
      </c>
      <c r="BF275" s="2" t="s">
        <v>220</v>
      </c>
      <c r="BG275" s="2" t="s">
        <v>273</v>
      </c>
      <c r="BH275" s="2" t="s">
        <v>274</v>
      </c>
      <c r="BI275" s="2" t="s">
        <v>275</v>
      </c>
      <c r="BM275"/>
      <c r="BP275" s="8"/>
      <c r="BQ275" t="s">
        <v>230</v>
      </c>
      <c r="BR275" t="s">
        <v>230</v>
      </c>
      <c r="BU275" t="s">
        <v>231</v>
      </c>
      <c r="BV275" t="s">
        <v>223</v>
      </c>
      <c r="BW275" t="s">
        <v>232</v>
      </c>
      <c r="BX275" t="s">
        <v>500</v>
      </c>
      <c r="BY275" t="s">
        <v>227</v>
      </c>
      <c r="BZ275">
        <v>0.23100000000000001</v>
      </c>
      <c r="CA275" t="s">
        <v>234</v>
      </c>
      <c r="CF275" t="s">
        <v>227</v>
      </c>
      <c r="CG275">
        <v>0.113</v>
      </c>
      <c r="CH275" t="s">
        <v>227</v>
      </c>
      <c r="CI275">
        <v>0.124</v>
      </c>
      <c r="CK275"/>
      <c r="CL275"/>
      <c r="CM275"/>
      <c r="CS275" s="8"/>
      <c r="CW275" t="s">
        <v>227</v>
      </c>
      <c r="CX275" t="s">
        <v>227</v>
      </c>
      <c r="CY275" t="s">
        <v>231</v>
      </c>
      <c r="CZ275" t="s">
        <v>227</v>
      </c>
      <c r="DA275" t="s">
        <v>227</v>
      </c>
      <c r="DB275" t="s">
        <v>227</v>
      </c>
      <c r="DC275"/>
      <c r="DD275"/>
      <c r="DE275"/>
      <c r="DF275"/>
      <c r="DG275"/>
      <c r="DH275" s="323"/>
      <c r="DI275" s="323"/>
      <c r="DJ275" s="323"/>
      <c r="DL275" t="s">
        <v>227</v>
      </c>
      <c r="DM275" t="s">
        <v>227</v>
      </c>
      <c r="DN275" t="s">
        <v>227</v>
      </c>
      <c r="DO275" t="s">
        <v>227</v>
      </c>
      <c r="DP275" t="s">
        <v>227</v>
      </c>
      <c r="DS275" s="338">
        <v>787.44399999999996</v>
      </c>
      <c r="DT275" s="8" t="s">
        <v>394</v>
      </c>
      <c r="DU275" s="309">
        <v>278.89800000000002</v>
      </c>
      <c r="DW275">
        <v>21.8</v>
      </c>
      <c r="DX275" t="s">
        <v>238</v>
      </c>
      <c r="DY275">
        <v>522</v>
      </c>
      <c r="DZ275" t="s">
        <v>238</v>
      </c>
      <c r="EA275"/>
      <c r="EB275"/>
      <c r="ED275" s="410"/>
      <c r="EE275" s="1"/>
      <c r="EG275" s="410"/>
      <c r="EI275" s="410"/>
      <c r="EK275" s="1"/>
      <c r="EM275"/>
      <c r="EQ275" s="344"/>
      <c r="EU275" s="344"/>
      <c r="EW275" s="409"/>
      <c r="EY275" s="1"/>
      <c r="FA275">
        <v>62.47</v>
      </c>
      <c r="FB275" t="s">
        <v>225</v>
      </c>
      <c r="FC275" s="7">
        <v>594.7028229172621</v>
      </c>
      <c r="FD275" s="357" t="s">
        <v>236</v>
      </c>
      <c r="FE275" s="8">
        <v>10.624292038711266</v>
      </c>
      <c r="FF275" t="s">
        <v>237</v>
      </c>
      <c r="FH275" s="9">
        <v>283.46536334896689</v>
      </c>
      <c r="FI275" s="9" t="s">
        <v>236</v>
      </c>
      <c r="FJ275">
        <v>52.9</v>
      </c>
      <c r="FK275" t="s">
        <v>238</v>
      </c>
      <c r="FL275">
        <v>84</v>
      </c>
      <c r="FM275">
        <v>82.946869509526309</v>
      </c>
      <c r="FN275" s="5" t="s">
        <v>237</v>
      </c>
      <c r="FP275" s="6">
        <v>5.29</v>
      </c>
      <c r="FQ275" t="s">
        <v>450</v>
      </c>
      <c r="FS275" t="s">
        <v>240</v>
      </c>
      <c r="FU275" s="8">
        <v>1</v>
      </c>
      <c r="FV275" s="8">
        <v>10</v>
      </c>
      <c r="FW275" s="8">
        <v>10</v>
      </c>
      <c r="FX275" s="8">
        <v>10</v>
      </c>
      <c r="FY275" s="8">
        <v>3</v>
      </c>
      <c r="FZ275">
        <f t="shared" si="4"/>
        <v>3000</v>
      </c>
      <c r="GA275" s="7" t="s">
        <v>241</v>
      </c>
      <c r="GB275" s="7" t="s">
        <v>241</v>
      </c>
      <c r="GC275" s="6">
        <v>30</v>
      </c>
      <c r="GD275" s="348" t="s">
        <v>242</v>
      </c>
      <c r="GF275" s="6">
        <v>1.7633333333333334E-2</v>
      </c>
      <c r="GH275" s="7"/>
      <c r="GI275" s="445"/>
      <c r="GJ275" s="445"/>
      <c r="GK275" s="445"/>
      <c r="GL275" s="445"/>
      <c r="GM275" s="460" t="s">
        <v>329</v>
      </c>
      <c r="GN275" s="448"/>
      <c r="GO275" s="448"/>
      <c r="GP275" s="448"/>
      <c r="GQ275" s="448"/>
      <c r="GR275" s="460" t="s">
        <v>329</v>
      </c>
      <c r="GU275" t="s">
        <v>243</v>
      </c>
      <c r="GV275" t="s">
        <v>236</v>
      </c>
      <c r="GW275" t="s">
        <v>244</v>
      </c>
      <c r="GX275" t="s">
        <v>236</v>
      </c>
      <c r="GY275" t="s">
        <v>245</v>
      </c>
      <c r="HE275" t="s">
        <v>246</v>
      </c>
      <c r="HF275" t="s">
        <v>236</v>
      </c>
      <c r="HG275" t="s">
        <v>231</v>
      </c>
      <c r="HH275" t="s">
        <v>236</v>
      </c>
      <c r="HI275" t="s">
        <v>247</v>
      </c>
      <c r="HJ275" t="s">
        <v>223</v>
      </c>
      <c r="HK275" t="s">
        <v>266</v>
      </c>
      <c r="HO275" t="s">
        <v>231</v>
      </c>
      <c r="HP275" t="s">
        <v>223</v>
      </c>
      <c r="HQ275" t="s">
        <v>231</v>
      </c>
      <c r="HR275" t="s">
        <v>223</v>
      </c>
      <c r="HU275" t="s">
        <v>231</v>
      </c>
      <c r="HV275" t="s">
        <v>223</v>
      </c>
      <c r="HW275" t="s">
        <v>246</v>
      </c>
      <c r="HX275" t="s">
        <v>236</v>
      </c>
      <c r="IA275" t="s">
        <v>231</v>
      </c>
      <c r="IB275" t="s">
        <v>250</v>
      </c>
      <c r="IC275" s="447"/>
      <c r="ID275" s="447"/>
      <c r="IE275" s="447"/>
      <c r="IF275" s="447"/>
      <c r="IG275" s="459" t="s">
        <v>451</v>
      </c>
      <c r="IH275" t="s">
        <v>235</v>
      </c>
    </row>
    <row r="276" spans="1:242" x14ac:dyDescent="0.35">
      <c r="A276" s="310" t="s">
        <v>1662</v>
      </c>
      <c r="B276" s="313" t="s">
        <v>1663</v>
      </c>
      <c r="C276" s="310" t="s">
        <v>1664</v>
      </c>
      <c r="D276" s="316"/>
      <c r="F276" t="s">
        <v>1664</v>
      </c>
      <c r="I276" s="310" t="s">
        <v>1665</v>
      </c>
      <c r="M276" s="313"/>
      <c r="O276"/>
      <c r="P276" s="381"/>
      <c r="Q276"/>
      <c r="T276" s="8"/>
      <c r="U276"/>
      <c r="V276" s="313"/>
      <c r="W276"/>
      <c r="X276"/>
      <c r="Z276"/>
      <c r="AB276"/>
      <c r="AD276" s="8" t="s">
        <v>230</v>
      </c>
      <c r="AF276" s="8" t="s">
        <v>230</v>
      </c>
      <c r="AG276"/>
      <c r="AH276"/>
      <c r="AI276"/>
      <c r="AJ276" t="s">
        <v>221</v>
      </c>
      <c r="AK276">
        <v>0</v>
      </c>
      <c r="AL276">
        <v>0.75</v>
      </c>
      <c r="AM276" t="s">
        <v>221</v>
      </c>
      <c r="AN276" t="s">
        <v>223</v>
      </c>
      <c r="AO276" t="s">
        <v>221</v>
      </c>
      <c r="AP276" t="s">
        <v>223</v>
      </c>
      <c r="AQ276" t="s">
        <v>221</v>
      </c>
      <c r="AR276" t="s">
        <v>225</v>
      </c>
      <c r="AS276" t="s">
        <v>221</v>
      </c>
      <c r="AT276" t="s">
        <v>225</v>
      </c>
      <c r="AU276" t="s">
        <v>220</v>
      </c>
      <c r="AV276"/>
      <c r="AW276" s="313" t="s">
        <v>220</v>
      </c>
      <c r="AX276" t="s">
        <v>226</v>
      </c>
      <c r="AY276" s="313" t="s">
        <v>220</v>
      </c>
      <c r="AZ276" s="313">
        <v>0.27300000000000002</v>
      </c>
      <c r="BB276" s="313" t="s">
        <v>220</v>
      </c>
      <c r="BC276">
        <v>0.38300000000000001</v>
      </c>
      <c r="BD276" t="s">
        <v>220</v>
      </c>
      <c r="BE276">
        <v>0.316</v>
      </c>
      <c r="BF276" s="2" t="s">
        <v>220</v>
      </c>
      <c r="BG276" s="2" t="s">
        <v>273</v>
      </c>
      <c r="BH276" s="2" t="s">
        <v>274</v>
      </c>
      <c r="BI276" s="2" t="s">
        <v>275</v>
      </c>
      <c r="BM276"/>
      <c r="BP276" s="8"/>
      <c r="BQ276" t="s">
        <v>230</v>
      </c>
      <c r="BR276" t="s">
        <v>230</v>
      </c>
      <c r="BU276" t="s">
        <v>293</v>
      </c>
      <c r="BV276" t="s">
        <v>236</v>
      </c>
      <c r="BW276" t="s">
        <v>232</v>
      </c>
      <c r="BX276" t="s">
        <v>500</v>
      </c>
      <c r="BY276" t="s">
        <v>257</v>
      </c>
      <c r="BZ276">
        <v>0.66600000000000004</v>
      </c>
      <c r="CA276" t="s">
        <v>372</v>
      </c>
      <c r="CF276" t="s">
        <v>227</v>
      </c>
      <c r="CG276">
        <v>0.42599999999999999</v>
      </c>
      <c r="CH276" t="s">
        <v>257</v>
      </c>
      <c r="CI276">
        <v>0.69599999999999995</v>
      </c>
      <c r="CK276"/>
      <c r="CL276"/>
      <c r="CM276"/>
      <c r="CS276" s="8"/>
      <c r="CW276" t="s">
        <v>227</v>
      </c>
      <c r="CX276" t="s">
        <v>227</v>
      </c>
      <c r="CY276" t="s">
        <v>231</v>
      </c>
      <c r="CZ276" t="s">
        <v>220</v>
      </c>
      <c r="DA276" t="s">
        <v>220</v>
      </c>
      <c r="DB276" t="s">
        <v>227</v>
      </c>
      <c r="DC276"/>
      <c r="DD276"/>
      <c r="DE276"/>
      <c r="DF276"/>
      <c r="DG276"/>
      <c r="DH276" s="323"/>
      <c r="DI276" s="323"/>
      <c r="DJ276" s="323"/>
      <c r="DL276" t="s">
        <v>227</v>
      </c>
      <c r="DM276" t="s">
        <v>220</v>
      </c>
      <c r="DN276" t="s">
        <v>227</v>
      </c>
      <c r="DO276" t="s">
        <v>227</v>
      </c>
      <c r="DP276" t="s">
        <v>257</v>
      </c>
      <c r="DS276" s="309">
        <v>162.077</v>
      </c>
      <c r="DU276" s="309">
        <v>190.75299999999999</v>
      </c>
      <c r="DW276">
        <v>2320</v>
      </c>
      <c r="DX276" t="s">
        <v>267</v>
      </c>
      <c r="DY276">
        <v>1020</v>
      </c>
      <c r="DZ276" t="s">
        <v>267</v>
      </c>
      <c r="EA276"/>
      <c r="EB276"/>
      <c r="ED276" s="410"/>
      <c r="EE276" s="1"/>
      <c r="EG276" s="410"/>
      <c r="EI276" s="410"/>
      <c r="EK276" s="1"/>
      <c r="EM276"/>
      <c r="EQ276" s="344"/>
      <c r="EU276" s="344"/>
      <c r="EW276" s="409"/>
      <c r="EY276" s="1"/>
      <c r="FA276">
        <v>212.68</v>
      </c>
      <c r="FB276" t="s">
        <v>225</v>
      </c>
      <c r="FC276" s="7">
        <v>690.71676932419246</v>
      </c>
      <c r="FD276" s="357" t="s">
        <v>236</v>
      </c>
      <c r="FE276" s="8">
        <v>11754.387398615587</v>
      </c>
      <c r="FF276" t="s">
        <v>237</v>
      </c>
      <c r="FH276" s="9">
        <v>70745.692162786116</v>
      </c>
      <c r="FI276" s="9" t="s">
        <v>236</v>
      </c>
      <c r="FJ276">
        <v>2410</v>
      </c>
      <c r="FK276" t="s">
        <v>238</v>
      </c>
      <c r="FL276">
        <v>3910</v>
      </c>
      <c r="FM276">
        <v>13255.618607198607</v>
      </c>
      <c r="FN276" s="5" t="s">
        <v>237</v>
      </c>
      <c r="FP276" s="6">
        <v>106.34</v>
      </c>
      <c r="FQ276" t="s">
        <v>275</v>
      </c>
      <c r="FS276" t="s">
        <v>240</v>
      </c>
      <c r="FU276" s="8">
        <v>2</v>
      </c>
      <c r="FV276" s="8">
        <v>10</v>
      </c>
      <c r="FW276" s="8">
        <v>10</v>
      </c>
      <c r="FX276" s="8">
        <v>1</v>
      </c>
      <c r="FY276" s="8">
        <v>3</v>
      </c>
      <c r="FZ276">
        <f t="shared" si="4"/>
        <v>600</v>
      </c>
      <c r="GA276" s="7" t="s">
        <v>326</v>
      </c>
      <c r="GB276" s="7" t="s">
        <v>326</v>
      </c>
      <c r="GC276" s="6">
        <v>1.5</v>
      </c>
      <c r="GD276" s="348" t="s">
        <v>304</v>
      </c>
      <c r="GF276" s="6">
        <v>0.35446666666666665</v>
      </c>
      <c r="GH276" s="7"/>
      <c r="GI276" s="441">
        <v>2.363</v>
      </c>
      <c r="GJ276" s="441">
        <v>4.431</v>
      </c>
      <c r="GK276" s="441">
        <v>7.0890000000000004</v>
      </c>
      <c r="GL276" s="441">
        <v>17.722999999999999</v>
      </c>
      <c r="GM276" s="452" t="s">
        <v>262</v>
      </c>
      <c r="GN276" s="6">
        <v>0.01</v>
      </c>
      <c r="GO276" s="6">
        <v>1.8749999999999999E-2</v>
      </c>
      <c r="GP276" s="6">
        <v>0.03</v>
      </c>
      <c r="GQ276" s="6">
        <v>7.4999999999999997E-2</v>
      </c>
      <c r="GR276" s="6" t="s">
        <v>230</v>
      </c>
      <c r="GU276" t="s">
        <v>243</v>
      </c>
      <c r="GV276" t="s">
        <v>225</v>
      </c>
      <c r="GW276" t="s">
        <v>359</v>
      </c>
      <c r="GX276" t="s">
        <v>223</v>
      </c>
      <c r="GY276" t="s">
        <v>245</v>
      </c>
      <c r="HE276" t="s">
        <v>384</v>
      </c>
      <c r="HF276" t="s">
        <v>223</v>
      </c>
      <c r="HG276" t="s">
        <v>231</v>
      </c>
      <c r="HH276" t="s">
        <v>236</v>
      </c>
      <c r="HI276" t="s">
        <v>247</v>
      </c>
      <c r="HJ276" t="s">
        <v>223</v>
      </c>
      <c r="HK276" t="s">
        <v>266</v>
      </c>
      <c r="HO276" t="s">
        <v>231</v>
      </c>
      <c r="HP276" t="s">
        <v>223</v>
      </c>
      <c r="HQ276" t="s">
        <v>231</v>
      </c>
      <c r="HR276" t="s">
        <v>223</v>
      </c>
      <c r="HU276" t="s">
        <v>231</v>
      </c>
      <c r="HV276" t="s">
        <v>223</v>
      </c>
      <c r="HW276" t="s">
        <v>246</v>
      </c>
      <c r="HX276" t="s">
        <v>236</v>
      </c>
      <c r="IA276" t="s">
        <v>231</v>
      </c>
      <c r="IB276" t="s">
        <v>250</v>
      </c>
      <c r="IC276">
        <v>2.363</v>
      </c>
      <c r="ID276">
        <v>4.431</v>
      </c>
      <c r="IE276">
        <v>7.0890000000000004</v>
      </c>
      <c r="IF276">
        <v>17.722999999999999</v>
      </c>
      <c r="IH276" t="s">
        <v>267</v>
      </c>
    </row>
    <row r="277" spans="1:242" x14ac:dyDescent="0.35">
      <c r="A277" s="310" t="s">
        <v>1666</v>
      </c>
      <c r="B277" s="313" t="s">
        <v>1667</v>
      </c>
      <c r="C277" s="310" t="s">
        <v>1668</v>
      </c>
      <c r="D277" s="316"/>
      <c r="F277" t="s">
        <v>1668</v>
      </c>
      <c r="I277" s="310" t="s">
        <v>1669</v>
      </c>
      <c r="M277" s="313"/>
      <c r="O277"/>
      <c r="P277" s="381"/>
      <c r="Q277"/>
      <c r="T277" s="8"/>
      <c r="U277"/>
      <c r="V277" s="313"/>
      <c r="W277"/>
      <c r="X277"/>
      <c r="Z277"/>
      <c r="AB277"/>
      <c r="AD277" s="8" t="s">
        <v>230</v>
      </c>
      <c r="AF277" s="8" t="s">
        <v>230</v>
      </c>
      <c r="AG277"/>
      <c r="AH277"/>
      <c r="AI277"/>
      <c r="AJ277" t="s">
        <v>221</v>
      </c>
      <c r="AK277">
        <v>0</v>
      </c>
      <c r="AL277">
        <v>0.75</v>
      </c>
      <c r="AM277" t="s">
        <v>221</v>
      </c>
      <c r="AN277" t="s">
        <v>223</v>
      </c>
      <c r="AO277" t="s">
        <v>221</v>
      </c>
      <c r="AP277" t="s">
        <v>223</v>
      </c>
      <c r="AQ277" t="s">
        <v>221</v>
      </c>
      <c r="AR277" t="s">
        <v>225</v>
      </c>
      <c r="AS277" t="s">
        <v>221</v>
      </c>
      <c r="AT277" t="s">
        <v>225</v>
      </c>
      <c r="AU277" t="s">
        <v>220</v>
      </c>
      <c r="AV277"/>
      <c r="AW277" s="313" t="s">
        <v>220</v>
      </c>
      <c r="AX277" t="s">
        <v>226</v>
      </c>
      <c r="AY277" s="313" t="s">
        <v>220</v>
      </c>
      <c r="AZ277" s="313">
        <v>0.26900000000000002</v>
      </c>
      <c r="BB277" s="313" t="s">
        <v>220</v>
      </c>
      <c r="BC277">
        <v>0.38500000000000001</v>
      </c>
      <c r="BD277" t="s">
        <v>220</v>
      </c>
      <c r="BE277">
        <v>0.315</v>
      </c>
      <c r="BF277" s="2" t="s">
        <v>220</v>
      </c>
      <c r="BG277" s="2" t="s">
        <v>273</v>
      </c>
      <c r="BH277" s="2" t="s">
        <v>274</v>
      </c>
      <c r="BI277" s="2" t="s">
        <v>275</v>
      </c>
      <c r="BM277"/>
      <c r="BP277" s="8"/>
      <c r="BQ277" t="s">
        <v>230</v>
      </c>
      <c r="BR277" t="s">
        <v>230</v>
      </c>
      <c r="BU277" t="s">
        <v>293</v>
      </c>
      <c r="BV277" t="s">
        <v>236</v>
      </c>
      <c r="BW277" t="s">
        <v>232</v>
      </c>
      <c r="BX277" t="s">
        <v>500</v>
      </c>
      <c r="BY277" t="s">
        <v>257</v>
      </c>
      <c r="BZ277">
        <v>0.65500000000000003</v>
      </c>
      <c r="CA277" t="s">
        <v>372</v>
      </c>
      <c r="CF277" t="s">
        <v>227</v>
      </c>
      <c r="CG277">
        <v>0.39400000000000002</v>
      </c>
      <c r="CH277" t="s">
        <v>257</v>
      </c>
      <c r="CI277">
        <v>0.68700000000000006</v>
      </c>
      <c r="CK277"/>
      <c r="CL277"/>
      <c r="CM277"/>
      <c r="CS277" s="8"/>
      <c r="CW277" t="s">
        <v>227</v>
      </c>
      <c r="CX277" t="s">
        <v>227</v>
      </c>
      <c r="CY277" t="s">
        <v>231</v>
      </c>
      <c r="CZ277" t="s">
        <v>220</v>
      </c>
      <c r="DA277" t="s">
        <v>220</v>
      </c>
      <c r="DB277" t="s">
        <v>227</v>
      </c>
      <c r="DC277"/>
      <c r="DD277"/>
      <c r="DE277"/>
      <c r="DF277"/>
      <c r="DG277"/>
      <c r="DH277" s="323"/>
      <c r="DI277" s="323"/>
      <c r="DJ277" s="323"/>
      <c r="DL277" t="s">
        <v>227</v>
      </c>
      <c r="DM277" t="s">
        <v>220</v>
      </c>
      <c r="DN277" t="s">
        <v>227</v>
      </c>
      <c r="DO277" t="s">
        <v>227</v>
      </c>
      <c r="DP277" t="s">
        <v>257</v>
      </c>
      <c r="DS277" s="309">
        <v>185.70599999999999</v>
      </c>
      <c r="DU277" s="309">
        <v>198.298</v>
      </c>
      <c r="DW277">
        <v>2860</v>
      </c>
      <c r="DX277" t="s">
        <v>267</v>
      </c>
      <c r="DY277">
        <v>1160</v>
      </c>
      <c r="DZ277" t="s">
        <v>267</v>
      </c>
      <c r="EA277"/>
      <c r="EB277"/>
      <c r="ED277" s="410"/>
      <c r="EE277" s="1"/>
      <c r="EG277" s="410"/>
      <c r="EI277" s="410"/>
      <c r="EK277" s="1"/>
      <c r="EM277"/>
      <c r="EQ277" s="344"/>
      <c r="EU277" s="344"/>
      <c r="EW277" s="409"/>
      <c r="EY277" s="1"/>
      <c r="FA277">
        <v>225.77</v>
      </c>
      <c r="FB277" t="s">
        <v>225</v>
      </c>
      <c r="FC277" s="7">
        <v>998.84936993650547</v>
      </c>
      <c r="FD277" s="357" t="s">
        <v>236</v>
      </c>
      <c r="FE277" s="8">
        <v>22049.563679696337</v>
      </c>
      <c r="FF277" t="s">
        <v>237</v>
      </c>
      <c r="FH277" s="9">
        <v>204974.5775453402</v>
      </c>
      <c r="FI277" s="9" t="s">
        <v>236</v>
      </c>
      <c r="FJ277">
        <v>2370</v>
      </c>
      <c r="FK277" t="s">
        <v>238</v>
      </c>
      <c r="FL277">
        <v>5070</v>
      </c>
      <c r="FM277">
        <v>22222.862543282052</v>
      </c>
      <c r="FN277" s="5" t="s">
        <v>237</v>
      </c>
      <c r="FP277" s="6">
        <v>112.88500000000001</v>
      </c>
      <c r="FQ277" t="s">
        <v>275</v>
      </c>
      <c r="FS277" t="s">
        <v>240</v>
      </c>
      <c r="FU277" s="8">
        <v>2</v>
      </c>
      <c r="FV277" s="8">
        <v>10</v>
      </c>
      <c r="FW277" s="8">
        <v>10</v>
      </c>
      <c r="FX277" s="8">
        <v>1</v>
      </c>
      <c r="FY277" s="8">
        <v>3</v>
      </c>
      <c r="FZ277">
        <f t="shared" si="4"/>
        <v>600</v>
      </c>
      <c r="GA277" s="7" t="s">
        <v>326</v>
      </c>
      <c r="GB277" s="7" t="s">
        <v>326</v>
      </c>
      <c r="GC277" s="6">
        <v>1.5</v>
      </c>
      <c r="GD277" s="348" t="s">
        <v>242</v>
      </c>
      <c r="GF277" s="6">
        <v>0.37628333333333336</v>
      </c>
      <c r="GH277" s="7"/>
      <c r="GI277" s="441">
        <v>2.5089999999999999</v>
      </c>
      <c r="GJ277" s="441">
        <v>4.7039999999999997</v>
      </c>
      <c r="GK277" s="441">
        <v>7.5259999999999998</v>
      </c>
      <c r="GL277" s="441">
        <v>18.814</v>
      </c>
      <c r="GM277" s="452" t="s">
        <v>262</v>
      </c>
      <c r="GN277" s="6">
        <v>0.01</v>
      </c>
      <c r="GO277" s="6">
        <v>1.8749999999999999E-2</v>
      </c>
      <c r="GP277" s="6">
        <v>0.03</v>
      </c>
      <c r="GQ277" s="6">
        <v>7.4999999999999997E-2</v>
      </c>
      <c r="GR277" s="6" t="s">
        <v>230</v>
      </c>
      <c r="GU277" t="s">
        <v>243</v>
      </c>
      <c r="GV277" t="s">
        <v>236</v>
      </c>
      <c r="GW277" t="s">
        <v>244</v>
      </c>
      <c r="GX277" t="s">
        <v>236</v>
      </c>
      <c r="GY277" t="s">
        <v>245</v>
      </c>
      <c r="HE277" t="s">
        <v>384</v>
      </c>
      <c r="HF277" t="s">
        <v>223</v>
      </c>
      <c r="HG277" t="s">
        <v>231</v>
      </c>
      <c r="HH277" t="s">
        <v>236</v>
      </c>
      <c r="HI277" t="s">
        <v>247</v>
      </c>
      <c r="HJ277" t="s">
        <v>223</v>
      </c>
      <c r="HK277" t="s">
        <v>266</v>
      </c>
      <c r="HO277" t="s">
        <v>231</v>
      </c>
      <c r="HP277" t="s">
        <v>223</v>
      </c>
      <c r="HQ277" t="s">
        <v>231</v>
      </c>
      <c r="HR277" t="s">
        <v>223</v>
      </c>
      <c r="HU277" t="s">
        <v>231</v>
      </c>
      <c r="HV277" t="s">
        <v>223</v>
      </c>
      <c r="HW277" t="s">
        <v>246</v>
      </c>
      <c r="HX277" t="s">
        <v>236</v>
      </c>
      <c r="IA277" t="s">
        <v>231</v>
      </c>
      <c r="IB277" t="s">
        <v>250</v>
      </c>
      <c r="IC277">
        <v>2.5089999999999999</v>
      </c>
      <c r="ID277">
        <v>4.7039999999999997</v>
      </c>
      <c r="IE277">
        <v>7.5259999999999998</v>
      </c>
      <c r="IF277">
        <v>18.814</v>
      </c>
      <c r="IH277" t="s">
        <v>267</v>
      </c>
    </row>
    <row r="278" spans="1:242" x14ac:dyDescent="0.35">
      <c r="A278" s="310" t="s">
        <v>1670</v>
      </c>
      <c r="B278" s="313" t="s">
        <v>1671</v>
      </c>
      <c r="C278" s="310" t="s">
        <v>1672</v>
      </c>
      <c r="D278" s="316"/>
      <c r="F278" t="s">
        <v>1672</v>
      </c>
      <c r="I278" s="310" t="s">
        <v>1673</v>
      </c>
      <c r="M278" s="313"/>
      <c r="O278"/>
      <c r="P278" s="381"/>
      <c r="Q278"/>
      <c r="T278" s="8"/>
      <c r="U278"/>
      <c r="V278" s="313"/>
      <c r="W278"/>
      <c r="X278"/>
      <c r="Z278"/>
      <c r="AB278"/>
      <c r="AD278" s="8" t="s">
        <v>230</v>
      </c>
      <c r="AF278" s="8" t="s">
        <v>230</v>
      </c>
      <c r="AG278"/>
      <c r="AH278"/>
      <c r="AI278"/>
      <c r="AJ278" t="s">
        <v>221</v>
      </c>
      <c r="AK278">
        <v>0</v>
      </c>
      <c r="AL278">
        <v>0.75</v>
      </c>
      <c r="AM278" t="s">
        <v>221</v>
      </c>
      <c r="AN278" t="s">
        <v>223</v>
      </c>
      <c r="AO278" t="s">
        <v>221</v>
      </c>
      <c r="AP278" t="s">
        <v>223</v>
      </c>
      <c r="AQ278" t="s">
        <v>221</v>
      </c>
      <c r="AR278" t="s">
        <v>225</v>
      </c>
      <c r="AS278" t="s">
        <v>221</v>
      </c>
      <c r="AT278" t="s">
        <v>225</v>
      </c>
      <c r="AU278" t="s">
        <v>220</v>
      </c>
      <c r="AV278"/>
      <c r="AW278" s="313" t="s">
        <v>220</v>
      </c>
      <c r="AX278" t="s">
        <v>226</v>
      </c>
      <c r="AY278" s="313" t="s">
        <v>220</v>
      </c>
      <c r="AZ278" s="313">
        <v>0.27600000000000002</v>
      </c>
      <c r="BB278" s="313" t="s">
        <v>220</v>
      </c>
      <c r="BC278">
        <v>0.38100000000000001</v>
      </c>
      <c r="BD278" t="s">
        <v>220</v>
      </c>
      <c r="BE278">
        <v>0.318</v>
      </c>
      <c r="BF278" s="2" t="s">
        <v>220</v>
      </c>
      <c r="BG278" s="2" t="s">
        <v>273</v>
      </c>
      <c r="BH278" s="2" t="s">
        <v>274</v>
      </c>
      <c r="BI278" s="2" t="s">
        <v>275</v>
      </c>
      <c r="BM278"/>
      <c r="BP278" s="8"/>
      <c r="BQ278" t="s">
        <v>230</v>
      </c>
      <c r="BR278" t="s">
        <v>230</v>
      </c>
      <c r="BU278" t="s">
        <v>293</v>
      </c>
      <c r="BV278" t="s">
        <v>236</v>
      </c>
      <c r="BW278" t="s">
        <v>232</v>
      </c>
      <c r="BX278" t="s">
        <v>500</v>
      </c>
      <c r="BY278" t="s">
        <v>257</v>
      </c>
      <c r="BZ278">
        <v>0.67700000000000005</v>
      </c>
      <c r="CA278" t="s">
        <v>372</v>
      </c>
      <c r="CF278" t="s">
        <v>227</v>
      </c>
      <c r="CG278">
        <v>0.45900000000000002</v>
      </c>
      <c r="CH278" t="s">
        <v>257</v>
      </c>
      <c r="CI278">
        <v>0.70599999999999996</v>
      </c>
      <c r="CK278"/>
      <c r="CL278"/>
      <c r="CM278"/>
      <c r="CS278" s="8"/>
      <c r="CW278" t="s">
        <v>227</v>
      </c>
      <c r="CX278" t="s">
        <v>227</v>
      </c>
      <c r="CY278" t="s">
        <v>231</v>
      </c>
      <c r="CZ278" t="s">
        <v>220</v>
      </c>
      <c r="DA278" t="s">
        <v>220</v>
      </c>
      <c r="DB278" t="s">
        <v>227</v>
      </c>
      <c r="DC278"/>
      <c r="DD278"/>
      <c r="DE278"/>
      <c r="DF278"/>
      <c r="DG278"/>
      <c r="DH278" s="323"/>
      <c r="DI278" s="323"/>
      <c r="DJ278" s="323"/>
      <c r="DL278" t="s">
        <v>227</v>
      </c>
      <c r="DM278" t="s">
        <v>220</v>
      </c>
      <c r="DN278" t="s">
        <v>227</v>
      </c>
      <c r="DO278" t="s">
        <v>227</v>
      </c>
      <c r="DP278" t="s">
        <v>257</v>
      </c>
      <c r="DS278" s="309">
        <v>140.60499999999999</v>
      </c>
      <c r="DU278" s="309">
        <v>183.61799999999999</v>
      </c>
      <c r="DW278">
        <v>2050</v>
      </c>
      <c r="DX278" t="s">
        <v>267</v>
      </c>
      <c r="DY278">
        <v>821</v>
      </c>
      <c r="DZ278" t="s">
        <v>267</v>
      </c>
      <c r="EA278"/>
      <c r="EB278"/>
      <c r="ED278" s="410"/>
      <c r="EE278" s="1"/>
      <c r="EG278" s="410"/>
      <c r="EI278" s="410"/>
      <c r="EK278" s="1"/>
      <c r="EM278"/>
      <c r="EQ278" s="344"/>
      <c r="EU278" s="344"/>
      <c r="EW278" s="409"/>
      <c r="EY278" s="1"/>
      <c r="FA278">
        <v>200.35</v>
      </c>
      <c r="FB278" t="s">
        <v>225</v>
      </c>
      <c r="FC278" s="7">
        <v>477.63924149641974</v>
      </c>
      <c r="FD278" s="357" t="s">
        <v>236</v>
      </c>
      <c r="FE278" s="8">
        <v>6266.1386467233579</v>
      </c>
      <c r="FF278" t="s">
        <v>237</v>
      </c>
      <c r="FH278" s="9">
        <v>24417.432734967366</v>
      </c>
      <c r="FI278" s="9" t="s">
        <v>225</v>
      </c>
      <c r="FJ278">
        <v>3210</v>
      </c>
      <c r="FK278" t="s">
        <v>238</v>
      </c>
      <c r="FL278">
        <v>3000</v>
      </c>
      <c r="FM278">
        <v>7906.786279998254</v>
      </c>
      <c r="FN278" s="5" t="s">
        <v>237</v>
      </c>
      <c r="FP278" s="6">
        <v>100.175</v>
      </c>
      <c r="FQ278" t="s">
        <v>275</v>
      </c>
      <c r="FS278" t="s">
        <v>240</v>
      </c>
      <c r="FU278" s="8">
        <v>2</v>
      </c>
      <c r="FV278" s="8">
        <v>10</v>
      </c>
      <c r="FW278" s="8">
        <v>10</v>
      </c>
      <c r="FX278" s="8">
        <v>1</v>
      </c>
      <c r="FY278" s="8">
        <v>3</v>
      </c>
      <c r="FZ278">
        <f t="shared" si="4"/>
        <v>600</v>
      </c>
      <c r="GA278" s="7" t="s">
        <v>326</v>
      </c>
      <c r="GB278" s="7" t="s">
        <v>326</v>
      </c>
      <c r="GC278" s="6">
        <v>1.5</v>
      </c>
      <c r="GD278" s="348" t="s">
        <v>304</v>
      </c>
      <c r="GF278" s="6">
        <v>0.33391666666666664</v>
      </c>
      <c r="GH278" s="7"/>
      <c r="GI278" s="441">
        <v>2.226</v>
      </c>
      <c r="GJ278" s="441">
        <v>4.1740000000000004</v>
      </c>
      <c r="GK278" s="441">
        <v>6.6779999999999999</v>
      </c>
      <c r="GL278" s="441">
        <v>16.696000000000002</v>
      </c>
      <c r="GM278" s="452" t="s">
        <v>262</v>
      </c>
      <c r="GN278" s="6">
        <v>0.01</v>
      </c>
      <c r="GO278" s="6">
        <v>1.8749999999999999E-2</v>
      </c>
      <c r="GP278" s="6">
        <v>0.03</v>
      </c>
      <c r="GQ278" s="6">
        <v>7.4999999999999997E-2</v>
      </c>
      <c r="GR278" s="6" t="s">
        <v>230</v>
      </c>
      <c r="GU278" t="s">
        <v>243</v>
      </c>
      <c r="GV278" t="s">
        <v>236</v>
      </c>
      <c r="GW278" t="s">
        <v>359</v>
      </c>
      <c r="GX278" t="s">
        <v>223</v>
      </c>
      <c r="GY278" t="s">
        <v>245</v>
      </c>
      <c r="HE278" t="s">
        <v>384</v>
      </c>
      <c r="HF278" t="s">
        <v>223</v>
      </c>
      <c r="HG278" t="s">
        <v>231</v>
      </c>
      <c r="HH278" t="s">
        <v>236</v>
      </c>
      <c r="HI278" t="s">
        <v>247</v>
      </c>
      <c r="HJ278" t="s">
        <v>223</v>
      </c>
      <c r="HK278" t="s">
        <v>266</v>
      </c>
      <c r="HO278" t="s">
        <v>231</v>
      </c>
      <c r="HP278" t="s">
        <v>223</v>
      </c>
      <c r="HQ278" t="s">
        <v>231</v>
      </c>
      <c r="HR278" t="s">
        <v>223</v>
      </c>
      <c r="HU278" t="s">
        <v>231</v>
      </c>
      <c r="HV278" t="s">
        <v>223</v>
      </c>
      <c r="HW278" t="s">
        <v>246</v>
      </c>
      <c r="HX278" t="s">
        <v>236</v>
      </c>
      <c r="IA278" t="s">
        <v>231</v>
      </c>
      <c r="IB278" t="s">
        <v>250</v>
      </c>
      <c r="IC278">
        <v>2.226</v>
      </c>
      <c r="ID278">
        <v>4.1740000000000004</v>
      </c>
      <c r="IE278">
        <v>6.6779999999999999</v>
      </c>
      <c r="IF278">
        <v>16.696000000000002</v>
      </c>
      <c r="IH278" t="s">
        <v>267</v>
      </c>
    </row>
    <row r="279" spans="1:242" x14ac:dyDescent="0.35">
      <c r="A279" s="310" t="s">
        <v>1674</v>
      </c>
      <c r="B279" s="313" t="s">
        <v>1675</v>
      </c>
      <c r="C279" s="310" t="s">
        <v>1676</v>
      </c>
      <c r="D279" s="316"/>
      <c r="F279" t="s">
        <v>1676</v>
      </c>
      <c r="I279" s="310" t="s">
        <v>1677</v>
      </c>
      <c r="M279" s="313"/>
      <c r="O279"/>
      <c r="P279" s="381"/>
      <c r="Q279"/>
      <c r="T279" s="8"/>
      <c r="U279"/>
      <c r="V279" s="313"/>
      <c r="W279"/>
      <c r="X279"/>
      <c r="Z279"/>
      <c r="AB279"/>
      <c r="AD279" s="8" t="s">
        <v>230</v>
      </c>
      <c r="AF279" s="8" t="s">
        <v>230</v>
      </c>
      <c r="AG279"/>
      <c r="AH279"/>
      <c r="AI279"/>
      <c r="AJ279" t="s">
        <v>221</v>
      </c>
      <c r="AK279">
        <v>0</v>
      </c>
      <c r="AL279">
        <v>0.75</v>
      </c>
      <c r="AM279" t="s">
        <v>221</v>
      </c>
      <c r="AN279" t="s">
        <v>223</v>
      </c>
      <c r="AO279" t="s">
        <v>221</v>
      </c>
      <c r="AP279" t="s">
        <v>223</v>
      </c>
      <c r="AQ279" t="s">
        <v>221</v>
      </c>
      <c r="AR279" t="s">
        <v>225</v>
      </c>
      <c r="AS279" t="s">
        <v>221</v>
      </c>
      <c r="AT279" t="s">
        <v>225</v>
      </c>
      <c r="AU279" t="s">
        <v>220</v>
      </c>
      <c r="AV279"/>
      <c r="AW279" s="313" t="s">
        <v>220</v>
      </c>
      <c r="AX279" t="s">
        <v>226</v>
      </c>
      <c r="AY279" s="313" t="s">
        <v>220</v>
      </c>
      <c r="AZ279" s="313">
        <v>0.28000000000000003</v>
      </c>
      <c r="BB279" s="313" t="s">
        <v>220</v>
      </c>
      <c r="BC279">
        <v>0.378</v>
      </c>
      <c r="BD279" t="s">
        <v>220</v>
      </c>
      <c r="BE279">
        <v>0.31900000000000001</v>
      </c>
      <c r="BF279" s="2" t="s">
        <v>220</v>
      </c>
      <c r="BG279" s="2" t="s">
        <v>273</v>
      </c>
      <c r="BH279" s="2" t="s">
        <v>274</v>
      </c>
      <c r="BI279" s="2" t="s">
        <v>275</v>
      </c>
      <c r="BM279"/>
      <c r="BP279" s="8"/>
      <c r="BQ279" t="s">
        <v>230</v>
      </c>
      <c r="BR279" t="s">
        <v>230</v>
      </c>
      <c r="BU279" t="s">
        <v>293</v>
      </c>
      <c r="BV279" t="s">
        <v>236</v>
      </c>
      <c r="BW279" t="s">
        <v>232</v>
      </c>
      <c r="BX279" t="s">
        <v>276</v>
      </c>
      <c r="BY279" t="s">
        <v>257</v>
      </c>
      <c r="BZ279">
        <v>0.68799999999999994</v>
      </c>
      <c r="CA279" t="s">
        <v>372</v>
      </c>
      <c r="CF279" t="s">
        <v>227</v>
      </c>
      <c r="CG279">
        <v>0.49199999999999999</v>
      </c>
      <c r="CH279" t="s">
        <v>257</v>
      </c>
      <c r="CI279">
        <v>0.71499999999999997</v>
      </c>
      <c r="CK279"/>
      <c r="CL279"/>
      <c r="CM279"/>
      <c r="CS279" s="8"/>
      <c r="CW279" t="s">
        <v>227</v>
      </c>
      <c r="CX279" t="s">
        <v>227</v>
      </c>
      <c r="CY279" t="s">
        <v>231</v>
      </c>
      <c r="CZ279" t="s">
        <v>220</v>
      </c>
      <c r="DA279" t="s">
        <v>220</v>
      </c>
      <c r="DB279" t="s">
        <v>227</v>
      </c>
      <c r="DC279"/>
      <c r="DD279"/>
      <c r="DE279"/>
      <c r="DF279"/>
      <c r="DG279"/>
      <c r="DH279" s="323"/>
      <c r="DI279" s="323"/>
      <c r="DJ279" s="323"/>
      <c r="DL279" t="s">
        <v>227</v>
      </c>
      <c r="DM279" t="s">
        <v>220</v>
      </c>
      <c r="DN279" t="s">
        <v>227</v>
      </c>
      <c r="DO279" t="s">
        <v>227</v>
      </c>
      <c r="DP279" t="s">
        <v>257</v>
      </c>
      <c r="DS279" s="309">
        <v>121.337</v>
      </c>
      <c r="DU279" s="309">
        <v>176.703</v>
      </c>
      <c r="DW279">
        <v>1860</v>
      </c>
      <c r="DX279" t="s">
        <v>267</v>
      </c>
      <c r="DY279">
        <v>697</v>
      </c>
      <c r="DZ279" t="s">
        <v>267</v>
      </c>
      <c r="EA279"/>
      <c r="EB279"/>
      <c r="ED279" s="410"/>
      <c r="EE279" s="1"/>
      <c r="EG279" s="410"/>
      <c r="EI279" s="410"/>
      <c r="EK279" s="1"/>
      <c r="EM279"/>
      <c r="EQ279" s="344"/>
      <c r="EU279" s="344"/>
      <c r="EW279" s="409"/>
      <c r="EY279" s="1"/>
      <c r="FA279">
        <v>188.74</v>
      </c>
      <c r="FB279" t="s">
        <v>225</v>
      </c>
      <c r="FC279" s="7">
        <v>330.29347939603383</v>
      </c>
      <c r="FD279" s="357" t="s">
        <v>236</v>
      </c>
      <c r="FE279" s="8">
        <v>3341.1809763304327</v>
      </c>
      <c r="FF279" t="s">
        <v>237</v>
      </c>
      <c r="FH279" s="9">
        <v>8427.5240391283751</v>
      </c>
      <c r="FI279" s="9" t="s">
        <v>225</v>
      </c>
      <c r="FJ279">
        <v>1730</v>
      </c>
      <c r="FK279" t="s">
        <v>238</v>
      </c>
      <c r="FL279">
        <v>2280</v>
      </c>
      <c r="FM279">
        <v>4716.2845529983842</v>
      </c>
      <c r="FN279" s="5" t="s">
        <v>237</v>
      </c>
      <c r="FP279" s="6">
        <v>94.37</v>
      </c>
      <c r="FQ279" t="s">
        <v>275</v>
      </c>
      <c r="FS279" t="s">
        <v>240</v>
      </c>
      <c r="FU279" s="8">
        <v>2</v>
      </c>
      <c r="FV279" s="8">
        <v>10</v>
      </c>
      <c r="FW279" s="8">
        <v>10</v>
      </c>
      <c r="FX279" s="8">
        <v>1</v>
      </c>
      <c r="FY279" s="8">
        <v>3</v>
      </c>
      <c r="FZ279">
        <f t="shared" si="4"/>
        <v>600</v>
      </c>
      <c r="GA279" s="7" t="s">
        <v>326</v>
      </c>
      <c r="GB279" s="7" t="s">
        <v>326</v>
      </c>
      <c r="GC279" s="6">
        <v>1.5</v>
      </c>
      <c r="GD279" s="348" t="s">
        <v>383</v>
      </c>
      <c r="GF279" s="6">
        <v>0.31456666666666666</v>
      </c>
      <c r="GH279" s="7"/>
      <c r="GI279" s="441">
        <v>2.097</v>
      </c>
      <c r="GJ279" s="441">
        <v>3.9319999999999999</v>
      </c>
      <c r="GK279" s="441">
        <v>6.2910000000000004</v>
      </c>
      <c r="GL279" s="441">
        <v>15.728</v>
      </c>
      <c r="GM279" s="452" t="s">
        <v>262</v>
      </c>
      <c r="GN279" s="6">
        <v>0.01</v>
      </c>
      <c r="GO279" s="6">
        <v>1.8749999999999999E-2</v>
      </c>
      <c r="GP279" s="6">
        <v>0.03</v>
      </c>
      <c r="GQ279" s="6">
        <v>7.4999999999999997E-2</v>
      </c>
      <c r="GR279" s="6" t="s">
        <v>230</v>
      </c>
      <c r="GU279" t="s">
        <v>365</v>
      </c>
      <c r="GV279" t="s">
        <v>223</v>
      </c>
      <c r="GW279" t="s">
        <v>359</v>
      </c>
      <c r="GX279" t="s">
        <v>223</v>
      </c>
      <c r="GY279" t="s">
        <v>245</v>
      </c>
      <c r="HE279" t="s">
        <v>384</v>
      </c>
      <c r="HF279" t="s">
        <v>223</v>
      </c>
      <c r="HG279" t="s">
        <v>231</v>
      </c>
      <c r="HH279" t="s">
        <v>236</v>
      </c>
      <c r="HI279" t="s">
        <v>247</v>
      </c>
      <c r="HJ279" t="s">
        <v>223</v>
      </c>
      <c r="HK279" t="s">
        <v>266</v>
      </c>
      <c r="HL279" t="s">
        <v>231</v>
      </c>
      <c r="HM279" t="s">
        <v>231</v>
      </c>
      <c r="HO279" t="s">
        <v>231</v>
      </c>
      <c r="HP279" t="s">
        <v>249</v>
      </c>
      <c r="HQ279" t="s">
        <v>231</v>
      </c>
      <c r="HR279" t="s">
        <v>249</v>
      </c>
      <c r="HS279" t="s">
        <v>231</v>
      </c>
      <c r="HU279" t="s">
        <v>231</v>
      </c>
      <c r="HV279" t="s">
        <v>249</v>
      </c>
      <c r="HW279" t="s">
        <v>246</v>
      </c>
      <c r="HX279" t="s">
        <v>236</v>
      </c>
      <c r="IA279" t="s">
        <v>231</v>
      </c>
      <c r="IB279" t="s">
        <v>250</v>
      </c>
      <c r="IC279">
        <v>2.097</v>
      </c>
      <c r="ID279">
        <v>3.9319999999999999</v>
      </c>
      <c r="IE279">
        <v>6.2910000000000004</v>
      </c>
      <c r="IF279">
        <v>15.728</v>
      </c>
      <c r="IH279" t="s">
        <v>267</v>
      </c>
    </row>
    <row r="280" spans="1:242" x14ac:dyDescent="0.35">
      <c r="A280" s="310" t="s">
        <v>1678</v>
      </c>
      <c r="B280" s="313" t="s">
        <v>1679</v>
      </c>
      <c r="C280" s="310" t="s">
        <v>1680</v>
      </c>
      <c r="D280" s="316"/>
      <c r="F280" t="s">
        <v>1680</v>
      </c>
      <c r="I280" s="310" t="s">
        <v>1681</v>
      </c>
      <c r="M280" s="313"/>
      <c r="O280"/>
      <c r="P280" s="381"/>
      <c r="Q280"/>
      <c r="T280" s="8"/>
      <c r="U280"/>
      <c r="V280" s="313"/>
      <c r="W280"/>
      <c r="X280"/>
      <c r="Z280"/>
      <c r="AB280"/>
      <c r="AD280" s="8" t="s">
        <v>230</v>
      </c>
      <c r="AF280" s="8" t="s">
        <v>230</v>
      </c>
      <c r="AG280"/>
      <c r="AH280"/>
      <c r="AI280"/>
      <c r="AJ280" t="s">
        <v>221</v>
      </c>
      <c r="AK280">
        <v>0</v>
      </c>
      <c r="AL280">
        <v>0.72499999999999998</v>
      </c>
      <c r="AM280" t="s">
        <v>221</v>
      </c>
      <c r="AN280" t="s">
        <v>223</v>
      </c>
      <c r="AO280" t="s">
        <v>221</v>
      </c>
      <c r="AP280" t="s">
        <v>223</v>
      </c>
      <c r="AQ280" t="s">
        <v>221</v>
      </c>
      <c r="AR280" t="s">
        <v>236</v>
      </c>
      <c r="AS280" t="s">
        <v>221</v>
      </c>
      <c r="AT280" t="s">
        <v>223</v>
      </c>
      <c r="AU280" t="s">
        <v>220</v>
      </c>
      <c r="AV280"/>
      <c r="AW280" s="313" t="s">
        <v>220</v>
      </c>
      <c r="AX280" t="s">
        <v>226</v>
      </c>
      <c r="AY280" s="313" t="s">
        <v>220</v>
      </c>
      <c r="AZ280" s="313">
        <v>0.26600000000000001</v>
      </c>
      <c r="BB280" s="313" t="s">
        <v>220</v>
      </c>
      <c r="BC280">
        <v>0.38800000000000001</v>
      </c>
      <c r="BD280" t="s">
        <v>220</v>
      </c>
      <c r="BE280">
        <v>0.314</v>
      </c>
      <c r="BF280" s="2" t="s">
        <v>220</v>
      </c>
      <c r="BG280" s="2" t="s">
        <v>273</v>
      </c>
      <c r="BH280" s="2" t="s">
        <v>274</v>
      </c>
      <c r="BI280" s="2" t="s">
        <v>275</v>
      </c>
      <c r="BM280"/>
      <c r="BP280" s="8"/>
      <c r="BQ280" t="s">
        <v>230</v>
      </c>
      <c r="BR280" t="s">
        <v>230</v>
      </c>
      <c r="BU280" t="s">
        <v>293</v>
      </c>
      <c r="BV280" t="s">
        <v>236</v>
      </c>
      <c r="BW280" t="s">
        <v>232</v>
      </c>
      <c r="BX280" t="s">
        <v>500</v>
      </c>
      <c r="BY280" t="s">
        <v>257</v>
      </c>
      <c r="BZ280">
        <v>0.64300000000000002</v>
      </c>
      <c r="CA280" t="s">
        <v>372</v>
      </c>
      <c r="CF280" t="s">
        <v>227</v>
      </c>
      <c r="CG280">
        <v>0.36299999999999999</v>
      </c>
      <c r="CH280" t="s">
        <v>257</v>
      </c>
      <c r="CI280">
        <v>0.67700000000000005</v>
      </c>
      <c r="CK280"/>
      <c r="CL280"/>
      <c r="CM280"/>
      <c r="CS280" s="8"/>
      <c r="CW280" t="s">
        <v>227</v>
      </c>
      <c r="CX280" t="s">
        <v>227</v>
      </c>
      <c r="CY280" t="s">
        <v>231</v>
      </c>
      <c r="CZ280" t="s">
        <v>220</v>
      </c>
      <c r="DA280" t="s">
        <v>220</v>
      </c>
      <c r="DB280" t="s">
        <v>227</v>
      </c>
      <c r="DC280"/>
      <c r="DD280"/>
      <c r="DE280"/>
      <c r="DF280"/>
      <c r="DG280"/>
      <c r="DH280" s="323"/>
      <c r="DI280" s="323"/>
      <c r="DJ280" s="323"/>
      <c r="DL280" t="s">
        <v>227</v>
      </c>
      <c r="DM280" t="s">
        <v>220</v>
      </c>
      <c r="DN280" t="s">
        <v>227</v>
      </c>
      <c r="DO280" t="s">
        <v>227</v>
      </c>
      <c r="DP280" t="s">
        <v>257</v>
      </c>
      <c r="DS280" s="309">
        <v>211.51</v>
      </c>
      <c r="DU280" s="309">
        <v>205.85300000000001</v>
      </c>
      <c r="DW280">
        <v>3160</v>
      </c>
      <c r="DX280" t="s">
        <v>267</v>
      </c>
      <c r="DY280">
        <v>1420</v>
      </c>
      <c r="DZ280" t="s">
        <v>267</v>
      </c>
      <c r="EA280"/>
      <c r="EB280"/>
      <c r="ED280" s="410"/>
      <c r="EE280" s="1"/>
      <c r="EG280" s="410"/>
      <c r="EI280" s="410"/>
      <c r="EK280" s="1"/>
      <c r="EM280"/>
      <c r="EQ280" s="344"/>
      <c r="EU280" s="344"/>
      <c r="EW280" s="409"/>
      <c r="EY280" s="1"/>
      <c r="FA280">
        <v>239.67</v>
      </c>
      <c r="FB280" t="s">
        <v>225</v>
      </c>
      <c r="FC280" s="7">
        <v>1444.4416411067004</v>
      </c>
      <c r="FD280" s="357" t="s">
        <v>236</v>
      </c>
      <c r="FE280" s="8">
        <v>41361.854257266241</v>
      </c>
      <c r="FF280" t="s">
        <v>237</v>
      </c>
      <c r="FH280" s="9">
        <v>593881.77789277839</v>
      </c>
      <c r="FI280" s="9" t="s">
        <v>236</v>
      </c>
      <c r="FJ280">
        <v>2900</v>
      </c>
      <c r="FK280" t="s">
        <v>238</v>
      </c>
      <c r="FL280">
        <v>6500</v>
      </c>
      <c r="FM280">
        <v>37256.323846660431</v>
      </c>
      <c r="FN280" s="5" t="s">
        <v>237</v>
      </c>
      <c r="FP280" s="6">
        <v>119.83499999999999</v>
      </c>
      <c r="FQ280" t="s">
        <v>275</v>
      </c>
      <c r="FS280" t="s">
        <v>240</v>
      </c>
      <c r="FT280" t="e">
        <f>FQ280=#REF!</f>
        <v>#REF!</v>
      </c>
      <c r="FU280" s="8">
        <v>2</v>
      </c>
      <c r="FV280" s="8">
        <v>10</v>
      </c>
      <c r="FW280" s="8">
        <v>10</v>
      </c>
      <c r="FX280" s="8">
        <v>1</v>
      </c>
      <c r="FY280" s="8">
        <v>3</v>
      </c>
      <c r="FZ280">
        <f t="shared" si="4"/>
        <v>600</v>
      </c>
      <c r="GA280" s="7" t="s">
        <v>326</v>
      </c>
      <c r="GB280" s="7" t="s">
        <v>326</v>
      </c>
      <c r="GC280" s="6">
        <v>1.5</v>
      </c>
      <c r="GD280" s="348" t="s">
        <v>242</v>
      </c>
      <c r="GF280" s="6">
        <v>0.39945000000000003</v>
      </c>
      <c r="GH280" s="7"/>
      <c r="GI280" s="441">
        <v>2.6629999999999998</v>
      </c>
      <c r="GJ280" s="441">
        <v>4.9930000000000003</v>
      </c>
      <c r="GK280" s="441">
        <v>7.9889999999999999</v>
      </c>
      <c r="GL280" s="441">
        <v>19.972999999999999</v>
      </c>
      <c r="GM280" s="452" t="s">
        <v>262</v>
      </c>
      <c r="GN280" s="6">
        <v>0.01</v>
      </c>
      <c r="GO280" s="6">
        <v>1.8749999999999999E-2</v>
      </c>
      <c r="GP280" s="6">
        <v>0.03</v>
      </c>
      <c r="GQ280" s="6">
        <v>7.4999999999999997E-2</v>
      </c>
      <c r="GR280" s="6" t="s">
        <v>230</v>
      </c>
      <c r="GU280" t="s">
        <v>243</v>
      </c>
      <c r="GV280" t="s">
        <v>236</v>
      </c>
      <c r="GW280" t="s">
        <v>244</v>
      </c>
      <c r="GX280" t="s">
        <v>236</v>
      </c>
      <c r="GY280" t="s">
        <v>245</v>
      </c>
      <c r="HE280" t="s">
        <v>384</v>
      </c>
      <c r="HF280" t="s">
        <v>223</v>
      </c>
      <c r="HG280" t="s">
        <v>231</v>
      </c>
      <c r="HH280" t="s">
        <v>236</v>
      </c>
      <c r="HI280" t="s">
        <v>247</v>
      </c>
      <c r="HJ280" t="s">
        <v>225</v>
      </c>
      <c r="HK280" t="s">
        <v>266</v>
      </c>
      <c r="HO280" t="s">
        <v>231</v>
      </c>
      <c r="HP280" t="s">
        <v>223</v>
      </c>
      <c r="HQ280" t="s">
        <v>231</v>
      </c>
      <c r="HR280" t="s">
        <v>223</v>
      </c>
      <c r="HU280" t="s">
        <v>231</v>
      </c>
      <c r="HV280" t="s">
        <v>223</v>
      </c>
      <c r="HW280" t="s">
        <v>246</v>
      </c>
      <c r="HX280" t="s">
        <v>236</v>
      </c>
      <c r="IA280" t="s">
        <v>231</v>
      </c>
      <c r="IB280" t="s">
        <v>250</v>
      </c>
      <c r="IC280">
        <v>2.6629999999999998</v>
      </c>
      <c r="ID280">
        <v>4.9930000000000003</v>
      </c>
      <c r="IE280">
        <v>7.9889999999999999</v>
      </c>
      <c r="IF280">
        <v>19.972999999999999</v>
      </c>
      <c r="IH280" t="s">
        <v>267</v>
      </c>
    </row>
    <row r="281" spans="1:242" x14ac:dyDescent="0.35">
      <c r="A281" s="310" t="s">
        <v>1682</v>
      </c>
      <c r="B281" s="313" t="s">
        <v>1683</v>
      </c>
      <c r="C281" s="310" t="s">
        <v>1684</v>
      </c>
      <c r="D281" s="316"/>
      <c r="F281" t="s">
        <v>1684</v>
      </c>
      <c r="I281" s="310" t="s">
        <v>1685</v>
      </c>
      <c r="M281" s="313"/>
      <c r="O281"/>
      <c r="P281" s="381"/>
      <c r="Q281"/>
      <c r="T281" s="8"/>
      <c r="U281"/>
      <c r="V281" s="313"/>
      <c r="W281" t="s">
        <v>220</v>
      </c>
      <c r="X281" t="s">
        <v>220</v>
      </c>
      <c r="Z281" t="s">
        <v>220</v>
      </c>
      <c r="AB281"/>
      <c r="AD281" s="8" t="s">
        <v>222</v>
      </c>
      <c r="AF281" s="8" t="s">
        <v>230</v>
      </c>
      <c r="AG281"/>
      <c r="AH281"/>
      <c r="AI281"/>
      <c r="AJ281" t="s">
        <v>221</v>
      </c>
      <c r="AK281">
        <v>0.15</v>
      </c>
      <c r="AL281">
        <v>0.6</v>
      </c>
      <c r="AM281" t="s">
        <v>221</v>
      </c>
      <c r="AN281" t="s">
        <v>223</v>
      </c>
      <c r="AO281" t="s">
        <v>221</v>
      </c>
      <c r="AP281" t="s">
        <v>223</v>
      </c>
      <c r="AQ281" t="s">
        <v>221</v>
      </c>
      <c r="AR281" t="s">
        <v>225</v>
      </c>
      <c r="AS281" t="s">
        <v>414</v>
      </c>
      <c r="AT281" t="s">
        <v>225</v>
      </c>
      <c r="AU281" t="s">
        <v>220</v>
      </c>
      <c r="AV281"/>
      <c r="AW281" s="313" t="s">
        <v>220</v>
      </c>
      <c r="AX281" t="s">
        <v>226</v>
      </c>
      <c r="AY281" s="313" t="s">
        <v>220</v>
      </c>
      <c r="AZ281" s="313">
        <v>0.28299999999999997</v>
      </c>
      <c r="BB281" s="313" t="s">
        <v>220</v>
      </c>
      <c r="BC281">
        <v>0.376</v>
      </c>
      <c r="BD281" t="s">
        <v>220</v>
      </c>
      <c r="BE281">
        <v>0.32</v>
      </c>
      <c r="BF281" s="2" t="s">
        <v>220</v>
      </c>
      <c r="BH281" s="2" t="s">
        <v>228</v>
      </c>
      <c r="BI281" s="2" t="s">
        <v>392</v>
      </c>
      <c r="BM281"/>
      <c r="BO281" t="s">
        <v>257</v>
      </c>
      <c r="BP281" s="8"/>
      <c r="BQ281" t="s">
        <v>230</v>
      </c>
      <c r="BR281" t="s">
        <v>222</v>
      </c>
      <c r="BU281" t="s">
        <v>293</v>
      </c>
      <c r="BV281" t="s">
        <v>236</v>
      </c>
      <c r="BW281" t="s">
        <v>232</v>
      </c>
      <c r="BX281" t="s">
        <v>276</v>
      </c>
      <c r="BY281" t="s">
        <v>257</v>
      </c>
      <c r="BZ281">
        <v>0.69899999999999995</v>
      </c>
      <c r="CA281" t="s">
        <v>372</v>
      </c>
      <c r="CF281" t="s">
        <v>227</v>
      </c>
      <c r="CG281">
        <v>0.52600000000000002</v>
      </c>
      <c r="CH281" t="s">
        <v>257</v>
      </c>
      <c r="CI281">
        <v>0.72399999999999998</v>
      </c>
      <c r="CK281" t="s">
        <v>257</v>
      </c>
      <c r="CL281"/>
      <c r="CM281"/>
      <c r="CP281" t="s">
        <v>220</v>
      </c>
      <c r="CR281" t="s">
        <v>220</v>
      </c>
      <c r="CS281" s="8"/>
      <c r="CW281" t="s">
        <v>257</v>
      </c>
      <c r="CX281" t="s">
        <v>227</v>
      </c>
      <c r="CY281" t="s">
        <v>231</v>
      </c>
      <c r="CZ281" t="s">
        <v>220</v>
      </c>
      <c r="DA281" t="s">
        <v>220</v>
      </c>
      <c r="DB281" t="s">
        <v>220</v>
      </c>
      <c r="DC281" t="s">
        <v>257</v>
      </c>
      <c r="DD281" t="s">
        <v>257</v>
      </c>
      <c r="DE281"/>
      <c r="DF281" t="s">
        <v>220</v>
      </c>
      <c r="DG281" t="s">
        <v>220</v>
      </c>
      <c r="DH281" s="323"/>
      <c r="DI281" s="323"/>
      <c r="DJ281" s="323"/>
      <c r="DL281" t="s">
        <v>257</v>
      </c>
      <c r="DM281" t="s">
        <v>257</v>
      </c>
      <c r="DN281" t="s">
        <v>227</v>
      </c>
      <c r="DO281" t="s">
        <v>220</v>
      </c>
      <c r="DP281" t="s">
        <v>220</v>
      </c>
      <c r="DS281" s="309">
        <v>104.452</v>
      </c>
      <c r="DU281" s="309">
        <v>170.684</v>
      </c>
      <c r="DW281">
        <v>1390</v>
      </c>
      <c r="DX281" t="s">
        <v>267</v>
      </c>
      <c r="DY281">
        <v>581</v>
      </c>
      <c r="DZ281" t="s">
        <v>267</v>
      </c>
      <c r="EA281"/>
      <c r="EB281"/>
      <c r="ED281" s="410"/>
      <c r="EE281" s="1"/>
      <c r="EG281" s="410"/>
      <c r="EI281" s="410"/>
      <c r="EK281" s="1">
        <v>3360</v>
      </c>
      <c r="EL281" s="8" t="s">
        <v>259</v>
      </c>
      <c r="EM281"/>
      <c r="EQ281" s="344"/>
      <c r="EU281" s="344"/>
      <c r="EW281" s="409"/>
      <c r="EY281" s="1"/>
      <c r="FA281">
        <v>177.8</v>
      </c>
      <c r="FB281" t="s">
        <v>225</v>
      </c>
      <c r="FC281" s="7">
        <v>228.40205128404622</v>
      </c>
      <c r="FD281" s="357" t="s">
        <v>236</v>
      </c>
      <c r="FE281" s="8">
        <v>1781.147968965771</v>
      </c>
      <c r="FF281" t="s">
        <v>237</v>
      </c>
      <c r="FH281" s="9">
        <v>2908.7071602075875</v>
      </c>
      <c r="FI281" s="9" t="s">
        <v>225</v>
      </c>
      <c r="FJ281">
        <v>1590</v>
      </c>
      <c r="FK281" t="s">
        <v>238</v>
      </c>
      <c r="FL281">
        <v>1720</v>
      </c>
      <c r="FM281">
        <v>2813.8438937124888</v>
      </c>
      <c r="FN281" s="5" t="s">
        <v>237</v>
      </c>
      <c r="FP281" s="6">
        <v>1680</v>
      </c>
      <c r="FQ281" t="s">
        <v>260</v>
      </c>
      <c r="FS281" t="s">
        <v>261</v>
      </c>
      <c r="FT281" t="e">
        <f>FQ281=#REF!</f>
        <v>#REF!</v>
      </c>
      <c r="FU281" s="8">
        <v>2</v>
      </c>
      <c r="FV281" s="8">
        <v>10</v>
      </c>
      <c r="FW281" s="8">
        <v>10</v>
      </c>
      <c r="FX281" s="8">
        <v>1</v>
      </c>
      <c r="FY281" s="8">
        <v>3</v>
      </c>
      <c r="FZ281">
        <f t="shared" si="4"/>
        <v>600</v>
      </c>
      <c r="GA281" s="7" t="s">
        <v>241</v>
      </c>
      <c r="GB281" s="7" t="s">
        <v>241</v>
      </c>
      <c r="GC281" s="6">
        <v>30</v>
      </c>
      <c r="GD281" s="348" t="s">
        <v>242</v>
      </c>
      <c r="GF281" s="6">
        <v>0.29633333333333334</v>
      </c>
      <c r="GH281" s="7"/>
      <c r="GI281" s="441"/>
      <c r="GJ281" s="441"/>
      <c r="GK281" s="441"/>
      <c r="GL281" s="441"/>
      <c r="GM281" s="454"/>
      <c r="GN281" s="441"/>
      <c r="GO281" s="441"/>
      <c r="GP281" s="441"/>
      <c r="GQ281" s="441"/>
      <c r="GR281" s="441"/>
      <c r="GS281" s="441"/>
      <c r="GT281" s="441"/>
      <c r="GU281" s="441"/>
      <c r="GV281" s="441"/>
      <c r="GW281" s="441"/>
      <c r="GX281" s="441"/>
      <c r="GY281" s="441"/>
      <c r="GZ281" s="441"/>
      <c r="HA281" s="441"/>
      <c r="HB281" s="441"/>
      <c r="HC281" s="441"/>
      <c r="HD281" s="441"/>
      <c r="HE281" s="441"/>
      <c r="HF281" s="441"/>
      <c r="HG281" s="441"/>
      <c r="HH281" s="441"/>
      <c r="HI281" s="441"/>
      <c r="HJ281" s="441"/>
      <c r="HK281" s="441"/>
      <c r="HL281" s="441"/>
      <c r="HM281" s="441"/>
      <c r="HN281" s="441"/>
      <c r="HO281" s="441"/>
      <c r="HP281" s="441"/>
      <c r="HQ281" s="441"/>
      <c r="HR281" s="441"/>
      <c r="HS281" s="441"/>
      <c r="HT281" s="441"/>
      <c r="HU281" s="441"/>
      <c r="HV281" s="441"/>
      <c r="HW281" s="441"/>
      <c r="HX281" s="441"/>
      <c r="HY281" s="441"/>
      <c r="HZ281" s="441"/>
      <c r="IA281" s="441"/>
      <c r="IB281" s="441"/>
      <c r="IC281" s="441"/>
      <c r="ID281" s="441"/>
      <c r="IE281" s="441"/>
      <c r="IF281" s="441"/>
      <c r="IH281" t="s">
        <v>235</v>
      </c>
    </row>
    <row r="282" spans="1:242" ht="58" x14ac:dyDescent="0.35">
      <c r="A282" s="310" t="s">
        <v>1686</v>
      </c>
      <c r="B282" s="313" t="s">
        <v>1687</v>
      </c>
      <c r="C282" s="310" t="s">
        <v>1688</v>
      </c>
      <c r="D282" s="316"/>
      <c r="F282" t="s">
        <v>1688</v>
      </c>
      <c r="I282" s="310" t="s">
        <v>1689</v>
      </c>
      <c r="M282" s="313"/>
      <c r="O282" t="s">
        <v>221</v>
      </c>
      <c r="P282" s="381"/>
      <c r="Q282" t="s">
        <v>221</v>
      </c>
      <c r="T282" s="8"/>
      <c r="U282" t="s">
        <v>221</v>
      </c>
      <c r="V282" s="313"/>
      <c r="W282" t="s">
        <v>220</v>
      </c>
      <c r="X282" t="s">
        <v>220</v>
      </c>
      <c r="Z282" t="s">
        <v>220</v>
      </c>
      <c r="AB282"/>
      <c r="AD282" s="8" t="s">
        <v>230</v>
      </c>
      <c r="AF282" s="8" t="s">
        <v>222</v>
      </c>
      <c r="AG282"/>
      <c r="AH282"/>
      <c r="AI282"/>
      <c r="AJ282" t="s">
        <v>221</v>
      </c>
      <c r="AK282">
        <v>0</v>
      </c>
      <c r="AL282">
        <v>1</v>
      </c>
      <c r="AM282" t="s">
        <v>221</v>
      </c>
      <c r="AN282" t="s">
        <v>249</v>
      </c>
      <c r="AO282" t="s">
        <v>221</v>
      </c>
      <c r="AP282"/>
      <c r="AQ282" t="s">
        <v>221</v>
      </c>
      <c r="AR282" t="s">
        <v>225</v>
      </c>
      <c r="AS282" t="s">
        <v>221</v>
      </c>
      <c r="AT282"/>
      <c r="AU282" t="s">
        <v>220</v>
      </c>
      <c r="AV282"/>
      <c r="AW282" s="313" t="s">
        <v>220</v>
      </c>
      <c r="AX282" t="s">
        <v>226</v>
      </c>
      <c r="AY282" s="313" t="s">
        <v>220</v>
      </c>
      <c r="AZ282" s="313">
        <v>4.6800000000000001E-2</v>
      </c>
      <c r="BB282" s="313" t="s">
        <v>220</v>
      </c>
      <c r="BC282">
        <v>2.3800000000000002E-2</v>
      </c>
      <c r="BD282" t="s">
        <v>227</v>
      </c>
      <c r="BE282">
        <v>7.0800000000000002E-2</v>
      </c>
      <c r="BF282" s="2" t="s">
        <v>220</v>
      </c>
      <c r="BH282" s="2" t="s">
        <v>228</v>
      </c>
      <c r="BI282" s="2" t="s">
        <v>292</v>
      </c>
      <c r="BM282"/>
      <c r="BP282" s="8"/>
      <c r="BQ282" t="s">
        <v>230</v>
      </c>
      <c r="BR282" t="s">
        <v>222</v>
      </c>
      <c r="BU282" t="s">
        <v>231</v>
      </c>
      <c r="BV282" t="s">
        <v>223</v>
      </c>
      <c r="BW282" t="s">
        <v>232</v>
      </c>
      <c r="BX282" t="s">
        <v>276</v>
      </c>
      <c r="BY282" t="s">
        <v>227</v>
      </c>
      <c r="BZ282">
        <v>0.22600000000000001</v>
      </c>
      <c r="CA282" t="s">
        <v>234</v>
      </c>
      <c r="CF282" t="s">
        <v>227</v>
      </c>
      <c r="CG282">
        <v>0.106</v>
      </c>
      <c r="CH282" t="s">
        <v>227</v>
      </c>
      <c r="CI282">
        <v>0.11600000000000001</v>
      </c>
      <c r="CK282"/>
      <c r="CL282"/>
      <c r="CM282"/>
      <c r="CS282" s="8"/>
      <c r="CW282" t="s">
        <v>227</v>
      </c>
      <c r="CX282" t="s">
        <v>227</v>
      </c>
      <c r="CY282" t="s">
        <v>231</v>
      </c>
      <c r="CZ282" t="s">
        <v>227</v>
      </c>
      <c r="DA282" t="s">
        <v>227</v>
      </c>
      <c r="DB282" t="s">
        <v>227</v>
      </c>
      <c r="DC282"/>
      <c r="DD282"/>
      <c r="DE282"/>
      <c r="DF282"/>
      <c r="DG282"/>
      <c r="DH282" s="323"/>
      <c r="DI282" s="323"/>
      <c r="DJ282" s="323"/>
      <c r="DL282" t="s">
        <v>227</v>
      </c>
      <c r="DM282" t="s">
        <v>227</v>
      </c>
      <c r="DN282" t="s">
        <v>227</v>
      </c>
      <c r="DO282" t="s">
        <v>227</v>
      </c>
      <c r="DP282" t="s">
        <v>227</v>
      </c>
      <c r="DS282" s="338">
        <v>900.69799999999998</v>
      </c>
      <c r="DT282" s="8" t="s">
        <v>394</v>
      </c>
      <c r="DU282" s="309">
        <v>287.99799999999999</v>
      </c>
      <c r="DW282">
        <v>21.9</v>
      </c>
      <c r="DX282" t="s">
        <v>238</v>
      </c>
      <c r="DY282">
        <v>606</v>
      </c>
      <c r="DZ282" t="s">
        <v>238</v>
      </c>
      <c r="EA282"/>
      <c r="EB282"/>
      <c r="ED282" s="410"/>
      <c r="EE282" s="1"/>
      <c r="EG282" s="410"/>
      <c r="EI282" s="410"/>
      <c r="EK282" s="1"/>
      <c r="EM282"/>
      <c r="EQ282" s="344"/>
      <c r="EU282" s="344"/>
      <c r="EW282" s="409"/>
      <c r="EY282" s="1"/>
      <c r="FA282">
        <v>65.8</v>
      </c>
      <c r="FB282" t="s">
        <v>225</v>
      </c>
      <c r="FC282" s="7">
        <v>693.10654514993712</v>
      </c>
      <c r="FD282" s="357" t="s">
        <v>236</v>
      </c>
      <c r="FE282" s="8">
        <v>9.990793899844622</v>
      </c>
      <c r="FF282" t="s">
        <v>237</v>
      </c>
      <c r="FH282" s="9">
        <v>324.63848278803334</v>
      </c>
      <c r="FI282" s="9" t="s">
        <v>236</v>
      </c>
      <c r="FJ282">
        <v>51.5</v>
      </c>
      <c r="FK282" t="s">
        <v>238</v>
      </c>
      <c r="FL282">
        <v>83.2</v>
      </c>
      <c r="FM282">
        <v>82.337940521013508</v>
      </c>
      <c r="FN282" s="5" t="s">
        <v>237</v>
      </c>
      <c r="FP282" s="6">
        <v>5.15</v>
      </c>
      <c r="FQ282" t="s">
        <v>450</v>
      </c>
      <c r="FS282" t="s">
        <v>240</v>
      </c>
      <c r="FT282" t="e">
        <f>FQ282=#REF!</f>
        <v>#REF!</v>
      </c>
      <c r="FU282" s="8">
        <v>1</v>
      </c>
      <c r="FV282" s="8">
        <v>10</v>
      </c>
      <c r="FW282" s="8">
        <v>10</v>
      </c>
      <c r="FX282" s="8">
        <v>10</v>
      </c>
      <c r="FY282" s="8">
        <v>3</v>
      </c>
      <c r="FZ282">
        <f t="shared" si="4"/>
        <v>3000</v>
      </c>
      <c r="GA282" s="7" t="s">
        <v>241</v>
      </c>
      <c r="GB282" s="7" t="s">
        <v>241</v>
      </c>
      <c r="GC282" s="6">
        <v>30</v>
      </c>
      <c r="GD282" s="348" t="s">
        <v>242</v>
      </c>
      <c r="GF282" s="6">
        <v>1.7166666666666667E-2</v>
      </c>
      <c r="GH282" s="7"/>
      <c r="GI282" s="445"/>
      <c r="GJ282" s="445"/>
      <c r="GK282" s="445"/>
      <c r="GL282" s="445"/>
      <c r="GM282" s="460" t="s">
        <v>329</v>
      </c>
      <c r="GN282" s="448"/>
      <c r="GO282" s="448"/>
      <c r="GP282" s="448"/>
      <c r="GQ282" s="448"/>
      <c r="GR282" s="460" t="s">
        <v>329</v>
      </c>
      <c r="GU282" t="s">
        <v>243</v>
      </c>
      <c r="GV282" t="s">
        <v>236</v>
      </c>
      <c r="GW282" t="s">
        <v>244</v>
      </c>
      <c r="GX282" t="s">
        <v>236</v>
      </c>
      <c r="GY282" t="s">
        <v>245</v>
      </c>
      <c r="HE282" t="s">
        <v>246</v>
      </c>
      <c r="HF282" t="s">
        <v>236</v>
      </c>
      <c r="HG282" t="s">
        <v>231</v>
      </c>
      <c r="HH282" t="s">
        <v>236</v>
      </c>
      <c r="HI282" t="s">
        <v>247</v>
      </c>
      <c r="HJ282" t="s">
        <v>223</v>
      </c>
      <c r="HK282" t="s">
        <v>266</v>
      </c>
      <c r="HO282" t="s">
        <v>231</v>
      </c>
      <c r="HP282" t="s">
        <v>223</v>
      </c>
      <c r="HQ282" t="s">
        <v>231</v>
      </c>
      <c r="HR282" t="s">
        <v>223</v>
      </c>
      <c r="HU282" t="s">
        <v>231</v>
      </c>
      <c r="HV282" t="s">
        <v>223</v>
      </c>
      <c r="HW282" t="s">
        <v>246</v>
      </c>
      <c r="HX282" t="s">
        <v>236</v>
      </c>
      <c r="IA282" t="s">
        <v>231</v>
      </c>
      <c r="IB282" t="s">
        <v>250</v>
      </c>
      <c r="IC282" s="447"/>
      <c r="ID282" s="447"/>
      <c r="IE282" s="447"/>
      <c r="IF282" s="447"/>
      <c r="IG282" s="459" t="s">
        <v>451</v>
      </c>
      <c r="IH282" t="s">
        <v>235</v>
      </c>
    </row>
    <row r="283" spans="1:242" x14ac:dyDescent="0.35">
      <c r="A283" s="310" t="s">
        <v>1690</v>
      </c>
      <c r="B283" s="313" t="s">
        <v>1691</v>
      </c>
      <c r="C283" s="310" t="s">
        <v>1692</v>
      </c>
      <c r="D283" s="316"/>
      <c r="F283" t="s">
        <v>1693</v>
      </c>
      <c r="I283" s="310" t="s">
        <v>1694</v>
      </c>
      <c r="M283" s="313" t="s">
        <v>220</v>
      </c>
      <c r="O283" t="s">
        <v>221</v>
      </c>
      <c r="P283" s="381"/>
      <c r="Q283" t="s">
        <v>221</v>
      </c>
      <c r="T283" s="8"/>
      <c r="U283" t="s">
        <v>221</v>
      </c>
      <c r="V283" s="313"/>
      <c r="W283" t="s">
        <v>220</v>
      </c>
      <c r="X283" t="s">
        <v>220</v>
      </c>
      <c r="Z283" t="s">
        <v>220</v>
      </c>
      <c r="AB283"/>
      <c r="AD283" s="8" t="s">
        <v>222</v>
      </c>
      <c r="AF283" s="8" t="s">
        <v>222</v>
      </c>
      <c r="AG283"/>
      <c r="AH283"/>
      <c r="AI283"/>
      <c r="AJ283" t="s">
        <v>221</v>
      </c>
      <c r="AK283">
        <v>0</v>
      </c>
      <c r="AL283">
        <v>1</v>
      </c>
      <c r="AM283" t="s">
        <v>221</v>
      </c>
      <c r="AN283" t="s">
        <v>249</v>
      </c>
      <c r="AO283" t="s">
        <v>221</v>
      </c>
      <c r="AP283"/>
      <c r="AQ283" t="s">
        <v>221</v>
      </c>
      <c r="AR283" t="s">
        <v>223</v>
      </c>
      <c r="AS283" t="s">
        <v>221</v>
      </c>
      <c r="AT283"/>
      <c r="AU283" t="s">
        <v>220</v>
      </c>
      <c r="AV283"/>
      <c r="AW283" s="313" t="s">
        <v>220</v>
      </c>
      <c r="AX283" t="s">
        <v>226</v>
      </c>
      <c r="AY283" s="313" t="s">
        <v>220</v>
      </c>
      <c r="AZ283" s="313">
        <v>0.22900000000000001</v>
      </c>
      <c r="BB283" s="313" t="s">
        <v>220</v>
      </c>
      <c r="BC283">
        <v>0.153</v>
      </c>
      <c r="BD283" t="s">
        <v>220</v>
      </c>
      <c r="BE283">
        <v>0.215</v>
      </c>
      <c r="BF283" s="2" t="s">
        <v>220</v>
      </c>
      <c r="BH283" s="2" t="s">
        <v>228</v>
      </c>
      <c r="BI283" s="2" t="s">
        <v>229</v>
      </c>
      <c r="BM283"/>
      <c r="BP283" s="8"/>
      <c r="BQ283" t="s">
        <v>230</v>
      </c>
      <c r="BR283" t="s">
        <v>230</v>
      </c>
      <c r="BU283" t="s">
        <v>231</v>
      </c>
      <c r="BV283" t="s">
        <v>225</v>
      </c>
      <c r="BW283" t="s">
        <v>232</v>
      </c>
      <c r="BX283" t="s">
        <v>276</v>
      </c>
      <c r="BY283" t="s">
        <v>220</v>
      </c>
      <c r="BZ283">
        <v>0.30299999999999999</v>
      </c>
      <c r="CA283" t="s">
        <v>372</v>
      </c>
      <c r="CC283" t="s">
        <v>220</v>
      </c>
      <c r="CD283" t="s">
        <v>220</v>
      </c>
      <c r="CF283" t="s">
        <v>220</v>
      </c>
      <c r="CG283">
        <v>0.189</v>
      </c>
      <c r="CH283" t="s">
        <v>220</v>
      </c>
      <c r="CI283">
        <v>0.5</v>
      </c>
      <c r="CK283"/>
      <c r="CL283" t="s">
        <v>220</v>
      </c>
      <c r="CM283" t="s">
        <v>231</v>
      </c>
      <c r="CS283" s="8"/>
      <c r="CW283" t="s">
        <v>220</v>
      </c>
      <c r="CX283" t="s">
        <v>220</v>
      </c>
      <c r="CY283" t="s">
        <v>231</v>
      </c>
      <c r="CZ283" t="s">
        <v>257</v>
      </c>
      <c r="DA283" t="s">
        <v>227</v>
      </c>
      <c r="DB283" t="s">
        <v>220</v>
      </c>
      <c r="DC283"/>
      <c r="DD283"/>
      <c r="DE283"/>
      <c r="DF283"/>
      <c r="DG283"/>
      <c r="DH283" s="323"/>
      <c r="DI283" s="323"/>
      <c r="DJ283" s="323"/>
      <c r="DL283" t="s">
        <v>257</v>
      </c>
      <c r="DM283" t="s">
        <v>220</v>
      </c>
      <c r="DN283" t="s">
        <v>257</v>
      </c>
      <c r="DO283" t="s">
        <v>220</v>
      </c>
      <c r="DP283" t="s">
        <v>257</v>
      </c>
      <c r="DS283" s="309">
        <v>75.013000000000005</v>
      </c>
      <c r="DU283" s="309">
        <v>453.70499999999998</v>
      </c>
      <c r="DW283"/>
      <c r="DX283" t="s">
        <v>235</v>
      </c>
      <c r="DY283"/>
      <c r="DZ283" t="s">
        <v>235</v>
      </c>
      <c r="EA283"/>
      <c r="EB283"/>
      <c r="ED283" s="410"/>
      <c r="EE283" s="1"/>
      <c r="EG283" s="410"/>
      <c r="EI283" s="410"/>
      <c r="EK283" s="1"/>
      <c r="EM283"/>
      <c r="EQ283" s="344"/>
      <c r="EU283" s="344"/>
      <c r="EW283" s="409"/>
      <c r="EY283" s="1"/>
      <c r="FA283">
        <v>81.09</v>
      </c>
      <c r="FB283" t="s">
        <v>236</v>
      </c>
      <c r="FC283" s="7">
        <v>69.502431758879723</v>
      </c>
      <c r="FD283" s="357" t="s">
        <v>225</v>
      </c>
      <c r="FE283" s="8">
        <v>27.002252868882398</v>
      </c>
      <c r="FF283" t="s">
        <v>237</v>
      </c>
      <c r="FH283" s="9">
        <v>135.17612728214164</v>
      </c>
      <c r="FI283" s="9" t="s">
        <v>225</v>
      </c>
      <c r="FK283" t="s">
        <v>235</v>
      </c>
      <c r="FL283">
        <v>73.5</v>
      </c>
      <c r="FM283">
        <v>69.710789290200395</v>
      </c>
      <c r="FN283" s="5" t="s">
        <v>237</v>
      </c>
      <c r="FP283" s="6">
        <v>3.4855394645100199</v>
      </c>
      <c r="FQ283" t="s">
        <v>277</v>
      </c>
      <c r="FS283" t="s">
        <v>240</v>
      </c>
      <c r="FT283" t="e">
        <f>FQ283=#REF!</f>
        <v>#REF!</v>
      </c>
      <c r="FU283" s="8">
        <v>2</v>
      </c>
      <c r="FV283" s="8">
        <v>10</v>
      </c>
      <c r="FW283" s="8">
        <v>10</v>
      </c>
      <c r="FX283" s="8">
        <v>10</v>
      </c>
      <c r="FY283" s="8">
        <v>3</v>
      </c>
      <c r="FZ283">
        <f t="shared" si="4"/>
        <v>6000</v>
      </c>
      <c r="GA283" s="7" t="s">
        <v>326</v>
      </c>
      <c r="GB283" s="7" t="s">
        <v>326</v>
      </c>
      <c r="GC283" s="6">
        <v>1.5</v>
      </c>
      <c r="GD283" s="348" t="s">
        <v>242</v>
      </c>
      <c r="GF283" s="6">
        <v>2.4499999999999997E-2</v>
      </c>
      <c r="GH283" s="7"/>
      <c r="GI283" s="441" t="s">
        <v>395</v>
      </c>
      <c r="GJ283" s="441" t="s">
        <v>395</v>
      </c>
      <c r="GK283" s="441" t="s">
        <v>395</v>
      </c>
      <c r="GL283" s="441" t="s">
        <v>395</v>
      </c>
      <c r="GM283" s="452" t="s">
        <v>529</v>
      </c>
      <c r="GN283" s="6">
        <v>0.01</v>
      </c>
      <c r="GO283" s="6">
        <v>1.8749999999999999E-2</v>
      </c>
      <c r="GP283" s="6">
        <v>0.03</v>
      </c>
      <c r="GQ283" s="6">
        <v>7.4999999999999997E-2</v>
      </c>
      <c r="GR283" s="6" t="s">
        <v>230</v>
      </c>
      <c r="GU283" t="s">
        <v>243</v>
      </c>
      <c r="GV283" t="s">
        <v>236</v>
      </c>
      <c r="GW283" t="s">
        <v>359</v>
      </c>
      <c r="GX283" t="s">
        <v>223</v>
      </c>
      <c r="GY283" t="s">
        <v>245</v>
      </c>
      <c r="GZ283" t="s">
        <v>376</v>
      </c>
      <c r="HB283" t="s">
        <v>376</v>
      </c>
      <c r="HE283" t="s">
        <v>247</v>
      </c>
      <c r="HF283" t="s">
        <v>249</v>
      </c>
      <c r="HG283" t="s">
        <v>231</v>
      </c>
      <c r="HH283" t="s">
        <v>223</v>
      </c>
      <c r="HI283" t="s">
        <v>247</v>
      </c>
      <c r="HJ283" t="s">
        <v>249</v>
      </c>
      <c r="HK283" t="s">
        <v>266</v>
      </c>
      <c r="HL283" t="s">
        <v>231</v>
      </c>
      <c r="HM283" t="s">
        <v>231</v>
      </c>
      <c r="HO283" t="s">
        <v>231</v>
      </c>
      <c r="HP283" t="s">
        <v>249</v>
      </c>
      <c r="HQ283" t="s">
        <v>231</v>
      </c>
      <c r="HR283" t="s">
        <v>249</v>
      </c>
      <c r="HS283" t="s">
        <v>231</v>
      </c>
      <c r="HU283" t="s">
        <v>231</v>
      </c>
      <c r="HV283" t="s">
        <v>249</v>
      </c>
      <c r="HW283" t="s">
        <v>246</v>
      </c>
      <c r="HX283" t="s">
        <v>236</v>
      </c>
      <c r="IA283" t="s">
        <v>231</v>
      </c>
      <c r="IB283" t="s">
        <v>250</v>
      </c>
      <c r="IC283" t="s">
        <v>395</v>
      </c>
      <c r="ID283" t="s">
        <v>395</v>
      </c>
      <c r="IE283" t="s">
        <v>395</v>
      </c>
      <c r="IF283" t="s">
        <v>395</v>
      </c>
      <c r="IH283" t="s">
        <v>235</v>
      </c>
    </row>
    <row r="284" spans="1:242" x14ac:dyDescent="0.35">
      <c r="A284" s="310" t="s">
        <v>1695</v>
      </c>
      <c r="B284" s="313" t="s">
        <v>1696</v>
      </c>
      <c r="C284" s="310" t="s">
        <v>1697</v>
      </c>
      <c r="D284" s="316"/>
      <c r="F284" t="s">
        <v>1697</v>
      </c>
      <c r="I284" s="310" t="s">
        <v>1698</v>
      </c>
      <c r="M284" s="313"/>
      <c r="O284"/>
      <c r="P284" s="381"/>
      <c r="Q284"/>
      <c r="T284" s="8"/>
      <c r="U284"/>
      <c r="V284" s="313"/>
      <c r="W284"/>
      <c r="X284"/>
      <c r="Z284"/>
      <c r="AB284"/>
      <c r="AD284" s="8" t="s">
        <v>230</v>
      </c>
      <c r="AF284" s="8" t="s">
        <v>230</v>
      </c>
      <c r="AG284"/>
      <c r="AH284"/>
      <c r="AI284"/>
      <c r="AJ284" t="s">
        <v>221</v>
      </c>
      <c r="AK284">
        <v>0</v>
      </c>
      <c r="AL284">
        <v>0.5</v>
      </c>
      <c r="AM284" t="s">
        <v>221</v>
      </c>
      <c r="AN284" t="s">
        <v>236</v>
      </c>
      <c r="AO284" t="s">
        <v>221</v>
      </c>
      <c r="AP284" t="s">
        <v>225</v>
      </c>
      <c r="AQ284" t="s">
        <v>221</v>
      </c>
      <c r="AR284" t="s">
        <v>225</v>
      </c>
      <c r="AS284" t="s">
        <v>221</v>
      </c>
      <c r="AT284" t="s">
        <v>225</v>
      </c>
      <c r="AU284" t="s">
        <v>272</v>
      </c>
      <c r="AV284"/>
      <c r="AW284" s="313" t="s">
        <v>227</v>
      </c>
      <c r="AX284" t="s">
        <v>226</v>
      </c>
      <c r="AY284" s="313" t="s">
        <v>227</v>
      </c>
      <c r="AZ284" s="313">
        <v>4.36E-2</v>
      </c>
      <c r="BB284" s="313" t="s">
        <v>227</v>
      </c>
      <c r="BC284">
        <v>2.3400000000000001E-2</v>
      </c>
      <c r="BD284" t="s">
        <v>227</v>
      </c>
      <c r="BE284">
        <v>5.2400000000000002E-2</v>
      </c>
      <c r="BF284" s="2" t="s">
        <v>220</v>
      </c>
      <c r="BG284" s="2" t="s">
        <v>273</v>
      </c>
      <c r="BH284" s="2" t="s">
        <v>274</v>
      </c>
      <c r="BI284" s="2" t="s">
        <v>275</v>
      </c>
      <c r="BM284"/>
      <c r="BP284" s="8"/>
      <c r="BQ284" t="s">
        <v>230</v>
      </c>
      <c r="BR284" t="s">
        <v>230</v>
      </c>
      <c r="BU284" t="s">
        <v>231</v>
      </c>
      <c r="BV284" t="s">
        <v>223</v>
      </c>
      <c r="BW284" t="s">
        <v>232</v>
      </c>
      <c r="BX284" t="s">
        <v>500</v>
      </c>
      <c r="BY284" t="s">
        <v>227</v>
      </c>
      <c r="BZ284">
        <v>0.17899999999999999</v>
      </c>
      <c r="CA284" t="s">
        <v>234</v>
      </c>
      <c r="CF284" t="s">
        <v>227</v>
      </c>
      <c r="CG284">
        <v>1.5299999999999999E-2</v>
      </c>
      <c r="CH284" t="s">
        <v>227</v>
      </c>
      <c r="CI284">
        <v>1.67E-2</v>
      </c>
      <c r="CK284"/>
      <c r="CL284"/>
      <c r="CM284"/>
      <c r="CS284" s="8"/>
      <c r="CW284" t="s">
        <v>227</v>
      </c>
      <c r="CX284" t="s">
        <v>227</v>
      </c>
      <c r="CY284" t="s">
        <v>231</v>
      </c>
      <c r="CZ284" t="s">
        <v>227</v>
      </c>
      <c r="DA284" t="s">
        <v>227</v>
      </c>
      <c r="DB284" t="s">
        <v>227</v>
      </c>
      <c r="DC284"/>
      <c r="DD284"/>
      <c r="DE284"/>
      <c r="DF284"/>
      <c r="DG284"/>
      <c r="DH284" s="323"/>
      <c r="DI284" s="323"/>
      <c r="DJ284" s="323"/>
      <c r="DL284" t="s">
        <v>227</v>
      </c>
      <c r="DM284" t="s">
        <v>227</v>
      </c>
      <c r="DN284" t="s">
        <v>227</v>
      </c>
      <c r="DO284" t="s">
        <v>227</v>
      </c>
      <c r="DP284" t="s">
        <v>227</v>
      </c>
      <c r="DS284" s="338">
        <v>4542.6350000000002</v>
      </c>
      <c r="DT284" s="8" t="s">
        <v>394</v>
      </c>
      <c r="DU284" s="338">
        <v>446.19499999999999</v>
      </c>
      <c r="DV284" s="8" t="s">
        <v>394</v>
      </c>
      <c r="DW284">
        <v>25.5</v>
      </c>
      <c r="DX284" t="s">
        <v>238</v>
      </c>
      <c r="DY284">
        <v>1530</v>
      </c>
      <c r="DZ284" t="s">
        <v>238</v>
      </c>
      <c r="EA284"/>
      <c r="EB284"/>
      <c r="ED284" s="410"/>
      <c r="EE284" s="1"/>
      <c r="EG284" s="410"/>
      <c r="EI284" s="410"/>
      <c r="EK284" s="1"/>
      <c r="EM284"/>
      <c r="EQ284" s="344"/>
      <c r="EU284" s="344"/>
      <c r="EW284" s="409"/>
      <c r="EY284" s="1"/>
      <c r="FA284">
        <v>111.69</v>
      </c>
      <c r="FB284" t="s">
        <v>225</v>
      </c>
      <c r="FC284" s="7">
        <v>4284.4985481370159</v>
      </c>
      <c r="FD284" s="357" t="s">
        <v>236</v>
      </c>
      <c r="FE284" s="8">
        <v>3.4221575515373921</v>
      </c>
      <c r="FF284" t="s">
        <v>237</v>
      </c>
      <c r="FH284" s="9">
        <v>1664.5620920792371</v>
      </c>
      <c r="FI284" s="9" t="s">
        <v>236</v>
      </c>
      <c r="FJ284">
        <v>157</v>
      </c>
      <c r="FK284" t="s">
        <v>238</v>
      </c>
      <c r="FL284">
        <v>44.7</v>
      </c>
      <c r="FM284">
        <v>45.373261693794163</v>
      </c>
      <c r="FN284" s="5" t="s">
        <v>237</v>
      </c>
      <c r="FP284" s="6">
        <v>4.4700000000000006</v>
      </c>
      <c r="FQ284" t="s">
        <v>239</v>
      </c>
      <c r="FS284" t="s">
        <v>240</v>
      </c>
      <c r="FT284" t="e">
        <f>FQ284=#REF!</f>
        <v>#REF!</v>
      </c>
      <c r="FU284" s="8">
        <v>1</v>
      </c>
      <c r="FV284" s="8">
        <v>10</v>
      </c>
      <c r="FW284" s="8">
        <v>10</v>
      </c>
      <c r="FX284" s="8">
        <v>10</v>
      </c>
      <c r="FY284" s="8">
        <v>3</v>
      </c>
      <c r="FZ284">
        <f t="shared" si="4"/>
        <v>3000</v>
      </c>
      <c r="GA284" s="7" t="s">
        <v>241</v>
      </c>
      <c r="GB284" s="7" t="s">
        <v>241</v>
      </c>
      <c r="GC284" s="6">
        <v>30</v>
      </c>
      <c r="GD284" s="348" t="s">
        <v>242</v>
      </c>
      <c r="GF284" s="6">
        <v>1.4900000000000002E-2</v>
      </c>
      <c r="GH284" s="7"/>
      <c r="GI284" s="445"/>
      <c r="GJ284" s="445"/>
      <c r="GK284" s="445"/>
      <c r="GL284" s="445"/>
      <c r="GM284" s="453"/>
      <c r="GN284" s="6">
        <v>0.2</v>
      </c>
      <c r="GO284" s="6">
        <v>0.375</v>
      </c>
      <c r="GP284" s="6">
        <v>0.6</v>
      </c>
      <c r="GQ284" s="6">
        <v>1.5</v>
      </c>
      <c r="GR284" s="6" t="s">
        <v>230</v>
      </c>
      <c r="GU284" t="s">
        <v>243</v>
      </c>
      <c r="GV284" t="s">
        <v>236</v>
      </c>
      <c r="GW284" t="s">
        <v>244</v>
      </c>
      <c r="GX284" t="s">
        <v>236</v>
      </c>
      <c r="GY284" t="s">
        <v>245</v>
      </c>
      <c r="HE284" t="s">
        <v>246</v>
      </c>
      <c r="HF284" t="s">
        <v>236</v>
      </c>
      <c r="HG284" t="s">
        <v>231</v>
      </c>
      <c r="HH284" t="s">
        <v>236</v>
      </c>
      <c r="HI284" t="s">
        <v>247</v>
      </c>
      <c r="HJ284" t="s">
        <v>223</v>
      </c>
      <c r="HK284" t="s">
        <v>266</v>
      </c>
      <c r="HO284" t="s">
        <v>231</v>
      </c>
      <c r="HP284" t="s">
        <v>223</v>
      </c>
      <c r="HQ284" t="s">
        <v>231</v>
      </c>
      <c r="HR284" t="s">
        <v>223</v>
      </c>
      <c r="HU284" t="s">
        <v>231</v>
      </c>
      <c r="HV284" t="s">
        <v>225</v>
      </c>
      <c r="HW284" t="s">
        <v>246</v>
      </c>
      <c r="HX284" t="s">
        <v>236</v>
      </c>
      <c r="IA284" t="s">
        <v>231</v>
      </c>
      <c r="IB284" t="s">
        <v>250</v>
      </c>
      <c r="IC284" s="447"/>
      <c r="ID284" s="447"/>
      <c r="IE284" s="447"/>
      <c r="IF284" s="447"/>
      <c r="IH284" t="s">
        <v>235</v>
      </c>
    </row>
    <row r="285" spans="1:242" x14ac:dyDescent="0.35">
      <c r="A285" s="310" t="s">
        <v>1699</v>
      </c>
      <c r="B285" s="313" t="s">
        <v>1700</v>
      </c>
      <c r="C285" s="310" t="s">
        <v>1701</v>
      </c>
      <c r="D285" s="316"/>
      <c r="F285" t="s">
        <v>1702</v>
      </c>
      <c r="I285" s="310" t="s">
        <v>1703</v>
      </c>
      <c r="M285" s="313"/>
      <c r="O285"/>
      <c r="P285" s="381"/>
      <c r="Q285"/>
      <c r="T285" s="8"/>
      <c r="U285"/>
      <c r="V285" s="313"/>
      <c r="W285"/>
      <c r="X285"/>
      <c r="Z285"/>
      <c r="AB285"/>
      <c r="AD285" s="8" t="s">
        <v>230</v>
      </c>
      <c r="AF285" s="8" t="s">
        <v>230</v>
      </c>
      <c r="AG285"/>
      <c r="AH285"/>
      <c r="AI285"/>
      <c r="AJ285" t="s">
        <v>221</v>
      </c>
      <c r="AK285">
        <v>0</v>
      </c>
      <c r="AL285">
        <v>0.9</v>
      </c>
      <c r="AM285" t="s">
        <v>221</v>
      </c>
      <c r="AN285" t="s">
        <v>223</v>
      </c>
      <c r="AO285" t="s">
        <v>221</v>
      </c>
      <c r="AP285" t="s">
        <v>223</v>
      </c>
      <c r="AQ285" t="s">
        <v>221</v>
      </c>
      <c r="AR285" t="s">
        <v>223</v>
      </c>
      <c r="AS285" t="s">
        <v>221</v>
      </c>
      <c r="AT285" t="s">
        <v>223</v>
      </c>
      <c r="AU285" t="s">
        <v>220</v>
      </c>
      <c r="AV285"/>
      <c r="AW285" s="313" t="s">
        <v>220</v>
      </c>
      <c r="AX285" t="s">
        <v>226</v>
      </c>
      <c r="AY285" s="313" t="s">
        <v>220</v>
      </c>
      <c r="AZ285" s="313">
        <v>2.01E-2</v>
      </c>
      <c r="BB285" s="313" t="s">
        <v>220</v>
      </c>
      <c r="BC285">
        <v>2.3099999999999999E-2</v>
      </c>
      <c r="BD285" t="s">
        <v>220</v>
      </c>
      <c r="BE285">
        <v>2.2200000000000001E-2</v>
      </c>
      <c r="BF285" s="2" t="s">
        <v>220</v>
      </c>
      <c r="BG285" s="2" t="s">
        <v>273</v>
      </c>
      <c r="BH285" s="2" t="s">
        <v>274</v>
      </c>
      <c r="BI285" s="2" t="s">
        <v>275</v>
      </c>
      <c r="BM285"/>
      <c r="BP285" s="8"/>
      <c r="BQ285" t="s">
        <v>230</v>
      </c>
      <c r="BR285" t="s">
        <v>230</v>
      </c>
      <c r="BU285" t="s">
        <v>317</v>
      </c>
      <c r="BV285" t="s">
        <v>225</v>
      </c>
      <c r="BW285" t="s">
        <v>232</v>
      </c>
      <c r="BX285" t="s">
        <v>276</v>
      </c>
      <c r="BY285" t="s">
        <v>220</v>
      </c>
      <c r="BZ285">
        <v>0.182</v>
      </c>
      <c r="CA285" t="s">
        <v>234</v>
      </c>
      <c r="CF285" t="s">
        <v>220</v>
      </c>
      <c r="CG285">
        <v>0.14499999999999999</v>
      </c>
      <c r="CH285" t="s">
        <v>257</v>
      </c>
      <c r="CI285">
        <v>0.505</v>
      </c>
      <c r="CK285"/>
      <c r="CL285"/>
      <c r="CM285"/>
      <c r="CS285" s="8"/>
      <c r="CW285" t="s">
        <v>220</v>
      </c>
      <c r="CX285" t="s">
        <v>227</v>
      </c>
      <c r="CY285" t="s">
        <v>231</v>
      </c>
      <c r="CZ285" t="s">
        <v>227</v>
      </c>
      <c r="DA285" t="s">
        <v>227</v>
      </c>
      <c r="DB285" t="s">
        <v>227</v>
      </c>
      <c r="DC285"/>
      <c r="DD285"/>
      <c r="DE285"/>
      <c r="DF285"/>
      <c r="DG285"/>
      <c r="DH285" s="323"/>
      <c r="DI285" s="323"/>
      <c r="DJ285" s="323"/>
      <c r="DL285" t="s">
        <v>227</v>
      </c>
      <c r="DM285" t="s">
        <v>227</v>
      </c>
      <c r="DN285" t="s">
        <v>227</v>
      </c>
      <c r="DO285" t="s">
        <v>227</v>
      </c>
      <c r="DP285" t="s">
        <v>227</v>
      </c>
      <c r="DS285" s="309">
        <v>47.536999999999999</v>
      </c>
      <c r="DU285" s="309">
        <v>312.18</v>
      </c>
      <c r="DW285"/>
      <c r="DX285" t="s">
        <v>235</v>
      </c>
      <c r="DY285"/>
      <c r="DZ285" t="s">
        <v>235</v>
      </c>
      <c r="EA285"/>
      <c r="EB285"/>
      <c r="ED285" s="410"/>
      <c r="EE285" s="1"/>
      <c r="EG285" s="410"/>
      <c r="EI285" s="410"/>
      <c r="EK285" s="1"/>
      <c r="EM285"/>
      <c r="EQ285" s="344"/>
      <c r="EU285" s="344"/>
      <c r="EW285" s="409"/>
      <c r="EY285" s="1"/>
      <c r="FA285">
        <v>35.78</v>
      </c>
      <c r="FB285" t="s">
        <v>236</v>
      </c>
      <c r="FC285" s="7">
        <v>49.49940743969352</v>
      </c>
      <c r="FD285" s="357" t="s">
        <v>236</v>
      </c>
      <c r="FE285" s="8">
        <v>12.852866599436158</v>
      </c>
      <c r="FF285" t="s">
        <v>237</v>
      </c>
      <c r="FH285" s="9">
        <v>314.12319059861892</v>
      </c>
      <c r="FI285" s="9" t="s">
        <v>225</v>
      </c>
      <c r="FJ285">
        <v>977</v>
      </c>
      <c r="FK285" t="s">
        <v>238</v>
      </c>
      <c r="FL285">
        <v>54.3</v>
      </c>
      <c r="FM285">
        <v>260.67537081234315</v>
      </c>
      <c r="FN285" s="5" t="s">
        <v>237</v>
      </c>
      <c r="FP285" s="6">
        <v>5.43</v>
      </c>
      <c r="FQ285" t="s">
        <v>239</v>
      </c>
      <c r="FS285" t="s">
        <v>240</v>
      </c>
      <c r="FT285" t="e">
        <f>FQ285=#REF!</f>
        <v>#REF!</v>
      </c>
      <c r="FU285" s="8">
        <v>1</v>
      </c>
      <c r="FV285" s="8">
        <v>10</v>
      </c>
      <c r="FW285" s="8">
        <v>10</v>
      </c>
      <c r="FX285" s="8">
        <v>10</v>
      </c>
      <c r="FY285" s="8">
        <v>3</v>
      </c>
      <c r="FZ285">
        <f t="shared" si="4"/>
        <v>3000</v>
      </c>
      <c r="GA285" s="7" t="s">
        <v>303</v>
      </c>
      <c r="GB285" s="7" t="s">
        <v>303</v>
      </c>
      <c r="GC285" s="6">
        <v>9</v>
      </c>
      <c r="GD285" s="348" t="s">
        <v>304</v>
      </c>
      <c r="GF285" s="6">
        <v>1.8099999999999998E-2</v>
      </c>
      <c r="GH285" s="7"/>
      <c r="GI285" s="441" t="s">
        <v>395</v>
      </c>
      <c r="GJ285" s="441" t="s">
        <v>395</v>
      </c>
      <c r="GK285" s="441" t="s">
        <v>395</v>
      </c>
      <c r="GL285" s="441" t="s">
        <v>395</v>
      </c>
      <c r="GM285" s="452" t="s">
        <v>529</v>
      </c>
      <c r="GN285" s="6">
        <v>0.06</v>
      </c>
      <c r="GO285" s="6">
        <v>0.1125</v>
      </c>
      <c r="GP285" s="6">
        <v>0.18</v>
      </c>
      <c r="GQ285" s="6">
        <v>0.45</v>
      </c>
      <c r="GR285" s="6" t="s">
        <v>230</v>
      </c>
      <c r="GU285" t="s">
        <v>365</v>
      </c>
      <c r="GV285" t="s">
        <v>223</v>
      </c>
      <c r="GW285" t="s">
        <v>359</v>
      </c>
      <c r="GX285" t="s">
        <v>236</v>
      </c>
      <c r="GY285" t="s">
        <v>245</v>
      </c>
      <c r="HE285" t="s">
        <v>247</v>
      </c>
      <c r="HF285" t="s">
        <v>236</v>
      </c>
      <c r="HG285" t="s">
        <v>231</v>
      </c>
      <c r="HH285" t="s">
        <v>236</v>
      </c>
      <c r="HI285" t="s">
        <v>1435</v>
      </c>
      <c r="HJ285" t="s">
        <v>223</v>
      </c>
      <c r="HK285" t="s">
        <v>248</v>
      </c>
      <c r="HO285" t="s">
        <v>231</v>
      </c>
      <c r="HP285" t="s">
        <v>223</v>
      </c>
      <c r="HQ285" t="s">
        <v>231</v>
      </c>
      <c r="HR285" t="s">
        <v>223</v>
      </c>
      <c r="HU285" t="s">
        <v>231</v>
      </c>
      <c r="HV285" t="s">
        <v>223</v>
      </c>
      <c r="HW285" t="s">
        <v>506</v>
      </c>
      <c r="HX285" t="s">
        <v>236</v>
      </c>
      <c r="IA285" t="s">
        <v>231</v>
      </c>
      <c r="IB285" t="s">
        <v>250</v>
      </c>
      <c r="IC285" t="s">
        <v>395</v>
      </c>
      <c r="ID285" t="s">
        <v>395</v>
      </c>
      <c r="IE285" t="s">
        <v>395</v>
      </c>
      <c r="IF285" t="s">
        <v>395</v>
      </c>
      <c r="IH285" t="s">
        <v>235</v>
      </c>
    </row>
    <row r="286" spans="1:242" x14ac:dyDescent="0.35">
      <c r="A286" s="310" t="s">
        <v>1704</v>
      </c>
      <c r="B286" s="313" t="s">
        <v>1705</v>
      </c>
      <c r="C286" s="310" t="s">
        <v>1706</v>
      </c>
      <c r="D286" s="316"/>
      <c r="F286" t="s">
        <v>1707</v>
      </c>
      <c r="I286" s="310" t="s">
        <v>1708</v>
      </c>
      <c r="M286" s="313"/>
      <c r="O286"/>
      <c r="P286" s="381"/>
      <c r="Q286"/>
      <c r="T286" s="8"/>
      <c r="U286"/>
      <c r="V286" s="313"/>
      <c r="W286"/>
      <c r="X286"/>
      <c r="Z286"/>
      <c r="AB286"/>
      <c r="AD286" s="8" t="s">
        <v>230</v>
      </c>
      <c r="AF286" s="8" t="s">
        <v>230</v>
      </c>
      <c r="AG286"/>
      <c r="AH286"/>
      <c r="AI286"/>
      <c r="AJ286" t="s">
        <v>221</v>
      </c>
      <c r="AK286">
        <v>0</v>
      </c>
      <c r="AL286">
        <v>0.82499999999999996</v>
      </c>
      <c r="AM286" t="s">
        <v>221</v>
      </c>
      <c r="AN286" t="s">
        <v>223</v>
      </c>
      <c r="AO286" t="s">
        <v>221</v>
      </c>
      <c r="AP286" t="s">
        <v>223</v>
      </c>
      <c r="AQ286" t="s">
        <v>221</v>
      </c>
      <c r="AR286" t="s">
        <v>225</v>
      </c>
      <c r="AS286" t="s">
        <v>221</v>
      </c>
      <c r="AT286" t="s">
        <v>223</v>
      </c>
      <c r="AU286" t="s">
        <v>220</v>
      </c>
      <c r="AV286"/>
      <c r="AW286" s="313" t="s">
        <v>220</v>
      </c>
      <c r="AX286" t="s">
        <v>226</v>
      </c>
      <c r="AY286" s="313" t="s">
        <v>220</v>
      </c>
      <c r="AZ286" s="313">
        <v>0.224</v>
      </c>
      <c r="BB286" s="313" t="s">
        <v>220</v>
      </c>
      <c r="BC286">
        <v>0.14000000000000001</v>
      </c>
      <c r="BD286" t="s">
        <v>220</v>
      </c>
      <c r="BE286">
        <v>3.6700000000000003E-2</v>
      </c>
      <c r="BF286" s="2" t="s">
        <v>220</v>
      </c>
      <c r="BG286" s="2" t="s">
        <v>273</v>
      </c>
      <c r="BH286" s="2" t="s">
        <v>274</v>
      </c>
      <c r="BI286" s="2" t="s">
        <v>275</v>
      </c>
      <c r="BM286"/>
      <c r="BP286" s="8"/>
      <c r="BQ286" t="s">
        <v>230</v>
      </c>
      <c r="BR286" t="s">
        <v>230</v>
      </c>
      <c r="BU286" t="s">
        <v>231</v>
      </c>
      <c r="BV286" t="s">
        <v>225</v>
      </c>
      <c r="BW286" t="s">
        <v>232</v>
      </c>
      <c r="BX286" t="s">
        <v>276</v>
      </c>
      <c r="BY286" t="s">
        <v>227</v>
      </c>
      <c r="BZ286">
        <v>0.28699999999999998</v>
      </c>
      <c r="CA286" t="s">
        <v>234</v>
      </c>
      <c r="CF286" t="s">
        <v>220</v>
      </c>
      <c r="CG286">
        <v>0.25</v>
      </c>
      <c r="CH286" t="s">
        <v>220</v>
      </c>
      <c r="CI286">
        <v>0.128</v>
      </c>
      <c r="CK286"/>
      <c r="CL286"/>
      <c r="CM286"/>
      <c r="CS286" s="8"/>
      <c r="CW286" t="s">
        <v>220</v>
      </c>
      <c r="CX286" t="s">
        <v>220</v>
      </c>
      <c r="CY286" t="s">
        <v>231</v>
      </c>
      <c r="CZ286" t="s">
        <v>227</v>
      </c>
      <c r="DA286" t="s">
        <v>227</v>
      </c>
      <c r="DB286" t="s">
        <v>227</v>
      </c>
      <c r="DC286"/>
      <c r="DD286"/>
      <c r="DE286"/>
      <c r="DF286"/>
      <c r="DG286"/>
      <c r="DH286" s="323"/>
      <c r="DI286" s="323"/>
      <c r="DJ286" s="323"/>
      <c r="DL286" t="s">
        <v>257</v>
      </c>
      <c r="DM286" t="s">
        <v>257</v>
      </c>
      <c r="DN286" t="s">
        <v>220</v>
      </c>
      <c r="DO286" t="s">
        <v>227</v>
      </c>
      <c r="DP286" t="s">
        <v>227</v>
      </c>
      <c r="DS286" s="309">
        <v>66.356999999999999</v>
      </c>
      <c r="DU286" s="309">
        <v>126.214</v>
      </c>
      <c r="DW286"/>
      <c r="DX286" t="s">
        <v>235</v>
      </c>
      <c r="DY286"/>
      <c r="DZ286" t="s">
        <v>235</v>
      </c>
      <c r="EA286"/>
      <c r="EB286"/>
      <c r="ED286" s="410"/>
      <c r="EE286" s="1"/>
      <c r="EG286" s="410"/>
      <c r="EI286" s="410"/>
      <c r="EK286" s="1"/>
      <c r="EM286"/>
      <c r="EQ286" s="344"/>
      <c r="EU286" s="344"/>
      <c r="EW286" s="409"/>
      <c r="EY286" s="1"/>
      <c r="FA286">
        <v>24.16</v>
      </c>
      <c r="FB286" t="s">
        <v>236</v>
      </c>
      <c r="FC286" s="7">
        <v>111.19877424455608</v>
      </c>
      <c r="FD286" s="357" t="s">
        <v>236</v>
      </c>
      <c r="FE286" s="8">
        <v>5.3864173456235269</v>
      </c>
      <c r="FF286" t="s">
        <v>237</v>
      </c>
      <c r="FH286" s="9">
        <v>183.86539538640264</v>
      </c>
      <c r="FI286" s="9" t="s">
        <v>225</v>
      </c>
      <c r="FK286" t="s">
        <v>235</v>
      </c>
      <c r="FL286">
        <v>72.3</v>
      </c>
      <c r="FM286">
        <v>54.187610445162598</v>
      </c>
      <c r="FN286" s="5" t="s">
        <v>237</v>
      </c>
      <c r="FP286" s="6">
        <v>7.2299999999999995</v>
      </c>
      <c r="FQ286" t="s">
        <v>239</v>
      </c>
      <c r="FS286" t="s">
        <v>240</v>
      </c>
      <c r="FT286" t="e">
        <f>FQ286=#REF!</f>
        <v>#REF!</v>
      </c>
      <c r="FU286" s="8">
        <v>1</v>
      </c>
      <c r="FV286" s="8">
        <v>10</v>
      </c>
      <c r="FW286" s="8">
        <v>10</v>
      </c>
      <c r="FX286" s="8">
        <v>10</v>
      </c>
      <c r="FY286" s="8">
        <v>3</v>
      </c>
      <c r="FZ286">
        <f t="shared" si="4"/>
        <v>3000</v>
      </c>
      <c r="GA286" s="7" t="s">
        <v>303</v>
      </c>
      <c r="GB286" s="7" t="s">
        <v>303</v>
      </c>
      <c r="GC286" s="6">
        <v>9</v>
      </c>
      <c r="GD286" s="348" t="s">
        <v>304</v>
      </c>
      <c r="GF286" s="6">
        <v>2.4099999999999996E-2</v>
      </c>
      <c r="GH286" s="7"/>
      <c r="GI286" s="441">
        <v>0.161</v>
      </c>
      <c r="GJ286" s="441">
        <v>0.30099999999999999</v>
      </c>
      <c r="GK286" s="441">
        <v>0.48199999999999998</v>
      </c>
      <c r="GL286" s="441">
        <v>1.2050000000000001</v>
      </c>
      <c r="GM286" s="452" t="s">
        <v>262</v>
      </c>
      <c r="GN286" s="6">
        <v>0.06</v>
      </c>
      <c r="GO286" s="6">
        <v>0.1125</v>
      </c>
      <c r="GP286" s="6">
        <v>0.18</v>
      </c>
      <c r="GQ286" s="6">
        <v>0.45</v>
      </c>
      <c r="GR286" s="6" t="s">
        <v>230</v>
      </c>
      <c r="GU286" t="s">
        <v>365</v>
      </c>
      <c r="GV286" t="s">
        <v>223</v>
      </c>
      <c r="GW286" t="s">
        <v>359</v>
      </c>
      <c r="GX286" t="s">
        <v>223</v>
      </c>
      <c r="GY286" t="s">
        <v>245</v>
      </c>
      <c r="HE286" t="s">
        <v>384</v>
      </c>
      <c r="HF286" t="s">
        <v>223</v>
      </c>
      <c r="HG286" t="s">
        <v>317</v>
      </c>
      <c r="HH286" t="s">
        <v>236</v>
      </c>
      <c r="HI286" t="s">
        <v>247</v>
      </c>
      <c r="HJ286" t="s">
        <v>223</v>
      </c>
      <c r="HK286" t="s">
        <v>248</v>
      </c>
      <c r="HO286" t="s">
        <v>231</v>
      </c>
      <c r="HP286" t="s">
        <v>223</v>
      </c>
      <c r="HQ286" t="s">
        <v>231</v>
      </c>
      <c r="HR286" t="s">
        <v>223</v>
      </c>
      <c r="HU286" t="s">
        <v>231</v>
      </c>
      <c r="HV286" t="s">
        <v>223</v>
      </c>
      <c r="HW286" t="s">
        <v>246</v>
      </c>
      <c r="HX286" t="s">
        <v>236</v>
      </c>
      <c r="IA286" t="s">
        <v>231</v>
      </c>
      <c r="IB286" t="s">
        <v>250</v>
      </c>
      <c r="IC286">
        <v>0.161</v>
      </c>
      <c r="ID286">
        <v>0.30099999999999999</v>
      </c>
      <c r="IE286">
        <v>0.48199999999999998</v>
      </c>
      <c r="IF286">
        <v>1.2050000000000001</v>
      </c>
      <c r="IH286" t="s">
        <v>267</v>
      </c>
    </row>
    <row r="287" spans="1:242" x14ac:dyDescent="0.35">
      <c r="A287" s="310" t="s">
        <v>1709</v>
      </c>
      <c r="B287" s="313" t="s">
        <v>1710</v>
      </c>
      <c r="C287" s="310" t="s">
        <v>1711</v>
      </c>
      <c r="D287" s="316"/>
      <c r="F287" t="s">
        <v>1712</v>
      </c>
      <c r="I287" s="310" t="s">
        <v>1713</v>
      </c>
      <c r="M287" s="313"/>
      <c r="O287"/>
      <c r="P287" s="381"/>
      <c r="Q287"/>
      <c r="T287" s="8"/>
      <c r="U287"/>
      <c r="V287" s="313"/>
      <c r="W287"/>
      <c r="X287"/>
      <c r="Z287"/>
      <c r="AB287"/>
      <c r="AD287" s="8" t="s">
        <v>230</v>
      </c>
      <c r="AF287" s="8" t="s">
        <v>230</v>
      </c>
      <c r="AG287"/>
      <c r="AH287"/>
      <c r="AI287"/>
      <c r="AJ287" t="s">
        <v>221</v>
      </c>
      <c r="AK287">
        <v>0</v>
      </c>
      <c r="AL287">
        <v>0.82499999999999996</v>
      </c>
      <c r="AM287" t="s">
        <v>221</v>
      </c>
      <c r="AN287" t="s">
        <v>223</v>
      </c>
      <c r="AO287" t="s">
        <v>221</v>
      </c>
      <c r="AP287" t="s">
        <v>223</v>
      </c>
      <c r="AQ287" t="s">
        <v>221</v>
      </c>
      <c r="AR287" t="s">
        <v>225</v>
      </c>
      <c r="AS287" t="s">
        <v>221</v>
      </c>
      <c r="AT287" t="s">
        <v>223</v>
      </c>
      <c r="AU287" t="s">
        <v>220</v>
      </c>
      <c r="AV287"/>
      <c r="AW287" s="313" t="s">
        <v>220</v>
      </c>
      <c r="AX287" t="s">
        <v>226</v>
      </c>
      <c r="AY287" s="313" t="s">
        <v>220</v>
      </c>
      <c r="AZ287" s="313">
        <v>3.49E-2</v>
      </c>
      <c r="BB287" s="313" t="s">
        <v>220</v>
      </c>
      <c r="BC287">
        <v>3.3099999999999997E-2</v>
      </c>
      <c r="BD287" t="s">
        <v>220</v>
      </c>
      <c r="BE287">
        <v>2.8799999999999999E-2</v>
      </c>
      <c r="BF287" s="2" t="s">
        <v>220</v>
      </c>
      <c r="BG287" s="2" t="s">
        <v>273</v>
      </c>
      <c r="BH287" s="2" t="s">
        <v>274</v>
      </c>
      <c r="BI287" s="2" t="s">
        <v>275</v>
      </c>
      <c r="BM287"/>
      <c r="BP287" s="8"/>
      <c r="BQ287" t="s">
        <v>230</v>
      </c>
      <c r="BR287" t="s">
        <v>230</v>
      </c>
      <c r="BU287" t="s">
        <v>317</v>
      </c>
      <c r="BV287" t="s">
        <v>225</v>
      </c>
      <c r="BW287" t="s">
        <v>232</v>
      </c>
      <c r="BX287" t="s">
        <v>284</v>
      </c>
      <c r="BY287" t="s">
        <v>220</v>
      </c>
      <c r="BZ287">
        <v>0.252</v>
      </c>
      <c r="CA287" t="s">
        <v>234</v>
      </c>
      <c r="CF287" t="s">
        <v>220</v>
      </c>
      <c r="CG287">
        <v>0.129</v>
      </c>
      <c r="CH287" t="s">
        <v>257</v>
      </c>
      <c r="CI287">
        <v>0.84199999999999997</v>
      </c>
      <c r="CK287"/>
      <c r="CL287"/>
      <c r="CM287"/>
      <c r="CS287" s="8"/>
      <c r="CW287" t="s">
        <v>220</v>
      </c>
      <c r="CX287" t="s">
        <v>220</v>
      </c>
      <c r="CY287" t="s">
        <v>231</v>
      </c>
      <c r="CZ287" t="s">
        <v>220</v>
      </c>
      <c r="DA287" t="s">
        <v>220</v>
      </c>
      <c r="DB287" t="s">
        <v>220</v>
      </c>
      <c r="DC287"/>
      <c r="DD287"/>
      <c r="DE287"/>
      <c r="DF287"/>
      <c r="DG287"/>
      <c r="DH287" s="323"/>
      <c r="DI287" s="323"/>
      <c r="DJ287" s="323"/>
      <c r="DL287" t="s">
        <v>257</v>
      </c>
      <c r="DM287" t="s">
        <v>220</v>
      </c>
      <c r="DN287" t="s">
        <v>227</v>
      </c>
      <c r="DO287" t="s">
        <v>220</v>
      </c>
      <c r="DP287" t="s">
        <v>220</v>
      </c>
      <c r="DS287" s="309">
        <v>208.041</v>
      </c>
      <c r="DU287" s="309">
        <v>660.44799999999998</v>
      </c>
      <c r="DW287"/>
      <c r="DX287" t="s">
        <v>235</v>
      </c>
      <c r="DY287"/>
      <c r="DZ287" t="s">
        <v>235</v>
      </c>
      <c r="EA287"/>
      <c r="EB287"/>
      <c r="ED287" s="410"/>
      <c r="EE287" s="1"/>
      <c r="EG287" s="410"/>
      <c r="EI287" s="410"/>
      <c r="EK287" s="1"/>
      <c r="EM287"/>
      <c r="EQ287" s="344"/>
      <c r="EU287" s="344"/>
      <c r="EW287" s="409"/>
      <c r="EY287" s="1"/>
      <c r="FA287">
        <v>71.650000000000006</v>
      </c>
      <c r="FB287" t="s">
        <v>225</v>
      </c>
      <c r="FC287" s="7">
        <v>115.74440320922375</v>
      </c>
      <c r="FD287" s="357" t="s">
        <v>225</v>
      </c>
      <c r="FE287" s="8">
        <v>0.99243026504677745</v>
      </c>
      <c r="FF287" t="s">
        <v>237</v>
      </c>
      <c r="FH287" s="9">
        <v>273.71588357505874</v>
      </c>
      <c r="FI287" s="9" t="s">
        <v>225</v>
      </c>
      <c r="FK287" t="s">
        <v>235</v>
      </c>
      <c r="FL287">
        <v>52.9</v>
      </c>
      <c r="FM287">
        <v>9.6894694997873714</v>
      </c>
      <c r="FN287" s="5" t="s">
        <v>237</v>
      </c>
      <c r="FP287" s="6">
        <v>5.29</v>
      </c>
      <c r="FQ287" t="s">
        <v>239</v>
      </c>
      <c r="FS287" t="s">
        <v>240</v>
      </c>
      <c r="FT287" t="e">
        <f>FQ287=#REF!</f>
        <v>#REF!</v>
      </c>
      <c r="FU287" s="8">
        <v>1</v>
      </c>
      <c r="FV287" s="8">
        <v>10</v>
      </c>
      <c r="FW287" s="8">
        <v>10</v>
      </c>
      <c r="FX287" s="8">
        <v>10</v>
      </c>
      <c r="FY287" s="8">
        <v>3</v>
      </c>
      <c r="FZ287">
        <f t="shared" si="4"/>
        <v>3000</v>
      </c>
      <c r="GA287" s="7" t="s">
        <v>326</v>
      </c>
      <c r="GB287" s="7" t="s">
        <v>326</v>
      </c>
      <c r="GC287" s="6">
        <v>1.5</v>
      </c>
      <c r="GD287" s="348" t="s">
        <v>1514</v>
      </c>
      <c r="GF287" s="6">
        <v>1.7633333333333334E-2</v>
      </c>
      <c r="GH287" s="7"/>
      <c r="GI287" s="441">
        <v>0.11799999999999999</v>
      </c>
      <c r="GJ287" s="441">
        <v>0.22</v>
      </c>
      <c r="GK287" s="441">
        <v>0.35299999999999998</v>
      </c>
      <c r="GL287" s="441">
        <v>0.88200000000000001</v>
      </c>
      <c r="GM287" s="452" t="s">
        <v>262</v>
      </c>
      <c r="GN287" s="6">
        <v>0.01</v>
      </c>
      <c r="GO287" s="6">
        <v>1.8749999999999999E-2</v>
      </c>
      <c r="GP287" s="6">
        <v>0.03</v>
      </c>
      <c r="GQ287" s="6">
        <v>7.4999999999999997E-2</v>
      </c>
      <c r="GR287" s="6" t="s">
        <v>230</v>
      </c>
      <c r="GU287" t="s">
        <v>365</v>
      </c>
      <c r="GV287" t="s">
        <v>223</v>
      </c>
      <c r="GW287" t="s">
        <v>244</v>
      </c>
      <c r="GX287" t="s">
        <v>236</v>
      </c>
      <c r="GY287" t="s">
        <v>245</v>
      </c>
      <c r="HE287" t="s">
        <v>247</v>
      </c>
      <c r="HF287" t="s">
        <v>236</v>
      </c>
      <c r="HG287" t="s">
        <v>231</v>
      </c>
      <c r="HH287" t="s">
        <v>236</v>
      </c>
      <c r="HI287" t="s">
        <v>247</v>
      </c>
      <c r="HJ287" t="s">
        <v>225</v>
      </c>
      <c r="HK287" t="s">
        <v>248</v>
      </c>
      <c r="HO287" t="s">
        <v>231</v>
      </c>
      <c r="HP287" t="s">
        <v>223</v>
      </c>
      <c r="HQ287" t="s">
        <v>231</v>
      </c>
      <c r="HR287" t="s">
        <v>223</v>
      </c>
      <c r="HU287" t="s">
        <v>231</v>
      </c>
      <c r="HV287" t="s">
        <v>223</v>
      </c>
      <c r="HW287" t="s">
        <v>506</v>
      </c>
      <c r="HX287" t="s">
        <v>236</v>
      </c>
      <c r="IA287" t="s">
        <v>231</v>
      </c>
      <c r="IB287" t="s">
        <v>250</v>
      </c>
      <c r="IC287">
        <v>0.11799999999999999</v>
      </c>
      <c r="ID287">
        <v>0.22</v>
      </c>
      <c r="IE287">
        <v>0.35299999999999998</v>
      </c>
      <c r="IF287">
        <v>0.88200000000000001</v>
      </c>
      <c r="IH287" t="s">
        <v>267</v>
      </c>
    </row>
    <row r="288" spans="1:242" ht="101.5" x14ac:dyDescent="0.35">
      <c r="A288" s="310" t="s">
        <v>1714</v>
      </c>
      <c r="B288" s="313" t="s">
        <v>1715</v>
      </c>
      <c r="C288" s="310" t="s">
        <v>1716</v>
      </c>
      <c r="D288" s="316"/>
      <c r="F288" t="s">
        <v>1717</v>
      </c>
      <c r="I288" s="310" t="s">
        <v>1718</v>
      </c>
      <c r="M288" s="313"/>
      <c r="O288"/>
      <c r="P288" s="381"/>
      <c r="Q288"/>
      <c r="T288" s="8"/>
      <c r="U288"/>
      <c r="V288" s="313"/>
      <c r="W288"/>
      <c r="X288"/>
      <c r="Z288"/>
      <c r="AB288"/>
      <c r="AD288" s="8" t="s">
        <v>230</v>
      </c>
      <c r="AF288" s="8" t="s">
        <v>230</v>
      </c>
      <c r="AG288"/>
      <c r="AH288"/>
      <c r="AI288"/>
      <c r="AJ288" t="s">
        <v>221</v>
      </c>
      <c r="AK288">
        <v>0</v>
      </c>
      <c r="AL288">
        <v>0.5</v>
      </c>
      <c r="AM288" t="s">
        <v>221</v>
      </c>
      <c r="AN288" t="s">
        <v>236</v>
      </c>
      <c r="AO288" t="s">
        <v>221</v>
      </c>
      <c r="AP288" t="s">
        <v>225</v>
      </c>
      <c r="AQ288" t="s">
        <v>221</v>
      </c>
      <c r="AR288" t="s">
        <v>225</v>
      </c>
      <c r="AS288" t="s">
        <v>221</v>
      </c>
      <c r="AT288" t="s">
        <v>225</v>
      </c>
      <c r="AU288" t="s">
        <v>272</v>
      </c>
      <c r="AV288"/>
      <c r="AW288" s="313" t="s">
        <v>227</v>
      </c>
      <c r="AX288" t="s">
        <v>226</v>
      </c>
      <c r="AY288" s="313" t="s">
        <v>227</v>
      </c>
      <c r="AZ288" s="313">
        <v>4.36E-2</v>
      </c>
      <c r="BB288" s="313" t="s">
        <v>227</v>
      </c>
      <c r="BC288">
        <v>2.3400000000000001E-2</v>
      </c>
      <c r="BD288" t="s">
        <v>227</v>
      </c>
      <c r="BE288">
        <v>3.3399999999999999E-2</v>
      </c>
      <c r="BF288" s="2" t="s">
        <v>220</v>
      </c>
      <c r="BG288" s="2" t="s">
        <v>273</v>
      </c>
      <c r="BH288" s="2" t="s">
        <v>274</v>
      </c>
      <c r="BI288" s="2" t="s">
        <v>275</v>
      </c>
      <c r="BM288"/>
      <c r="BP288" s="8"/>
      <c r="BQ288" t="s">
        <v>230</v>
      </c>
      <c r="BR288" t="s">
        <v>230</v>
      </c>
      <c r="BU288" t="s">
        <v>231</v>
      </c>
      <c r="BV288" t="s">
        <v>223</v>
      </c>
      <c r="BW288" t="s">
        <v>232</v>
      </c>
      <c r="BX288" t="s">
        <v>500</v>
      </c>
      <c r="BY288" t="s">
        <v>227</v>
      </c>
      <c r="BZ288">
        <v>0.17899999999999999</v>
      </c>
      <c r="CA288" t="s">
        <v>234</v>
      </c>
      <c r="CF288" t="s">
        <v>227</v>
      </c>
      <c r="CG288">
        <v>8.6099999999999996E-3</v>
      </c>
      <c r="CH288" t="s">
        <v>227</v>
      </c>
      <c r="CI288">
        <v>1.67E-2</v>
      </c>
      <c r="CK288"/>
      <c r="CL288"/>
      <c r="CM288"/>
      <c r="CS288" s="8"/>
      <c r="CW288" t="s">
        <v>227</v>
      </c>
      <c r="CX288" t="s">
        <v>227</v>
      </c>
      <c r="CY288" t="s">
        <v>231</v>
      </c>
      <c r="CZ288" t="s">
        <v>227</v>
      </c>
      <c r="DA288" t="s">
        <v>227</v>
      </c>
      <c r="DB288" t="s">
        <v>227</v>
      </c>
      <c r="DC288"/>
      <c r="DD288"/>
      <c r="DE288"/>
      <c r="DF288"/>
      <c r="DG288"/>
      <c r="DH288" s="323"/>
      <c r="DI288" s="323"/>
      <c r="DJ288" s="323"/>
      <c r="DL288" t="s">
        <v>227</v>
      </c>
      <c r="DM288" t="s">
        <v>227</v>
      </c>
      <c r="DN288" t="s">
        <v>227</v>
      </c>
      <c r="DO288" t="s">
        <v>227</v>
      </c>
      <c r="DP288" t="s">
        <v>227</v>
      </c>
      <c r="DS288" s="338">
        <v>4151.7820000000002</v>
      </c>
      <c r="DT288" s="8" t="s">
        <v>394</v>
      </c>
      <c r="DU288" s="338">
        <v>435.04899999999998</v>
      </c>
      <c r="DV288" s="8" t="s">
        <v>394</v>
      </c>
      <c r="DW288">
        <v>17.899999999999999</v>
      </c>
      <c r="DX288" t="s">
        <v>238</v>
      </c>
      <c r="DY288">
        <v>864</v>
      </c>
      <c r="DZ288" t="s">
        <v>238</v>
      </c>
      <c r="EA288"/>
      <c r="EB288"/>
      <c r="ED288" s="410"/>
      <c r="EE288" s="1"/>
      <c r="EG288" s="410"/>
      <c r="EI288" s="410"/>
      <c r="EK288" s="1"/>
      <c r="EM288"/>
      <c r="EQ288" s="344"/>
      <c r="EU288" s="344"/>
      <c r="EW288" s="409"/>
      <c r="EY288" s="1"/>
      <c r="FA288">
        <v>111.69</v>
      </c>
      <c r="FB288" t="s">
        <v>225</v>
      </c>
      <c r="FC288" s="7">
        <v>3193.7432529771759</v>
      </c>
      <c r="FD288" s="357" t="s">
        <v>236</v>
      </c>
      <c r="FE288" s="8">
        <v>3.4221575515373921</v>
      </c>
      <c r="FF288" t="s">
        <v>237</v>
      </c>
      <c r="FH288" s="9">
        <v>1865.5203891005967</v>
      </c>
      <c r="FI288" s="9" t="s">
        <v>236</v>
      </c>
      <c r="FJ288">
        <v>368</v>
      </c>
      <c r="FK288" t="s">
        <v>238</v>
      </c>
      <c r="FL288">
        <v>44.7</v>
      </c>
      <c r="FM288">
        <v>45.373261693794163</v>
      </c>
      <c r="FN288" s="5" t="s">
        <v>237</v>
      </c>
      <c r="FP288" s="6">
        <v>4.4700000000000006</v>
      </c>
      <c r="FQ288" t="s">
        <v>239</v>
      </c>
      <c r="FS288" t="s">
        <v>240</v>
      </c>
      <c r="FT288" t="e">
        <f>FQ288=#REF!</f>
        <v>#REF!</v>
      </c>
      <c r="FU288" s="8">
        <v>1</v>
      </c>
      <c r="FV288" s="8">
        <v>10</v>
      </c>
      <c r="FW288" s="8">
        <v>10</v>
      </c>
      <c r="FX288" s="8">
        <v>10</v>
      </c>
      <c r="FY288" s="8">
        <v>3</v>
      </c>
      <c r="FZ288">
        <f t="shared" si="4"/>
        <v>3000</v>
      </c>
      <c r="GA288" s="7" t="s">
        <v>241</v>
      </c>
      <c r="GB288" s="7" t="s">
        <v>241</v>
      </c>
      <c r="GC288" s="6">
        <v>30</v>
      </c>
      <c r="GD288" s="348" t="s">
        <v>242</v>
      </c>
      <c r="GF288" s="6">
        <v>1.4900000000000002E-2</v>
      </c>
      <c r="GH288" s="7"/>
      <c r="GI288" s="445"/>
      <c r="GJ288" s="445"/>
      <c r="GK288" s="445"/>
      <c r="GL288" s="445"/>
      <c r="GM288" s="460" t="s">
        <v>338</v>
      </c>
      <c r="GN288" s="6">
        <v>0.2</v>
      </c>
      <c r="GO288" s="6">
        <v>0.375</v>
      </c>
      <c r="GP288" s="6">
        <v>0.6</v>
      </c>
      <c r="GQ288" s="6">
        <v>1.5</v>
      </c>
      <c r="GR288" s="460" t="s">
        <v>338</v>
      </c>
      <c r="GU288" t="s">
        <v>243</v>
      </c>
      <c r="GV288" t="s">
        <v>236</v>
      </c>
      <c r="GW288" t="s">
        <v>244</v>
      </c>
      <c r="GX288" t="s">
        <v>236</v>
      </c>
      <c r="GY288" t="s">
        <v>245</v>
      </c>
      <c r="HE288" t="s">
        <v>246</v>
      </c>
      <c r="HF288" t="s">
        <v>236</v>
      </c>
      <c r="HG288" t="s">
        <v>231</v>
      </c>
      <c r="HH288" t="s">
        <v>236</v>
      </c>
      <c r="HI288" t="s">
        <v>247</v>
      </c>
      <c r="HJ288" t="s">
        <v>223</v>
      </c>
      <c r="HK288" t="s">
        <v>266</v>
      </c>
      <c r="HO288" t="s">
        <v>231</v>
      </c>
      <c r="HP288" t="s">
        <v>223</v>
      </c>
      <c r="HQ288" t="s">
        <v>231</v>
      </c>
      <c r="HR288" t="s">
        <v>223</v>
      </c>
      <c r="HU288" t="s">
        <v>231</v>
      </c>
      <c r="HV288" t="s">
        <v>225</v>
      </c>
      <c r="HW288" t="s">
        <v>246</v>
      </c>
      <c r="HX288" t="s">
        <v>236</v>
      </c>
      <c r="IA288" t="s">
        <v>231</v>
      </c>
      <c r="IB288" t="s">
        <v>250</v>
      </c>
      <c r="IC288" s="447"/>
      <c r="ID288" s="447"/>
      <c r="IE288" s="447"/>
      <c r="IF288" s="447"/>
      <c r="IG288" s="459" t="s">
        <v>1719</v>
      </c>
      <c r="IH288" t="s">
        <v>235</v>
      </c>
    </row>
    <row r="289" spans="1:242" ht="101.5" x14ac:dyDescent="0.35">
      <c r="A289" s="310" t="s">
        <v>1720</v>
      </c>
      <c r="B289" s="313" t="s">
        <v>1721</v>
      </c>
      <c r="C289" s="310" t="s">
        <v>1722</v>
      </c>
      <c r="D289" s="316"/>
      <c r="F289" t="s">
        <v>1723</v>
      </c>
      <c r="I289" s="310" t="s">
        <v>1724</v>
      </c>
      <c r="M289" s="313"/>
      <c r="O289"/>
      <c r="P289" s="381"/>
      <c r="Q289"/>
      <c r="T289" s="8"/>
      <c r="U289"/>
      <c r="V289" s="313"/>
      <c r="W289"/>
      <c r="X289"/>
      <c r="Z289"/>
      <c r="AB289"/>
      <c r="AD289" s="8" t="s">
        <v>230</v>
      </c>
      <c r="AF289" s="8" t="s">
        <v>230</v>
      </c>
      <c r="AG289"/>
      <c r="AH289"/>
      <c r="AI289"/>
      <c r="AJ289" t="s">
        <v>221</v>
      </c>
      <c r="AK289">
        <v>0</v>
      </c>
      <c r="AL289">
        <v>0.5</v>
      </c>
      <c r="AM289" t="s">
        <v>221</v>
      </c>
      <c r="AN289" t="s">
        <v>236</v>
      </c>
      <c r="AO289" t="s">
        <v>221</v>
      </c>
      <c r="AP289" t="s">
        <v>225</v>
      </c>
      <c r="AQ289" t="s">
        <v>221</v>
      </c>
      <c r="AR289" t="s">
        <v>225</v>
      </c>
      <c r="AS289" t="s">
        <v>221</v>
      </c>
      <c r="AT289" t="s">
        <v>225</v>
      </c>
      <c r="AU289" t="s">
        <v>272</v>
      </c>
      <c r="AV289"/>
      <c r="AW289" s="313" t="s">
        <v>227</v>
      </c>
      <c r="AX289" t="s">
        <v>226</v>
      </c>
      <c r="AY289" s="313" t="s">
        <v>227</v>
      </c>
      <c r="AZ289" s="313">
        <v>4.3799999999999999E-2</v>
      </c>
      <c r="BB289" s="313" t="s">
        <v>227</v>
      </c>
      <c r="BC289">
        <v>2.3400000000000001E-2</v>
      </c>
      <c r="BD289" t="s">
        <v>227</v>
      </c>
      <c r="BE289">
        <v>3.3599999999999998E-2</v>
      </c>
      <c r="BF289" s="2" t="s">
        <v>220</v>
      </c>
      <c r="BG289" s="2" t="s">
        <v>273</v>
      </c>
      <c r="BH289" s="2" t="s">
        <v>274</v>
      </c>
      <c r="BI289" s="2" t="s">
        <v>275</v>
      </c>
      <c r="BM289"/>
      <c r="BP289" s="8"/>
      <c r="BQ289" t="s">
        <v>230</v>
      </c>
      <c r="BR289" t="s">
        <v>230</v>
      </c>
      <c r="BU289" t="s">
        <v>231</v>
      </c>
      <c r="BV289" t="s">
        <v>223</v>
      </c>
      <c r="BW289" t="s">
        <v>232</v>
      </c>
      <c r="BX289" t="s">
        <v>500</v>
      </c>
      <c r="BY289" t="s">
        <v>227</v>
      </c>
      <c r="BZ289">
        <v>0.18</v>
      </c>
      <c r="CA289" t="s">
        <v>234</v>
      </c>
      <c r="CF289" t="s">
        <v>227</v>
      </c>
      <c r="CG289">
        <v>8.9300000000000004E-3</v>
      </c>
      <c r="CH289" t="s">
        <v>227</v>
      </c>
      <c r="CI289">
        <v>1.7100000000000001E-2</v>
      </c>
      <c r="CK289"/>
      <c r="CL289"/>
      <c r="CM289"/>
      <c r="CS289" s="8"/>
      <c r="CW289" t="s">
        <v>227</v>
      </c>
      <c r="CX289" t="s">
        <v>227</v>
      </c>
      <c r="CY289" t="s">
        <v>231</v>
      </c>
      <c r="CZ289" t="s">
        <v>227</v>
      </c>
      <c r="DA289" t="s">
        <v>227</v>
      </c>
      <c r="DB289" t="s">
        <v>227</v>
      </c>
      <c r="DC289"/>
      <c r="DD289"/>
      <c r="DE289"/>
      <c r="DF289"/>
      <c r="DG289"/>
      <c r="DH289" s="323"/>
      <c r="DI289" s="323"/>
      <c r="DJ289" s="323"/>
      <c r="DL289" t="s">
        <v>227</v>
      </c>
      <c r="DM289" t="s">
        <v>227</v>
      </c>
      <c r="DN289" t="s">
        <v>227</v>
      </c>
      <c r="DO289" t="s">
        <v>227</v>
      </c>
      <c r="DP289" t="s">
        <v>227</v>
      </c>
      <c r="DS289" s="338">
        <v>3752.9369999999999</v>
      </c>
      <c r="DT289" s="8" t="s">
        <v>394</v>
      </c>
      <c r="DU289" s="338">
        <v>426.51299999999998</v>
      </c>
      <c r="DV289" s="8" t="s">
        <v>394</v>
      </c>
      <c r="DW289">
        <v>15.7</v>
      </c>
      <c r="DX289" t="s">
        <v>238</v>
      </c>
      <c r="DY289">
        <v>754</v>
      </c>
      <c r="DZ289" t="s">
        <v>238</v>
      </c>
      <c r="EA289"/>
      <c r="EB289"/>
      <c r="ED289" s="410"/>
      <c r="EE289" s="1"/>
      <c r="EG289" s="410"/>
      <c r="EI289" s="410"/>
      <c r="EK289" s="1"/>
      <c r="EM289"/>
      <c r="EQ289" s="344"/>
      <c r="EU289" s="344"/>
      <c r="EW289" s="409"/>
      <c r="EY289" s="1"/>
      <c r="FA289">
        <v>106.04</v>
      </c>
      <c r="FB289" t="s">
        <v>225</v>
      </c>
      <c r="FC289" s="7">
        <v>2739.6810135310252</v>
      </c>
      <c r="FD289" s="357" t="s">
        <v>236</v>
      </c>
      <c r="FE289" s="8">
        <v>3.6391503612720721</v>
      </c>
      <c r="FF289" t="s">
        <v>237</v>
      </c>
      <c r="FH289" s="9">
        <v>1628.9209165525335</v>
      </c>
      <c r="FI289" s="9" t="s">
        <v>236</v>
      </c>
      <c r="FJ289">
        <v>346</v>
      </c>
      <c r="FK289" t="s">
        <v>238</v>
      </c>
      <c r="FL289">
        <v>46.2</v>
      </c>
      <c r="FM289">
        <v>45.708818961487509</v>
      </c>
      <c r="FN289" s="5" t="s">
        <v>237</v>
      </c>
      <c r="FP289" s="6">
        <v>4.62</v>
      </c>
      <c r="FQ289" t="s">
        <v>239</v>
      </c>
      <c r="FS289" t="s">
        <v>240</v>
      </c>
      <c r="FT289" t="e">
        <f>FQ289=#REF!</f>
        <v>#REF!</v>
      </c>
      <c r="FU289" s="8">
        <v>1</v>
      </c>
      <c r="FV289" s="8">
        <v>10</v>
      </c>
      <c r="FW289" s="8">
        <v>10</v>
      </c>
      <c r="FX289" s="8">
        <v>10</v>
      </c>
      <c r="FY289" s="8">
        <v>3</v>
      </c>
      <c r="FZ289">
        <f t="shared" si="4"/>
        <v>3000</v>
      </c>
      <c r="GA289" s="7" t="s">
        <v>241</v>
      </c>
      <c r="GB289" s="7" t="s">
        <v>241</v>
      </c>
      <c r="GC289" s="6">
        <v>30</v>
      </c>
      <c r="GD289" s="348" t="s">
        <v>242</v>
      </c>
      <c r="GF289" s="6">
        <v>1.54E-2</v>
      </c>
      <c r="GH289" s="7"/>
      <c r="GI289" s="445"/>
      <c r="GJ289" s="445"/>
      <c r="GK289" s="445"/>
      <c r="GL289" s="445"/>
      <c r="GM289" s="460" t="s">
        <v>338</v>
      </c>
      <c r="GN289" s="6">
        <v>0.2</v>
      </c>
      <c r="GO289" s="6">
        <v>0.375</v>
      </c>
      <c r="GP289" s="6">
        <v>0.6</v>
      </c>
      <c r="GQ289" s="6">
        <v>1.5</v>
      </c>
      <c r="GR289" s="460" t="s">
        <v>338</v>
      </c>
      <c r="GU289" t="s">
        <v>243</v>
      </c>
      <c r="GV289" t="s">
        <v>236</v>
      </c>
      <c r="GW289" t="s">
        <v>244</v>
      </c>
      <c r="GX289" t="s">
        <v>236</v>
      </c>
      <c r="GY289" t="s">
        <v>245</v>
      </c>
      <c r="HE289" t="s">
        <v>246</v>
      </c>
      <c r="HF289" t="s">
        <v>236</v>
      </c>
      <c r="HG289" t="s">
        <v>231</v>
      </c>
      <c r="HH289" t="s">
        <v>236</v>
      </c>
      <c r="HI289" t="s">
        <v>247</v>
      </c>
      <c r="HJ289" t="s">
        <v>223</v>
      </c>
      <c r="HK289" t="s">
        <v>266</v>
      </c>
      <c r="HO289" t="s">
        <v>231</v>
      </c>
      <c r="HP289" t="s">
        <v>223</v>
      </c>
      <c r="HQ289" t="s">
        <v>231</v>
      </c>
      <c r="HR289" t="s">
        <v>223</v>
      </c>
      <c r="HU289" t="s">
        <v>231</v>
      </c>
      <c r="HV289" t="s">
        <v>225</v>
      </c>
      <c r="HW289" t="s">
        <v>246</v>
      </c>
      <c r="HX289" t="s">
        <v>236</v>
      </c>
      <c r="IA289" t="s">
        <v>231</v>
      </c>
      <c r="IB289" t="s">
        <v>250</v>
      </c>
      <c r="IC289" s="447"/>
      <c r="ID289" s="447"/>
      <c r="IE289" s="447"/>
      <c r="IF289" s="447"/>
      <c r="IG289" s="459" t="s">
        <v>1719</v>
      </c>
      <c r="IH289" t="s">
        <v>235</v>
      </c>
    </row>
    <row r="290" spans="1:242" ht="101.5" x14ac:dyDescent="0.35">
      <c r="A290" s="310" t="s">
        <v>1725</v>
      </c>
      <c r="B290" s="313" t="s">
        <v>1726</v>
      </c>
      <c r="C290" s="310" t="s">
        <v>1727</v>
      </c>
      <c r="D290" s="316"/>
      <c r="F290" t="s">
        <v>1727</v>
      </c>
      <c r="I290" s="310" t="s">
        <v>1728</v>
      </c>
      <c r="M290" s="313"/>
      <c r="O290"/>
      <c r="P290" s="381"/>
      <c r="Q290"/>
      <c r="T290" s="8"/>
      <c r="U290"/>
      <c r="V290" s="313"/>
      <c r="W290"/>
      <c r="X290"/>
      <c r="Z290"/>
      <c r="AB290"/>
      <c r="AD290" s="8" t="s">
        <v>230</v>
      </c>
      <c r="AF290" s="8" t="s">
        <v>230</v>
      </c>
      <c r="AG290"/>
      <c r="AH290"/>
      <c r="AI290"/>
      <c r="AJ290" t="s">
        <v>221</v>
      </c>
      <c r="AK290">
        <v>0</v>
      </c>
      <c r="AL290">
        <v>0.6</v>
      </c>
      <c r="AM290" t="s">
        <v>221</v>
      </c>
      <c r="AN290" t="s">
        <v>225</v>
      </c>
      <c r="AO290" t="s">
        <v>221</v>
      </c>
      <c r="AP290" t="s">
        <v>225</v>
      </c>
      <c r="AQ290" t="s">
        <v>221</v>
      </c>
      <c r="AR290" t="s">
        <v>225</v>
      </c>
      <c r="AS290" t="s">
        <v>221</v>
      </c>
      <c r="AT290" t="s">
        <v>225</v>
      </c>
      <c r="AU290" t="s">
        <v>272</v>
      </c>
      <c r="AV290"/>
      <c r="AW290" s="313" t="s">
        <v>227</v>
      </c>
      <c r="AX290" t="s">
        <v>226</v>
      </c>
      <c r="AY290" s="313" t="s">
        <v>227</v>
      </c>
      <c r="AZ290" s="313">
        <v>4.4400000000000002E-2</v>
      </c>
      <c r="BB290" s="313" t="s">
        <v>227</v>
      </c>
      <c r="BC290">
        <v>2.3400000000000001E-2</v>
      </c>
      <c r="BD290" t="s">
        <v>227</v>
      </c>
      <c r="BE290">
        <v>5.5100000000000003E-2</v>
      </c>
      <c r="BF290" s="2" t="s">
        <v>220</v>
      </c>
      <c r="BG290" s="2" t="s">
        <v>273</v>
      </c>
      <c r="BH290" s="2" t="s">
        <v>274</v>
      </c>
      <c r="BI290" s="2" t="s">
        <v>275</v>
      </c>
      <c r="BM290"/>
      <c r="BP290" s="8"/>
      <c r="BQ290" t="s">
        <v>230</v>
      </c>
      <c r="BR290" t="s">
        <v>230</v>
      </c>
      <c r="BU290" t="s">
        <v>231</v>
      </c>
      <c r="BV290" t="s">
        <v>223</v>
      </c>
      <c r="BW290" t="s">
        <v>232</v>
      </c>
      <c r="BX290" t="s">
        <v>500</v>
      </c>
      <c r="BY290" t="s">
        <v>227</v>
      </c>
      <c r="BZ290">
        <v>0.187</v>
      </c>
      <c r="CA290" t="s">
        <v>234</v>
      </c>
      <c r="CF290" t="s">
        <v>227</v>
      </c>
      <c r="CG290">
        <v>1.7999999999999999E-2</v>
      </c>
      <c r="CH290" t="s">
        <v>227</v>
      </c>
      <c r="CI290">
        <v>1.9099999999999999E-2</v>
      </c>
      <c r="CK290"/>
      <c r="CL290"/>
      <c r="CM290"/>
      <c r="CS290" s="8"/>
      <c r="CW290" t="s">
        <v>227</v>
      </c>
      <c r="CX290" t="s">
        <v>227</v>
      </c>
      <c r="CY290" t="s">
        <v>231</v>
      </c>
      <c r="CZ290" t="s">
        <v>227</v>
      </c>
      <c r="DA290" t="s">
        <v>227</v>
      </c>
      <c r="DB290" t="s">
        <v>227</v>
      </c>
      <c r="DC290"/>
      <c r="DD290"/>
      <c r="DE290"/>
      <c r="DF290"/>
      <c r="DG290"/>
      <c r="DH290" s="323"/>
      <c r="DI290" s="323"/>
      <c r="DJ290" s="323"/>
      <c r="DL290" t="s">
        <v>227</v>
      </c>
      <c r="DM290" t="s">
        <v>227</v>
      </c>
      <c r="DN290" t="s">
        <v>227</v>
      </c>
      <c r="DO290" t="s">
        <v>227</v>
      </c>
      <c r="DP290" t="s">
        <v>227</v>
      </c>
      <c r="DS290" s="338">
        <v>3339.18</v>
      </c>
      <c r="DT290" s="8" t="s">
        <v>394</v>
      </c>
      <c r="DU290" s="338">
        <v>419.55599999999998</v>
      </c>
      <c r="DV290" s="8" t="s">
        <v>394</v>
      </c>
      <c r="DW290">
        <v>24.8</v>
      </c>
      <c r="DX290" t="s">
        <v>238</v>
      </c>
      <c r="DY290">
        <v>1520</v>
      </c>
      <c r="DZ290" t="s">
        <v>238</v>
      </c>
      <c r="EA290"/>
      <c r="EB290"/>
      <c r="ED290" s="410"/>
      <c r="EE290" s="1"/>
      <c r="EG290" s="410"/>
      <c r="EI290" s="410"/>
      <c r="EK290" s="1"/>
      <c r="EM290"/>
      <c r="EQ290" s="344"/>
      <c r="EU290" s="344"/>
      <c r="EW290" s="409"/>
      <c r="EY290" s="1"/>
      <c r="FA290">
        <v>95.58</v>
      </c>
      <c r="FB290" t="s">
        <v>225</v>
      </c>
      <c r="FC290" s="7">
        <v>2706.4499490384837</v>
      </c>
      <c r="FD290" s="357" t="s">
        <v>236</v>
      </c>
      <c r="FE290" s="8">
        <v>4.1162334730276529</v>
      </c>
      <c r="FF290" t="s">
        <v>237</v>
      </c>
      <c r="FH290" s="9">
        <v>1108.91944772429</v>
      </c>
      <c r="FI290" s="9" t="s">
        <v>236</v>
      </c>
      <c r="FJ290">
        <v>123</v>
      </c>
      <c r="FK290" t="s">
        <v>238</v>
      </c>
      <c r="FL290">
        <v>49.2</v>
      </c>
      <c r="FM290">
        <v>46.398078998212583</v>
      </c>
      <c r="FN290" s="5" t="s">
        <v>237</v>
      </c>
      <c r="FP290" s="6">
        <v>4.92</v>
      </c>
      <c r="FQ290" t="s">
        <v>239</v>
      </c>
      <c r="FS290" t="s">
        <v>240</v>
      </c>
      <c r="FT290" t="e">
        <f>FQ290=#REF!</f>
        <v>#REF!</v>
      </c>
      <c r="FU290" s="8">
        <v>1</v>
      </c>
      <c r="FV290" s="8">
        <v>10</v>
      </c>
      <c r="FW290" s="8">
        <v>10</v>
      </c>
      <c r="FX290" s="8">
        <v>10</v>
      </c>
      <c r="FY290" s="8">
        <v>3</v>
      </c>
      <c r="FZ290">
        <f t="shared" si="4"/>
        <v>3000</v>
      </c>
      <c r="GA290" s="7" t="s">
        <v>241</v>
      </c>
      <c r="GB290" s="7" t="s">
        <v>241</v>
      </c>
      <c r="GC290" s="6">
        <v>30</v>
      </c>
      <c r="GD290" s="348" t="s">
        <v>242</v>
      </c>
      <c r="GF290" s="6">
        <v>1.6399999999999998E-2</v>
      </c>
      <c r="GH290" s="7"/>
      <c r="GI290" s="445"/>
      <c r="GJ290" s="445"/>
      <c r="GK290" s="445"/>
      <c r="GL290" s="445"/>
      <c r="GM290" s="460" t="s">
        <v>338</v>
      </c>
      <c r="GN290" s="6">
        <v>0.2</v>
      </c>
      <c r="GO290" s="6">
        <v>0.375</v>
      </c>
      <c r="GP290" s="6">
        <v>0.6</v>
      </c>
      <c r="GQ290" s="6">
        <v>1.5</v>
      </c>
      <c r="GR290" s="460" t="s">
        <v>338</v>
      </c>
      <c r="GU290" t="s">
        <v>243</v>
      </c>
      <c r="GV290" t="s">
        <v>236</v>
      </c>
      <c r="GW290" t="s">
        <v>244</v>
      </c>
      <c r="GX290" t="s">
        <v>236</v>
      </c>
      <c r="GY290" t="s">
        <v>245</v>
      </c>
      <c r="HE290" t="s">
        <v>246</v>
      </c>
      <c r="HF290" t="s">
        <v>236</v>
      </c>
      <c r="HG290" t="s">
        <v>231</v>
      </c>
      <c r="HH290" t="s">
        <v>236</v>
      </c>
      <c r="HI290" t="s">
        <v>247</v>
      </c>
      <c r="HJ290" t="s">
        <v>223</v>
      </c>
      <c r="HK290" t="s">
        <v>266</v>
      </c>
      <c r="HO290" t="s">
        <v>231</v>
      </c>
      <c r="HP290" t="s">
        <v>223</v>
      </c>
      <c r="HQ290" t="s">
        <v>231</v>
      </c>
      <c r="HR290" t="s">
        <v>223</v>
      </c>
      <c r="HU290" t="s">
        <v>231</v>
      </c>
      <c r="HV290" t="s">
        <v>225</v>
      </c>
      <c r="HW290" t="s">
        <v>246</v>
      </c>
      <c r="HX290" t="s">
        <v>236</v>
      </c>
      <c r="IA290" t="s">
        <v>231</v>
      </c>
      <c r="IB290" t="s">
        <v>250</v>
      </c>
      <c r="IC290" s="447"/>
      <c r="ID290" s="447"/>
      <c r="IE290" s="447"/>
      <c r="IF290" s="447"/>
      <c r="IG290" s="459" t="s">
        <v>1719</v>
      </c>
      <c r="IH290" t="s">
        <v>235</v>
      </c>
    </row>
    <row r="291" spans="1:242" ht="101.5" x14ac:dyDescent="0.35">
      <c r="A291" s="310" t="s">
        <v>1729</v>
      </c>
      <c r="B291" s="313" t="s">
        <v>1730</v>
      </c>
      <c r="C291" s="310" t="s">
        <v>1731</v>
      </c>
      <c r="D291" s="316"/>
      <c r="F291" t="s">
        <v>1731</v>
      </c>
      <c r="I291" s="310" t="s">
        <v>1732</v>
      </c>
      <c r="M291" s="313"/>
      <c r="O291"/>
      <c r="P291" s="381"/>
      <c r="Q291"/>
      <c r="T291" s="8"/>
      <c r="U291"/>
      <c r="V291" s="313"/>
      <c r="W291"/>
      <c r="X291"/>
      <c r="Z291"/>
      <c r="AB291"/>
      <c r="AD291" s="8" t="s">
        <v>230</v>
      </c>
      <c r="AF291" s="8" t="s">
        <v>230</v>
      </c>
      <c r="AG291"/>
      <c r="AH291"/>
      <c r="AI291"/>
      <c r="AJ291" t="s">
        <v>221</v>
      </c>
      <c r="AK291">
        <v>0</v>
      </c>
      <c r="AL291">
        <v>0.82499999999999996</v>
      </c>
      <c r="AM291" t="s">
        <v>221</v>
      </c>
      <c r="AN291" t="s">
        <v>223</v>
      </c>
      <c r="AO291" t="s">
        <v>221</v>
      </c>
      <c r="AP291" t="s">
        <v>223</v>
      </c>
      <c r="AQ291" t="s">
        <v>221</v>
      </c>
      <c r="AR291" t="s">
        <v>225</v>
      </c>
      <c r="AS291" t="s">
        <v>221</v>
      </c>
      <c r="AT291" t="s">
        <v>223</v>
      </c>
      <c r="AU291" t="s">
        <v>272</v>
      </c>
      <c r="AV291"/>
      <c r="AW291" s="313" t="s">
        <v>227</v>
      </c>
      <c r="AX291" t="s">
        <v>226</v>
      </c>
      <c r="AY291" s="313" t="s">
        <v>227</v>
      </c>
      <c r="AZ291" s="313">
        <v>4.4699999999999997E-2</v>
      </c>
      <c r="BB291" s="313" t="s">
        <v>227</v>
      </c>
      <c r="BC291">
        <v>2.3400000000000001E-2</v>
      </c>
      <c r="BD291" t="s">
        <v>227</v>
      </c>
      <c r="BE291">
        <v>5.67E-2</v>
      </c>
      <c r="BF291" s="2" t="s">
        <v>220</v>
      </c>
      <c r="BG291" s="2" t="s">
        <v>273</v>
      </c>
      <c r="BH291" s="2" t="s">
        <v>274</v>
      </c>
      <c r="BI291" s="2" t="s">
        <v>275</v>
      </c>
      <c r="BM291"/>
      <c r="BP291" s="8"/>
      <c r="BQ291" t="s">
        <v>230</v>
      </c>
      <c r="BR291" t="s">
        <v>230</v>
      </c>
      <c r="BU291" t="s">
        <v>231</v>
      </c>
      <c r="BV291" t="s">
        <v>223</v>
      </c>
      <c r="BW291" t="s">
        <v>232</v>
      </c>
      <c r="BX291" t="s">
        <v>500</v>
      </c>
      <c r="BY291" t="s">
        <v>227</v>
      </c>
      <c r="BZ291">
        <v>0.191</v>
      </c>
      <c r="CA291" t="s">
        <v>234</v>
      </c>
      <c r="CF291" t="s">
        <v>227</v>
      </c>
      <c r="CG291">
        <v>1.9300000000000001E-2</v>
      </c>
      <c r="CH291" t="s">
        <v>227</v>
      </c>
      <c r="CI291">
        <v>2.0400000000000001E-2</v>
      </c>
      <c r="CK291"/>
      <c r="CL291"/>
      <c r="CM291"/>
      <c r="CS291" s="8"/>
      <c r="CW291" t="s">
        <v>227</v>
      </c>
      <c r="CX291" t="s">
        <v>227</v>
      </c>
      <c r="CY291" t="s">
        <v>231</v>
      </c>
      <c r="CZ291" t="s">
        <v>227</v>
      </c>
      <c r="DA291" t="s">
        <v>227</v>
      </c>
      <c r="DB291" t="s">
        <v>227</v>
      </c>
      <c r="DC291"/>
      <c r="DD291"/>
      <c r="DE291"/>
      <c r="DF291"/>
      <c r="DG291"/>
      <c r="DH291" s="323"/>
      <c r="DI291" s="323"/>
      <c r="DJ291" s="323"/>
      <c r="DL291" t="s">
        <v>227</v>
      </c>
      <c r="DM291" t="s">
        <v>227</v>
      </c>
      <c r="DN291" t="s">
        <v>227</v>
      </c>
      <c r="DO291" t="s">
        <v>227</v>
      </c>
      <c r="DP291" t="s">
        <v>227</v>
      </c>
      <c r="DS291" s="338">
        <v>2994.8220000000001</v>
      </c>
      <c r="DT291" s="8" t="s">
        <v>394</v>
      </c>
      <c r="DU291" s="338">
        <v>410.38799999999998</v>
      </c>
      <c r="DV291" s="8" t="s">
        <v>394</v>
      </c>
      <c r="DW291">
        <v>26.5</v>
      </c>
      <c r="DX291" t="s">
        <v>238</v>
      </c>
      <c r="DY291">
        <v>1360</v>
      </c>
      <c r="DZ291" t="s">
        <v>238</v>
      </c>
      <c r="EA291"/>
      <c r="EB291"/>
      <c r="ED291" s="410"/>
      <c r="EE291" s="1"/>
      <c r="EG291" s="410"/>
      <c r="EI291" s="410"/>
      <c r="EK291" s="1"/>
      <c r="EM291"/>
      <c r="EQ291" s="344"/>
      <c r="EU291" s="344"/>
      <c r="EW291" s="409"/>
      <c r="EY291" s="1"/>
      <c r="FA291">
        <v>90.74</v>
      </c>
      <c r="FB291" t="s">
        <v>225</v>
      </c>
      <c r="FC291" s="7">
        <v>2322.2020280147271</v>
      </c>
      <c r="FD291" s="357" t="s">
        <v>236</v>
      </c>
      <c r="FE291" s="8">
        <v>4.3772363793476563</v>
      </c>
      <c r="FF291" t="s">
        <v>237</v>
      </c>
      <c r="FH291" s="9">
        <v>968.27785626125058</v>
      </c>
      <c r="FI291" s="9" t="s">
        <v>236</v>
      </c>
      <c r="FJ291">
        <v>125</v>
      </c>
      <c r="FK291" t="s">
        <v>238</v>
      </c>
      <c r="FL291">
        <v>50.7</v>
      </c>
      <c r="FM291">
        <v>46.741215286715068</v>
      </c>
      <c r="FN291" s="5" t="s">
        <v>237</v>
      </c>
      <c r="FP291" s="6">
        <v>5.07</v>
      </c>
      <c r="FQ291" t="s">
        <v>239</v>
      </c>
      <c r="FS291" t="s">
        <v>240</v>
      </c>
      <c r="FT291" t="e">
        <f>FQ291=#REF!</f>
        <v>#REF!</v>
      </c>
      <c r="FU291" s="8">
        <v>1</v>
      </c>
      <c r="FV291" s="8">
        <v>10</v>
      </c>
      <c r="FW291" s="8">
        <v>10</v>
      </c>
      <c r="FX291" s="8">
        <v>10</v>
      </c>
      <c r="FY291" s="8">
        <v>3</v>
      </c>
      <c r="FZ291">
        <f t="shared" si="4"/>
        <v>3000</v>
      </c>
      <c r="GA291" s="7" t="s">
        <v>241</v>
      </c>
      <c r="GB291" s="7" t="s">
        <v>241</v>
      </c>
      <c r="GC291" s="6">
        <v>30</v>
      </c>
      <c r="GD291" s="348" t="s">
        <v>242</v>
      </c>
      <c r="GF291" s="6">
        <v>1.6900000000000002E-2</v>
      </c>
      <c r="GH291" s="7"/>
      <c r="GI291" s="445"/>
      <c r="GJ291" s="445"/>
      <c r="GK291" s="445"/>
      <c r="GL291" s="445"/>
      <c r="GM291" s="460" t="s">
        <v>338</v>
      </c>
      <c r="GN291" s="6">
        <v>0.2</v>
      </c>
      <c r="GO291" s="6">
        <v>0.375</v>
      </c>
      <c r="GP291" s="6">
        <v>0.6</v>
      </c>
      <c r="GQ291" s="6">
        <v>1.5</v>
      </c>
      <c r="GR291" s="460" t="s">
        <v>338</v>
      </c>
      <c r="GU291" t="s">
        <v>243</v>
      </c>
      <c r="GV291" t="s">
        <v>236</v>
      </c>
      <c r="GW291" t="s">
        <v>244</v>
      </c>
      <c r="GX291" t="s">
        <v>236</v>
      </c>
      <c r="GY291" t="s">
        <v>245</v>
      </c>
      <c r="HE291" t="s">
        <v>246</v>
      </c>
      <c r="HF291" t="s">
        <v>236</v>
      </c>
      <c r="HG291" t="s">
        <v>231</v>
      </c>
      <c r="HH291" t="s">
        <v>236</v>
      </c>
      <c r="HI291" t="s">
        <v>247</v>
      </c>
      <c r="HJ291" t="s">
        <v>223</v>
      </c>
      <c r="HK291" t="s">
        <v>266</v>
      </c>
      <c r="HO291" t="s">
        <v>231</v>
      </c>
      <c r="HP291" t="s">
        <v>223</v>
      </c>
      <c r="HQ291" t="s">
        <v>231</v>
      </c>
      <c r="HR291" t="s">
        <v>223</v>
      </c>
      <c r="HU291" t="s">
        <v>231</v>
      </c>
      <c r="HV291" t="s">
        <v>225</v>
      </c>
      <c r="HW291" t="s">
        <v>246</v>
      </c>
      <c r="HX291" t="s">
        <v>236</v>
      </c>
      <c r="IA291" t="s">
        <v>231</v>
      </c>
      <c r="IB291" t="s">
        <v>250</v>
      </c>
      <c r="IC291" s="447"/>
      <c r="ID291" s="447"/>
      <c r="IE291" s="447"/>
      <c r="IF291" s="447"/>
      <c r="IG291" s="459" t="s">
        <v>1719</v>
      </c>
      <c r="IH291" t="s">
        <v>235</v>
      </c>
    </row>
    <row r="292" spans="1:242" x14ac:dyDescent="0.35">
      <c r="A292" s="310" t="s">
        <v>1733</v>
      </c>
      <c r="B292" s="313" t="s">
        <v>1734</v>
      </c>
      <c r="C292" s="310" t="s">
        <v>1735</v>
      </c>
      <c r="D292" s="316"/>
      <c r="F292" t="s">
        <v>1736</v>
      </c>
      <c r="I292" s="310" t="s">
        <v>1737</v>
      </c>
      <c r="M292" s="313"/>
      <c r="O292"/>
      <c r="P292" s="381"/>
      <c r="Q292"/>
      <c r="T292" s="8"/>
      <c r="U292"/>
      <c r="V292" s="313"/>
      <c r="W292"/>
      <c r="X292"/>
      <c r="Z292"/>
      <c r="AB292"/>
      <c r="AD292" s="8" t="s">
        <v>230</v>
      </c>
      <c r="AF292" s="8" t="s">
        <v>230</v>
      </c>
      <c r="AG292"/>
      <c r="AH292"/>
      <c r="AI292"/>
      <c r="AJ292" t="s">
        <v>221</v>
      </c>
      <c r="AK292">
        <v>0</v>
      </c>
      <c r="AL292">
        <v>0.9</v>
      </c>
      <c r="AM292" t="s">
        <v>221</v>
      </c>
      <c r="AN292" t="s">
        <v>223</v>
      </c>
      <c r="AO292" t="s">
        <v>221</v>
      </c>
      <c r="AP292" t="s">
        <v>223</v>
      </c>
      <c r="AQ292" t="s">
        <v>221</v>
      </c>
      <c r="AR292" t="s">
        <v>223</v>
      </c>
      <c r="AS292" t="s">
        <v>221</v>
      </c>
      <c r="AT292" t="s">
        <v>223</v>
      </c>
      <c r="AU292" t="s">
        <v>220</v>
      </c>
      <c r="AV292"/>
      <c r="AW292" s="313" t="s">
        <v>220</v>
      </c>
      <c r="AX292" t="s">
        <v>226</v>
      </c>
      <c r="AY292" s="313" t="s">
        <v>220</v>
      </c>
      <c r="AZ292" s="313">
        <v>5.6399999999999999E-2</v>
      </c>
      <c r="BB292" s="313" t="s">
        <v>227</v>
      </c>
      <c r="BC292">
        <v>2.7699999999999999E-2</v>
      </c>
      <c r="BD292" t="s">
        <v>227</v>
      </c>
      <c r="BE292">
        <v>2.2800000000000001E-2</v>
      </c>
      <c r="BF292" s="2" t="s">
        <v>220</v>
      </c>
      <c r="BG292" s="2" t="s">
        <v>273</v>
      </c>
      <c r="BH292" s="2" t="s">
        <v>274</v>
      </c>
      <c r="BI292" s="2" t="s">
        <v>275</v>
      </c>
      <c r="BM292"/>
      <c r="BP292" s="8"/>
      <c r="BQ292" t="s">
        <v>230</v>
      </c>
      <c r="BR292" t="s">
        <v>230</v>
      </c>
      <c r="BU292" t="s">
        <v>317</v>
      </c>
      <c r="BV292" t="s">
        <v>225</v>
      </c>
      <c r="BW292" t="s">
        <v>232</v>
      </c>
      <c r="BX292" t="s">
        <v>276</v>
      </c>
      <c r="BY292" t="s">
        <v>227</v>
      </c>
      <c r="BZ292">
        <v>0.28699999999999998</v>
      </c>
      <c r="CA292" t="s">
        <v>234</v>
      </c>
      <c r="CF292" t="s">
        <v>227</v>
      </c>
      <c r="CG292">
        <v>0.14199999999999999</v>
      </c>
      <c r="CH292" t="s">
        <v>227</v>
      </c>
      <c r="CI292">
        <v>0.56299999999999994</v>
      </c>
      <c r="CK292"/>
      <c r="CL292"/>
      <c r="CM292"/>
      <c r="CS292" s="8"/>
      <c r="CW292" t="s">
        <v>227</v>
      </c>
      <c r="CX292" t="s">
        <v>227</v>
      </c>
      <c r="CY292" t="s">
        <v>231</v>
      </c>
      <c r="CZ292" t="s">
        <v>227</v>
      </c>
      <c r="DA292" t="s">
        <v>227</v>
      </c>
      <c r="DB292" t="s">
        <v>227</v>
      </c>
      <c r="DC292"/>
      <c r="DD292"/>
      <c r="DE292"/>
      <c r="DF292"/>
      <c r="DG292"/>
      <c r="DH292" s="323"/>
      <c r="DI292" s="323"/>
      <c r="DJ292" s="323"/>
      <c r="DL292" t="s">
        <v>227</v>
      </c>
      <c r="DM292" t="s">
        <v>227</v>
      </c>
      <c r="DN292" t="s">
        <v>227</v>
      </c>
      <c r="DO292" t="s">
        <v>227</v>
      </c>
      <c r="DP292" t="s">
        <v>227</v>
      </c>
      <c r="DS292" s="309">
        <v>15.378</v>
      </c>
      <c r="DU292" s="309">
        <v>178.41399999999999</v>
      </c>
      <c r="DW292"/>
      <c r="DX292" t="s">
        <v>235</v>
      </c>
      <c r="DY292"/>
      <c r="DZ292" t="s">
        <v>235</v>
      </c>
      <c r="EA292"/>
      <c r="EB292"/>
      <c r="ED292" s="410"/>
      <c r="EE292" s="1"/>
      <c r="EG292" s="410"/>
      <c r="EI292" s="410"/>
      <c r="EK292" s="1"/>
      <c r="EM292"/>
      <c r="EQ292" s="344"/>
      <c r="EU292" s="344"/>
      <c r="EW292" s="409"/>
      <c r="EY292" s="1"/>
      <c r="FA292">
        <v>19.920000000000002</v>
      </c>
      <c r="FB292" t="s">
        <v>236</v>
      </c>
      <c r="FC292" s="7">
        <v>98.764302277710655</v>
      </c>
      <c r="FD292" s="357" t="s">
        <v>236</v>
      </c>
      <c r="FE292" s="8">
        <v>15.700012565614909</v>
      </c>
      <c r="FF292" t="s">
        <v>237</v>
      </c>
      <c r="FH292" s="9">
        <v>65.132837718231713</v>
      </c>
      <c r="FI292" s="9" t="s">
        <v>225</v>
      </c>
      <c r="FK292" t="s">
        <v>235</v>
      </c>
      <c r="FL292">
        <v>49.7</v>
      </c>
      <c r="FM292">
        <v>252.34807724805765</v>
      </c>
      <c r="FN292" s="5" t="s">
        <v>237</v>
      </c>
      <c r="FP292" s="6">
        <v>4.9700000000000006</v>
      </c>
      <c r="FQ292" t="s">
        <v>239</v>
      </c>
      <c r="FS292" t="s">
        <v>240</v>
      </c>
      <c r="FT292" t="e">
        <f>FQ292=#REF!</f>
        <v>#REF!</v>
      </c>
      <c r="FU292" s="8">
        <v>1</v>
      </c>
      <c r="FV292" s="8">
        <v>10</v>
      </c>
      <c r="FW292" s="8">
        <v>10</v>
      </c>
      <c r="FX292" s="8">
        <v>10</v>
      </c>
      <c r="FY292" s="8">
        <v>3</v>
      </c>
      <c r="FZ292">
        <f t="shared" si="4"/>
        <v>3000</v>
      </c>
      <c r="GA292" s="7" t="s">
        <v>494</v>
      </c>
      <c r="GB292" s="7" t="s">
        <v>494</v>
      </c>
      <c r="GC292" s="6">
        <v>1.5</v>
      </c>
      <c r="GD292" s="348" t="s">
        <v>383</v>
      </c>
      <c r="GF292" s="6">
        <v>1.6566666666666671E-2</v>
      </c>
      <c r="GH292" s="7"/>
      <c r="GI292" s="445"/>
      <c r="GJ292" s="445"/>
      <c r="GK292" s="445"/>
      <c r="GL292" s="445"/>
      <c r="GM292" s="453"/>
      <c r="GN292" s="448"/>
      <c r="GO292" s="448"/>
      <c r="GP292" s="448"/>
      <c r="GQ292" s="448"/>
      <c r="GR292" s="6" t="s">
        <v>230</v>
      </c>
      <c r="GU292" t="s">
        <v>365</v>
      </c>
      <c r="GV292" t="s">
        <v>223</v>
      </c>
      <c r="GW292" t="s">
        <v>359</v>
      </c>
      <c r="GX292" t="s">
        <v>236</v>
      </c>
      <c r="GY292" t="s">
        <v>245</v>
      </c>
      <c r="HE292" t="s">
        <v>247</v>
      </c>
      <c r="HF292" t="s">
        <v>236</v>
      </c>
      <c r="HG292" t="s">
        <v>231</v>
      </c>
      <c r="HH292" t="s">
        <v>236</v>
      </c>
      <c r="HI292" t="s">
        <v>1435</v>
      </c>
      <c r="HJ292" t="s">
        <v>223</v>
      </c>
      <c r="HK292" t="s">
        <v>248</v>
      </c>
      <c r="HO292" t="s">
        <v>231</v>
      </c>
      <c r="HP292" t="s">
        <v>223</v>
      </c>
      <c r="HQ292" t="s">
        <v>231</v>
      </c>
      <c r="HR292" t="s">
        <v>223</v>
      </c>
      <c r="HU292" t="s">
        <v>231</v>
      </c>
      <c r="HV292" t="s">
        <v>223</v>
      </c>
      <c r="HW292" t="s">
        <v>506</v>
      </c>
      <c r="HX292" t="s">
        <v>236</v>
      </c>
      <c r="IA292" t="s">
        <v>231</v>
      </c>
      <c r="IB292" t="s">
        <v>250</v>
      </c>
      <c r="IC292" s="447"/>
      <c r="ID292" s="447"/>
      <c r="IE292" s="447"/>
      <c r="IF292" s="447"/>
      <c r="IH292" t="s">
        <v>235</v>
      </c>
    </row>
    <row r="293" spans="1:242" ht="101.5" x14ac:dyDescent="0.35">
      <c r="A293" s="310" t="s">
        <v>1738</v>
      </c>
      <c r="B293" s="313" t="s">
        <v>1739</v>
      </c>
      <c r="C293" s="310" t="s">
        <v>1740</v>
      </c>
      <c r="D293" s="316"/>
      <c r="F293" t="s">
        <v>1741</v>
      </c>
      <c r="I293" s="310" t="s">
        <v>1742</v>
      </c>
      <c r="M293" s="313"/>
      <c r="O293"/>
      <c r="P293" s="381"/>
      <c r="Q293"/>
      <c r="T293" s="8"/>
      <c r="U293"/>
      <c r="V293" s="313"/>
      <c r="W293"/>
      <c r="X293"/>
      <c r="Z293"/>
      <c r="AB293"/>
      <c r="AD293" s="8" t="s">
        <v>230</v>
      </c>
      <c r="AF293" s="8" t="s">
        <v>230</v>
      </c>
      <c r="AG293"/>
      <c r="AH293"/>
      <c r="AI293"/>
      <c r="AJ293" t="s">
        <v>221</v>
      </c>
      <c r="AK293">
        <v>0</v>
      </c>
      <c r="AL293">
        <v>0.6</v>
      </c>
      <c r="AM293" t="s">
        <v>221</v>
      </c>
      <c r="AN293" t="s">
        <v>225</v>
      </c>
      <c r="AO293" t="s">
        <v>221</v>
      </c>
      <c r="AP293" t="s">
        <v>225</v>
      </c>
      <c r="AQ293" t="s">
        <v>221</v>
      </c>
      <c r="AR293" t="s">
        <v>225</v>
      </c>
      <c r="AS293" t="s">
        <v>221</v>
      </c>
      <c r="AT293" t="s">
        <v>225</v>
      </c>
      <c r="AU293" t="s">
        <v>272</v>
      </c>
      <c r="AV293"/>
      <c r="AW293" s="313" t="s">
        <v>227</v>
      </c>
      <c r="AX293" t="s">
        <v>226</v>
      </c>
      <c r="AY293" s="313" t="s">
        <v>227</v>
      </c>
      <c r="AZ293" s="313">
        <v>4.4400000000000002E-2</v>
      </c>
      <c r="BB293" s="313" t="s">
        <v>227</v>
      </c>
      <c r="BC293">
        <v>2.3400000000000001E-2</v>
      </c>
      <c r="BD293" t="s">
        <v>227</v>
      </c>
      <c r="BE293">
        <v>3.5200000000000002E-2</v>
      </c>
      <c r="BF293" s="2" t="s">
        <v>220</v>
      </c>
      <c r="BG293" s="2" t="s">
        <v>273</v>
      </c>
      <c r="BH293" s="2" t="s">
        <v>274</v>
      </c>
      <c r="BI293" s="2" t="s">
        <v>275</v>
      </c>
      <c r="BM293"/>
      <c r="BP293" s="8"/>
      <c r="BQ293" t="s">
        <v>230</v>
      </c>
      <c r="BR293" t="s">
        <v>230</v>
      </c>
      <c r="BU293" t="s">
        <v>231</v>
      </c>
      <c r="BV293" t="s">
        <v>223</v>
      </c>
      <c r="BW293" t="s">
        <v>232</v>
      </c>
      <c r="BX293" t="s">
        <v>500</v>
      </c>
      <c r="BY293" t="s">
        <v>227</v>
      </c>
      <c r="BZ293">
        <v>0.187</v>
      </c>
      <c r="CA293" t="s">
        <v>234</v>
      </c>
      <c r="CF293" t="s">
        <v>227</v>
      </c>
      <c r="CG293">
        <v>1.01E-2</v>
      </c>
      <c r="CH293" t="s">
        <v>227</v>
      </c>
      <c r="CI293">
        <v>1.9099999999999999E-2</v>
      </c>
      <c r="CK293"/>
      <c r="CL293"/>
      <c r="CM293"/>
      <c r="CS293" s="8"/>
      <c r="CW293" t="s">
        <v>227</v>
      </c>
      <c r="CX293" t="s">
        <v>227</v>
      </c>
      <c r="CY293" t="s">
        <v>231</v>
      </c>
      <c r="CZ293" t="s">
        <v>227</v>
      </c>
      <c r="DA293" t="s">
        <v>227</v>
      </c>
      <c r="DB293" t="s">
        <v>227</v>
      </c>
      <c r="DC293"/>
      <c r="DD293"/>
      <c r="DE293"/>
      <c r="DF293"/>
      <c r="DG293"/>
      <c r="DH293" s="323"/>
      <c r="DI293" s="323"/>
      <c r="DJ293" s="323"/>
      <c r="DL293" t="s">
        <v>227</v>
      </c>
      <c r="DM293" t="s">
        <v>227</v>
      </c>
      <c r="DN293" t="s">
        <v>227</v>
      </c>
      <c r="DO293" t="s">
        <v>227</v>
      </c>
      <c r="DP293" t="s">
        <v>227</v>
      </c>
      <c r="DS293" s="338">
        <v>3037.596</v>
      </c>
      <c r="DT293" s="8" t="s">
        <v>394</v>
      </c>
      <c r="DU293" s="338">
        <v>409.09199999999998</v>
      </c>
      <c r="DV293" s="8" t="s">
        <v>394</v>
      </c>
      <c r="DW293">
        <v>17.100000000000001</v>
      </c>
      <c r="DX293" t="s">
        <v>238</v>
      </c>
      <c r="DY293">
        <v>721</v>
      </c>
      <c r="DZ293" t="s">
        <v>238</v>
      </c>
      <c r="EA293"/>
      <c r="EB293"/>
      <c r="ED293" s="410"/>
      <c r="EE293" s="1"/>
      <c r="EG293" s="410"/>
      <c r="EI293" s="410"/>
      <c r="EK293" s="1"/>
      <c r="EM293"/>
      <c r="EQ293" s="344"/>
      <c r="EU293" s="344"/>
      <c r="EW293" s="409"/>
      <c r="EY293" s="1"/>
      <c r="FA293">
        <v>95.58</v>
      </c>
      <c r="FB293" t="s">
        <v>225</v>
      </c>
      <c r="FC293" s="7">
        <v>2016.972607033113</v>
      </c>
      <c r="FD293" s="357" t="s">
        <v>236</v>
      </c>
      <c r="FE293" s="8">
        <v>4.1162334730276529</v>
      </c>
      <c r="FF293" t="s">
        <v>237</v>
      </c>
      <c r="FH293" s="9">
        <v>1242.5103069290101</v>
      </c>
      <c r="FI293" s="9" t="s">
        <v>236</v>
      </c>
      <c r="FJ293">
        <v>348</v>
      </c>
      <c r="FK293" t="s">
        <v>238</v>
      </c>
      <c r="FL293">
        <v>49.2</v>
      </c>
      <c r="FM293">
        <v>46.398078998212583</v>
      </c>
      <c r="FN293" s="5" t="s">
        <v>237</v>
      </c>
      <c r="FP293" s="6">
        <v>4.92</v>
      </c>
      <c r="FQ293" t="s">
        <v>239</v>
      </c>
      <c r="FS293" t="s">
        <v>240</v>
      </c>
      <c r="FT293" t="e">
        <f>FQ293=#REF!</f>
        <v>#REF!</v>
      </c>
      <c r="FU293" s="8">
        <v>1</v>
      </c>
      <c r="FV293" s="8">
        <v>10</v>
      </c>
      <c r="FW293" s="8">
        <v>10</v>
      </c>
      <c r="FX293" s="8">
        <v>10</v>
      </c>
      <c r="FY293" s="8">
        <v>3</v>
      </c>
      <c r="FZ293">
        <f t="shared" si="4"/>
        <v>3000</v>
      </c>
      <c r="GA293" s="7" t="s">
        <v>241</v>
      </c>
      <c r="GB293" s="7" t="s">
        <v>241</v>
      </c>
      <c r="GC293" s="6">
        <v>30</v>
      </c>
      <c r="GD293" s="348" t="s">
        <v>242</v>
      </c>
      <c r="GF293" s="6">
        <v>1.6399999999999998E-2</v>
      </c>
      <c r="GH293" s="7"/>
      <c r="GI293" s="445"/>
      <c r="GJ293" s="445"/>
      <c r="GK293" s="445"/>
      <c r="GL293" s="445"/>
      <c r="GM293" s="460" t="s">
        <v>338</v>
      </c>
      <c r="GN293" s="6">
        <v>0.2</v>
      </c>
      <c r="GO293" s="6">
        <v>0.375</v>
      </c>
      <c r="GP293" s="6">
        <v>0.6</v>
      </c>
      <c r="GQ293" s="6">
        <v>1.5</v>
      </c>
      <c r="GR293" s="460" t="s">
        <v>338</v>
      </c>
      <c r="GU293" t="s">
        <v>243</v>
      </c>
      <c r="GV293" t="s">
        <v>236</v>
      </c>
      <c r="GW293" t="s">
        <v>244</v>
      </c>
      <c r="GX293" t="s">
        <v>236</v>
      </c>
      <c r="GY293" t="s">
        <v>245</v>
      </c>
      <c r="HE293" t="s">
        <v>246</v>
      </c>
      <c r="HF293" t="s">
        <v>236</v>
      </c>
      <c r="HG293" t="s">
        <v>231</v>
      </c>
      <c r="HH293" t="s">
        <v>236</v>
      </c>
      <c r="HI293" t="s">
        <v>247</v>
      </c>
      <c r="HJ293" t="s">
        <v>223</v>
      </c>
      <c r="HK293" t="s">
        <v>266</v>
      </c>
      <c r="HO293" t="s">
        <v>231</v>
      </c>
      <c r="HP293" t="s">
        <v>223</v>
      </c>
      <c r="HQ293" t="s">
        <v>231</v>
      </c>
      <c r="HR293" t="s">
        <v>223</v>
      </c>
      <c r="HU293" t="s">
        <v>231</v>
      </c>
      <c r="HV293" t="s">
        <v>225</v>
      </c>
      <c r="HW293" t="s">
        <v>246</v>
      </c>
      <c r="HX293" t="s">
        <v>236</v>
      </c>
      <c r="IA293" t="s">
        <v>231</v>
      </c>
      <c r="IB293" t="s">
        <v>250</v>
      </c>
      <c r="IC293" s="447"/>
      <c r="ID293" s="447"/>
      <c r="IE293" s="447"/>
      <c r="IF293" s="447"/>
      <c r="IG293" s="459" t="s">
        <v>1719</v>
      </c>
      <c r="IH293" t="s">
        <v>235</v>
      </c>
    </row>
    <row r="294" spans="1:242" x14ac:dyDescent="0.35">
      <c r="A294" s="310" t="s">
        <v>1743</v>
      </c>
      <c r="B294" s="313" t="s">
        <v>1744</v>
      </c>
      <c r="C294" s="310" t="s">
        <v>1745</v>
      </c>
      <c r="D294" s="316"/>
      <c r="F294" t="s">
        <v>1746</v>
      </c>
      <c r="I294" s="310" t="s">
        <v>1747</v>
      </c>
      <c r="M294" s="313"/>
      <c r="O294"/>
      <c r="P294" s="381"/>
      <c r="Q294"/>
      <c r="T294" s="8"/>
      <c r="U294"/>
      <c r="V294" s="313"/>
      <c r="W294"/>
      <c r="X294"/>
      <c r="Z294"/>
      <c r="AB294"/>
      <c r="AD294" s="8" t="s">
        <v>230</v>
      </c>
      <c r="AF294" s="8" t="s">
        <v>230</v>
      </c>
      <c r="AG294"/>
      <c r="AH294"/>
      <c r="AI294"/>
      <c r="AJ294" t="s">
        <v>221</v>
      </c>
      <c r="AK294">
        <v>0</v>
      </c>
      <c r="AL294">
        <v>0.82499999999999996</v>
      </c>
      <c r="AM294" t="s">
        <v>221</v>
      </c>
      <c r="AN294" t="s">
        <v>223</v>
      </c>
      <c r="AO294" t="s">
        <v>221</v>
      </c>
      <c r="AP294" t="s">
        <v>223</v>
      </c>
      <c r="AQ294" t="s">
        <v>221</v>
      </c>
      <c r="AR294" t="s">
        <v>225</v>
      </c>
      <c r="AS294" t="s">
        <v>221</v>
      </c>
      <c r="AT294" t="s">
        <v>223</v>
      </c>
      <c r="AU294" t="s">
        <v>272</v>
      </c>
      <c r="AV294"/>
      <c r="AW294" s="313" t="s">
        <v>227</v>
      </c>
      <c r="AX294" t="s">
        <v>226</v>
      </c>
      <c r="AY294" s="313" t="s">
        <v>227</v>
      </c>
      <c r="AZ294" s="313">
        <v>0.23100000000000001</v>
      </c>
      <c r="BB294" s="313" t="s">
        <v>227</v>
      </c>
      <c r="BC294">
        <v>0.108</v>
      </c>
      <c r="BD294" t="s">
        <v>227</v>
      </c>
      <c r="BE294">
        <v>4.5600000000000002E-2</v>
      </c>
      <c r="BF294" s="2" t="s">
        <v>220</v>
      </c>
      <c r="BG294" s="2" t="s">
        <v>273</v>
      </c>
      <c r="BH294" s="2" t="s">
        <v>274</v>
      </c>
      <c r="BI294" s="2" t="s">
        <v>275</v>
      </c>
      <c r="BM294"/>
      <c r="BP294" s="8"/>
      <c r="BQ294" t="s">
        <v>230</v>
      </c>
      <c r="BR294" t="s">
        <v>230</v>
      </c>
      <c r="BU294" t="s">
        <v>231</v>
      </c>
      <c r="BV294" t="s">
        <v>223</v>
      </c>
      <c r="BW294" t="s">
        <v>232</v>
      </c>
      <c r="BX294" t="s">
        <v>500</v>
      </c>
      <c r="BY294" t="s">
        <v>227</v>
      </c>
      <c r="BZ294">
        <v>0.498</v>
      </c>
      <c r="CA294" t="s">
        <v>234</v>
      </c>
      <c r="CF294" t="s">
        <v>227</v>
      </c>
      <c r="CG294">
        <v>3.0800000000000001E-2</v>
      </c>
      <c r="CH294" t="s">
        <v>227</v>
      </c>
      <c r="CI294">
        <v>9.2899999999999996E-2</v>
      </c>
      <c r="CK294"/>
      <c r="CL294"/>
      <c r="CM294"/>
      <c r="CS294" s="8"/>
      <c r="CW294" t="s">
        <v>227</v>
      </c>
      <c r="CX294" t="s">
        <v>227</v>
      </c>
      <c r="CY294" t="s">
        <v>231</v>
      </c>
      <c r="CZ294" t="s">
        <v>227</v>
      </c>
      <c r="DA294" t="s">
        <v>227</v>
      </c>
      <c r="DB294" t="s">
        <v>227</v>
      </c>
      <c r="DC294"/>
      <c r="DD294"/>
      <c r="DE294"/>
      <c r="DF294"/>
      <c r="DG294"/>
      <c r="DH294" s="323"/>
      <c r="DI294" s="323"/>
      <c r="DJ294" s="323"/>
      <c r="DL294" t="s">
        <v>227</v>
      </c>
      <c r="DM294" t="s">
        <v>227</v>
      </c>
      <c r="DN294" t="s">
        <v>227</v>
      </c>
      <c r="DO294" t="s">
        <v>227</v>
      </c>
      <c r="DP294" t="s">
        <v>227</v>
      </c>
      <c r="DS294" s="338">
        <v>1362.008</v>
      </c>
      <c r="DT294" s="8" t="s">
        <v>394</v>
      </c>
      <c r="DU294" s="338">
        <v>453.31599999999997</v>
      </c>
      <c r="DV294" s="8" t="s">
        <v>394</v>
      </c>
      <c r="DW294"/>
      <c r="DX294" t="s">
        <v>235</v>
      </c>
      <c r="DY294"/>
      <c r="DZ294" t="s">
        <v>235</v>
      </c>
      <c r="EA294"/>
      <c r="EB294"/>
      <c r="ED294" s="410"/>
      <c r="EE294" s="1"/>
      <c r="EG294" s="410"/>
      <c r="EI294" s="410"/>
      <c r="EK294" s="1"/>
      <c r="EM294"/>
      <c r="EQ294" s="344"/>
      <c r="EU294" s="344"/>
      <c r="EW294" s="409"/>
      <c r="EY294" s="1"/>
      <c r="FA294">
        <v>26.99</v>
      </c>
      <c r="FB294" t="s">
        <v>225</v>
      </c>
      <c r="FC294" s="7">
        <v>261.03575603407899</v>
      </c>
      <c r="FD294" s="357" t="s">
        <v>236</v>
      </c>
      <c r="FE294" s="8">
        <v>2.2268963323534025E-2</v>
      </c>
      <c r="FF294" t="s">
        <v>337</v>
      </c>
      <c r="FH294" s="9">
        <v>33.311945706820019</v>
      </c>
      <c r="FI294" s="9" t="s">
        <v>236</v>
      </c>
      <c r="FK294" t="s">
        <v>235</v>
      </c>
      <c r="FL294">
        <v>6.47</v>
      </c>
      <c r="FM294">
        <v>0.42736603149693053</v>
      </c>
      <c r="FN294" s="5" t="s">
        <v>337</v>
      </c>
      <c r="FP294" s="6">
        <v>0.64700000000000002</v>
      </c>
      <c r="FQ294" t="s">
        <v>239</v>
      </c>
      <c r="FS294" t="s">
        <v>240</v>
      </c>
      <c r="FT294" t="e">
        <f>FQ294=#REF!</f>
        <v>#REF!</v>
      </c>
      <c r="FU294" s="8">
        <v>1</v>
      </c>
      <c r="FV294" s="8">
        <v>10</v>
      </c>
      <c r="FW294" s="8">
        <v>10</v>
      </c>
      <c r="FX294" s="8">
        <v>10</v>
      </c>
      <c r="FY294" s="8">
        <v>3</v>
      </c>
      <c r="FZ294">
        <f t="shared" si="4"/>
        <v>3000</v>
      </c>
      <c r="GA294" s="7" t="s">
        <v>326</v>
      </c>
      <c r="GB294" s="7" t="s">
        <v>326</v>
      </c>
      <c r="GC294" s="6">
        <v>1.5</v>
      </c>
      <c r="GD294" s="348" t="s">
        <v>1514</v>
      </c>
      <c r="GF294" s="6">
        <v>2.1566666666666665E-3</v>
      </c>
      <c r="GH294" s="7"/>
      <c r="GI294" s="441" t="s">
        <v>395</v>
      </c>
      <c r="GJ294" s="441" t="s">
        <v>395</v>
      </c>
      <c r="GK294" s="441" t="s">
        <v>395</v>
      </c>
      <c r="GL294" s="441" t="s">
        <v>395</v>
      </c>
      <c r="GM294" s="452" t="s">
        <v>529</v>
      </c>
      <c r="GN294" s="6" t="s">
        <v>395</v>
      </c>
      <c r="GO294" s="6" t="s">
        <v>395</v>
      </c>
      <c r="GP294" s="6" t="s">
        <v>395</v>
      </c>
      <c r="GQ294" s="6" t="s">
        <v>395</v>
      </c>
      <c r="GR294" s="6" t="s">
        <v>396</v>
      </c>
      <c r="GU294" t="s">
        <v>365</v>
      </c>
      <c r="GV294" t="s">
        <v>223</v>
      </c>
      <c r="GW294" t="s">
        <v>244</v>
      </c>
      <c r="GX294" t="s">
        <v>236</v>
      </c>
      <c r="GY294" t="s">
        <v>245</v>
      </c>
      <c r="HE294" t="s">
        <v>246</v>
      </c>
      <c r="HF294" t="s">
        <v>236</v>
      </c>
      <c r="HG294" t="s">
        <v>317</v>
      </c>
      <c r="HH294" t="s">
        <v>223</v>
      </c>
      <c r="HI294" t="s">
        <v>1435</v>
      </c>
      <c r="HJ294" t="s">
        <v>236</v>
      </c>
      <c r="HK294" t="s">
        <v>248</v>
      </c>
      <c r="HO294" t="s">
        <v>231</v>
      </c>
      <c r="HP294" t="s">
        <v>223</v>
      </c>
      <c r="HQ294" t="s">
        <v>231</v>
      </c>
      <c r="HR294" t="s">
        <v>223</v>
      </c>
      <c r="HU294" t="s">
        <v>231</v>
      </c>
      <c r="HV294" t="s">
        <v>223</v>
      </c>
      <c r="HW294" t="s">
        <v>246</v>
      </c>
      <c r="HX294" t="s">
        <v>236</v>
      </c>
      <c r="IA294" t="s">
        <v>231</v>
      </c>
      <c r="IB294" t="s">
        <v>250</v>
      </c>
      <c r="IC294" t="s">
        <v>395</v>
      </c>
      <c r="ID294" t="s">
        <v>395</v>
      </c>
      <c r="IE294" t="s">
        <v>395</v>
      </c>
      <c r="IF294" t="s">
        <v>395</v>
      </c>
      <c r="IH294" t="s">
        <v>235</v>
      </c>
    </row>
    <row r="295" spans="1:242" x14ac:dyDescent="0.35">
      <c r="A295" s="310" t="s">
        <v>1748</v>
      </c>
      <c r="B295" s="313" t="s">
        <v>1749</v>
      </c>
      <c r="C295" s="310" t="s">
        <v>1750</v>
      </c>
      <c r="D295" s="316"/>
      <c r="F295" t="s">
        <v>1751</v>
      </c>
      <c r="I295" s="310" t="s">
        <v>1752</v>
      </c>
      <c r="M295" s="313"/>
      <c r="O295"/>
      <c r="P295" s="381"/>
      <c r="Q295"/>
      <c r="T295" s="8"/>
      <c r="U295"/>
      <c r="V295" s="313"/>
      <c r="W295"/>
      <c r="X295"/>
      <c r="Z295"/>
      <c r="AB295"/>
      <c r="AD295" s="8" t="s">
        <v>230</v>
      </c>
      <c r="AF295" s="8" t="s">
        <v>230</v>
      </c>
      <c r="AG295"/>
      <c r="AH295"/>
      <c r="AI295"/>
      <c r="AJ295" t="s">
        <v>221</v>
      </c>
      <c r="AK295">
        <v>0</v>
      </c>
      <c r="AL295">
        <v>0.6</v>
      </c>
      <c r="AM295" t="s">
        <v>221</v>
      </c>
      <c r="AN295" t="s">
        <v>225</v>
      </c>
      <c r="AO295" t="s">
        <v>224</v>
      </c>
      <c r="AP295" t="s">
        <v>225</v>
      </c>
      <c r="AQ295" t="s">
        <v>221</v>
      </c>
      <c r="AR295" t="s">
        <v>225</v>
      </c>
      <c r="AS295" t="s">
        <v>221</v>
      </c>
      <c r="AT295" t="s">
        <v>225</v>
      </c>
      <c r="AU295" t="s">
        <v>220</v>
      </c>
      <c r="AV295"/>
      <c r="AW295" s="313" t="s">
        <v>220</v>
      </c>
      <c r="AX295" t="s">
        <v>226</v>
      </c>
      <c r="AY295" s="313" t="s">
        <v>220</v>
      </c>
      <c r="AZ295" s="313">
        <v>0.27200000000000002</v>
      </c>
      <c r="BB295" s="313" t="s">
        <v>220</v>
      </c>
      <c r="BC295">
        <v>0.192</v>
      </c>
      <c r="BD295" t="s">
        <v>220</v>
      </c>
      <c r="BE295">
        <v>0.247</v>
      </c>
      <c r="BF295" s="2" t="s">
        <v>220</v>
      </c>
      <c r="BG295" s="2" t="s">
        <v>273</v>
      </c>
      <c r="BH295" s="2" t="s">
        <v>274</v>
      </c>
      <c r="BI295" s="2" t="s">
        <v>275</v>
      </c>
      <c r="BM295"/>
      <c r="BP295" s="8"/>
      <c r="BQ295" t="s">
        <v>230</v>
      </c>
      <c r="BR295" t="s">
        <v>230</v>
      </c>
      <c r="BU295" t="s">
        <v>317</v>
      </c>
      <c r="BV295" t="s">
        <v>225</v>
      </c>
      <c r="BW295" t="s">
        <v>232</v>
      </c>
      <c r="BX295" t="s">
        <v>233</v>
      </c>
      <c r="BY295" t="s">
        <v>220</v>
      </c>
      <c r="BZ295">
        <v>0.47699999999999998</v>
      </c>
      <c r="CA295" t="s">
        <v>372</v>
      </c>
      <c r="CF295" t="s">
        <v>257</v>
      </c>
      <c r="CG295">
        <v>0.73099999999999998</v>
      </c>
      <c r="CH295" t="s">
        <v>257</v>
      </c>
      <c r="CI295">
        <v>0.69799999999999995</v>
      </c>
      <c r="CK295"/>
      <c r="CL295"/>
      <c r="CM295"/>
      <c r="CS295" s="8"/>
      <c r="CW295" t="s">
        <v>220</v>
      </c>
      <c r="CX295" t="s">
        <v>220</v>
      </c>
      <c r="CY295" t="s">
        <v>231</v>
      </c>
      <c r="CZ295" t="s">
        <v>220</v>
      </c>
      <c r="DA295" t="s">
        <v>257</v>
      </c>
      <c r="DB295" t="s">
        <v>220</v>
      </c>
      <c r="DC295"/>
      <c r="DD295"/>
      <c r="DE295"/>
      <c r="DF295"/>
      <c r="DG295"/>
      <c r="DH295" s="323"/>
      <c r="DI295" s="323"/>
      <c r="DJ295" s="323"/>
      <c r="DL295" t="s">
        <v>257</v>
      </c>
      <c r="DM295" t="s">
        <v>257</v>
      </c>
      <c r="DN295" t="s">
        <v>257</v>
      </c>
      <c r="DO295" t="s">
        <v>220</v>
      </c>
      <c r="DP295" t="s">
        <v>220</v>
      </c>
      <c r="DS295" s="309">
        <v>95.200999999999993</v>
      </c>
      <c r="DU295" s="309">
        <v>163.065</v>
      </c>
      <c r="DW295">
        <v>8.56</v>
      </c>
      <c r="DX295" t="s">
        <v>238</v>
      </c>
      <c r="DY295">
        <v>52.3</v>
      </c>
      <c r="DZ295" t="s">
        <v>238</v>
      </c>
      <c r="EA295"/>
      <c r="EB295"/>
      <c r="ED295" s="410"/>
      <c r="EE295" s="1"/>
      <c r="EG295" s="410"/>
      <c r="EI295" s="410"/>
      <c r="EK295" s="1"/>
      <c r="EM295"/>
      <c r="EQ295" s="344"/>
      <c r="EU295" s="344"/>
      <c r="EW295" s="409"/>
      <c r="EY295" s="1"/>
      <c r="FA295">
        <v>143.63</v>
      </c>
      <c r="FB295" t="s">
        <v>225</v>
      </c>
      <c r="FC295" s="7">
        <v>115.3984565005087</v>
      </c>
      <c r="FD295" s="357" t="s">
        <v>236</v>
      </c>
      <c r="FE295" s="8">
        <v>245.13199515434269</v>
      </c>
      <c r="FF295" t="s">
        <v>237</v>
      </c>
      <c r="FH295" s="9">
        <v>186.85296772558542</v>
      </c>
      <c r="FI295" s="9" t="s">
        <v>225</v>
      </c>
      <c r="FJ295">
        <v>355</v>
      </c>
      <c r="FK295" t="s">
        <v>238</v>
      </c>
      <c r="FL295">
        <v>302</v>
      </c>
      <c r="FM295">
        <v>771.25856498921428</v>
      </c>
      <c r="FN295" s="5" t="s">
        <v>237</v>
      </c>
      <c r="FP295" s="6">
        <v>30.2</v>
      </c>
      <c r="FQ295" t="s">
        <v>239</v>
      </c>
      <c r="FS295" t="s">
        <v>240</v>
      </c>
      <c r="FT295" t="e">
        <f>FQ295=#REF!</f>
        <v>#REF!</v>
      </c>
      <c r="FU295" s="8">
        <v>1</v>
      </c>
      <c r="FV295" s="8">
        <v>10</v>
      </c>
      <c r="FW295" s="8">
        <v>10</v>
      </c>
      <c r="FX295" s="8">
        <v>10</v>
      </c>
      <c r="FY295" s="8">
        <v>3</v>
      </c>
      <c r="FZ295">
        <f t="shared" si="4"/>
        <v>3000</v>
      </c>
      <c r="GA295" s="7" t="s">
        <v>326</v>
      </c>
      <c r="GB295" s="7" t="s">
        <v>326</v>
      </c>
      <c r="GC295" s="6">
        <v>1.5</v>
      </c>
      <c r="GD295" s="348" t="s">
        <v>242</v>
      </c>
      <c r="GF295" s="6">
        <v>0.10066666666666667</v>
      </c>
      <c r="GH295" s="7"/>
      <c r="GI295" s="441">
        <v>0.67100000000000004</v>
      </c>
      <c r="GJ295" s="441">
        <v>1.258</v>
      </c>
      <c r="GK295" s="441">
        <v>2.0129999999999999</v>
      </c>
      <c r="GL295" s="441">
        <v>5.0330000000000004</v>
      </c>
      <c r="GM295" s="452" t="s">
        <v>262</v>
      </c>
      <c r="GN295" s="6">
        <v>0.01</v>
      </c>
      <c r="GO295" s="6">
        <v>1.8749999999999999E-2</v>
      </c>
      <c r="GP295" s="6">
        <v>0.03</v>
      </c>
      <c r="GQ295" s="6">
        <v>7.4999999999999997E-2</v>
      </c>
      <c r="GR295" s="6" t="s">
        <v>230</v>
      </c>
      <c r="GU295" t="s">
        <v>365</v>
      </c>
      <c r="GV295" t="s">
        <v>223</v>
      </c>
      <c r="GW295" t="s">
        <v>359</v>
      </c>
      <c r="GX295" t="s">
        <v>225</v>
      </c>
      <c r="GY295" t="s">
        <v>245</v>
      </c>
      <c r="HE295" t="s">
        <v>247</v>
      </c>
      <c r="HF295" t="s">
        <v>223</v>
      </c>
      <c r="HG295" t="s">
        <v>231</v>
      </c>
      <c r="HH295" t="s">
        <v>223</v>
      </c>
      <c r="HI295" t="s">
        <v>247</v>
      </c>
      <c r="HJ295" t="s">
        <v>223</v>
      </c>
      <c r="HK295" t="s">
        <v>266</v>
      </c>
      <c r="HL295" t="s">
        <v>231</v>
      </c>
      <c r="HM295" t="s">
        <v>231</v>
      </c>
      <c r="HO295" t="s">
        <v>231</v>
      </c>
      <c r="HP295" t="s">
        <v>249</v>
      </c>
      <c r="HQ295" t="s">
        <v>231</v>
      </c>
      <c r="HR295" t="s">
        <v>249</v>
      </c>
      <c r="HU295" t="s">
        <v>231</v>
      </c>
      <c r="HV295" t="s">
        <v>223</v>
      </c>
      <c r="HW295" t="s">
        <v>246</v>
      </c>
      <c r="HX295" t="s">
        <v>236</v>
      </c>
      <c r="IA295" t="s">
        <v>231</v>
      </c>
      <c r="IB295" t="s">
        <v>250</v>
      </c>
      <c r="IC295">
        <v>0.67100000000000004</v>
      </c>
      <c r="ID295">
        <v>1.258</v>
      </c>
      <c r="IE295">
        <v>2.0129999999999999</v>
      </c>
      <c r="IF295">
        <v>5.0330000000000004</v>
      </c>
      <c r="IH295" t="s">
        <v>267</v>
      </c>
    </row>
    <row r="296" spans="1:242" ht="101.5" x14ac:dyDescent="0.35">
      <c r="A296" s="310" t="s">
        <v>1753</v>
      </c>
      <c r="B296" s="313" t="s">
        <v>1754</v>
      </c>
      <c r="C296" s="310" t="s">
        <v>1755</v>
      </c>
      <c r="D296" s="316"/>
      <c r="F296" t="s">
        <v>1755</v>
      </c>
      <c r="I296" s="310" t="s">
        <v>1756</v>
      </c>
      <c r="M296" s="313"/>
      <c r="O296"/>
      <c r="P296" s="381"/>
      <c r="Q296"/>
      <c r="T296" s="8"/>
      <c r="U296"/>
      <c r="V296" s="313"/>
      <c r="W296"/>
      <c r="X296"/>
      <c r="Z296"/>
      <c r="AB296"/>
      <c r="AD296" s="8" t="s">
        <v>230</v>
      </c>
      <c r="AF296" s="8" t="s">
        <v>230</v>
      </c>
      <c r="AG296"/>
      <c r="AH296"/>
      <c r="AI296"/>
      <c r="AJ296" t="s">
        <v>221</v>
      </c>
      <c r="AK296">
        <v>0</v>
      </c>
      <c r="AL296">
        <v>0.82499999999999996</v>
      </c>
      <c r="AM296" t="s">
        <v>221</v>
      </c>
      <c r="AN296" t="s">
        <v>223</v>
      </c>
      <c r="AO296" t="s">
        <v>221</v>
      </c>
      <c r="AP296" t="s">
        <v>223</v>
      </c>
      <c r="AQ296" t="s">
        <v>221</v>
      </c>
      <c r="AR296" t="s">
        <v>225</v>
      </c>
      <c r="AS296" t="s">
        <v>221</v>
      </c>
      <c r="AT296" t="s">
        <v>223</v>
      </c>
      <c r="AU296" t="s">
        <v>272</v>
      </c>
      <c r="AV296"/>
      <c r="AW296" s="313" t="s">
        <v>227</v>
      </c>
      <c r="AX296" t="s">
        <v>226</v>
      </c>
      <c r="AY296" s="313" t="s">
        <v>227</v>
      </c>
      <c r="AZ296" s="313">
        <v>4.5199999999999997E-2</v>
      </c>
      <c r="BB296" s="313" t="s">
        <v>227</v>
      </c>
      <c r="BC296">
        <v>2.35E-2</v>
      </c>
      <c r="BD296" t="s">
        <v>227</v>
      </c>
      <c r="BE296">
        <v>6.0100000000000001E-2</v>
      </c>
      <c r="BF296" s="2" t="s">
        <v>220</v>
      </c>
      <c r="BG296" s="2" t="s">
        <v>273</v>
      </c>
      <c r="BH296" s="2" t="s">
        <v>274</v>
      </c>
      <c r="BI296" s="2" t="s">
        <v>275</v>
      </c>
      <c r="BM296"/>
      <c r="BP296" s="8"/>
      <c r="BQ296" t="s">
        <v>230</v>
      </c>
      <c r="BR296" t="s">
        <v>230</v>
      </c>
      <c r="BU296" t="s">
        <v>231</v>
      </c>
      <c r="BV296" t="s">
        <v>223</v>
      </c>
      <c r="BW296" t="s">
        <v>232</v>
      </c>
      <c r="BX296" t="s">
        <v>500</v>
      </c>
      <c r="BY296" t="s">
        <v>227</v>
      </c>
      <c r="BZ296">
        <v>0.19900000000000001</v>
      </c>
      <c r="CA296" t="s">
        <v>234</v>
      </c>
      <c r="CF296" t="s">
        <v>227</v>
      </c>
      <c r="CG296">
        <v>2.23E-2</v>
      </c>
      <c r="CH296" t="s">
        <v>227</v>
      </c>
      <c r="CI296">
        <v>2.3300000000000001E-2</v>
      </c>
      <c r="CK296"/>
      <c r="CL296"/>
      <c r="CM296"/>
      <c r="CS296" s="8"/>
      <c r="CW296" t="s">
        <v>227</v>
      </c>
      <c r="CX296" t="s">
        <v>227</v>
      </c>
      <c r="CY296" t="s">
        <v>231</v>
      </c>
      <c r="CZ296" t="s">
        <v>227</v>
      </c>
      <c r="DA296" t="s">
        <v>227</v>
      </c>
      <c r="DB296" t="s">
        <v>227</v>
      </c>
      <c r="DC296"/>
      <c r="DD296"/>
      <c r="DE296"/>
      <c r="DF296"/>
      <c r="DG296"/>
      <c r="DH296" s="323"/>
      <c r="DI296" s="323"/>
      <c r="DJ296" s="323"/>
      <c r="DL296" t="s">
        <v>227</v>
      </c>
      <c r="DM296" t="s">
        <v>227</v>
      </c>
      <c r="DN296" t="s">
        <v>227</v>
      </c>
      <c r="DO296" t="s">
        <v>227</v>
      </c>
      <c r="DP296" t="s">
        <v>227</v>
      </c>
      <c r="DS296" s="338">
        <v>2388.989</v>
      </c>
      <c r="DT296" s="8" t="s">
        <v>394</v>
      </c>
      <c r="DU296" s="338">
        <v>391.82299999999998</v>
      </c>
      <c r="DV296" s="8" t="s">
        <v>394</v>
      </c>
      <c r="DW296">
        <v>24.7</v>
      </c>
      <c r="DX296" t="s">
        <v>238</v>
      </c>
      <c r="DY296">
        <v>1310</v>
      </c>
      <c r="DZ296" t="s">
        <v>238</v>
      </c>
      <c r="EA296"/>
      <c r="EB296"/>
      <c r="ED296" s="410"/>
      <c r="EE296" s="1"/>
      <c r="EG296" s="410"/>
      <c r="EI296" s="410"/>
      <c r="EK296" s="1"/>
      <c r="EM296"/>
      <c r="EQ296" s="344"/>
      <c r="EU296" s="344"/>
      <c r="EW296" s="409"/>
      <c r="EY296" s="1"/>
      <c r="FA296">
        <v>81.790000000000006</v>
      </c>
      <c r="FB296" t="s">
        <v>225</v>
      </c>
      <c r="FC296" s="7">
        <v>1709.6216148411122</v>
      </c>
      <c r="FD296" s="357" t="s">
        <v>236</v>
      </c>
      <c r="FE296" s="8">
        <v>4.9510806411766568</v>
      </c>
      <c r="FF296" t="s">
        <v>237</v>
      </c>
      <c r="FH296" s="9">
        <v>738.58417812079699</v>
      </c>
      <c r="FI296" s="9" t="s">
        <v>236</v>
      </c>
      <c r="FJ296">
        <v>114</v>
      </c>
      <c r="FK296" t="s">
        <v>238</v>
      </c>
      <c r="FL296">
        <v>53.4</v>
      </c>
      <c r="FM296">
        <v>47.435119608569643</v>
      </c>
      <c r="FN296" s="5" t="s">
        <v>237</v>
      </c>
      <c r="FP296" s="6">
        <v>5.34</v>
      </c>
      <c r="FQ296" t="s">
        <v>239</v>
      </c>
      <c r="FS296" t="s">
        <v>240</v>
      </c>
      <c r="FT296" t="e">
        <f>FQ296=#REF!</f>
        <v>#REF!</v>
      </c>
      <c r="FU296" s="8">
        <v>1</v>
      </c>
      <c r="FV296" s="8">
        <v>10</v>
      </c>
      <c r="FW296" s="8">
        <v>10</v>
      </c>
      <c r="FX296" s="8">
        <v>10</v>
      </c>
      <c r="FY296" s="8">
        <v>3</v>
      </c>
      <c r="FZ296">
        <f t="shared" si="4"/>
        <v>3000</v>
      </c>
      <c r="GA296" s="7" t="s">
        <v>241</v>
      </c>
      <c r="GB296" s="7" t="s">
        <v>241</v>
      </c>
      <c r="GC296" s="6">
        <v>30</v>
      </c>
      <c r="GD296" s="348" t="s">
        <v>242</v>
      </c>
      <c r="GF296" s="6">
        <v>1.78E-2</v>
      </c>
      <c r="GH296" s="7"/>
      <c r="GI296" s="445"/>
      <c r="GJ296" s="445"/>
      <c r="GK296" s="445"/>
      <c r="GL296" s="445"/>
      <c r="GM296" s="460" t="s">
        <v>338</v>
      </c>
      <c r="GN296" s="6">
        <v>0.2</v>
      </c>
      <c r="GO296" s="6">
        <v>0.375</v>
      </c>
      <c r="GP296" s="6">
        <v>0.6</v>
      </c>
      <c r="GQ296" s="6">
        <v>1.5</v>
      </c>
      <c r="GR296" s="460" t="s">
        <v>338</v>
      </c>
      <c r="GU296" t="s">
        <v>243</v>
      </c>
      <c r="GV296" t="s">
        <v>236</v>
      </c>
      <c r="GW296" t="s">
        <v>244</v>
      </c>
      <c r="GX296" t="s">
        <v>236</v>
      </c>
      <c r="GY296" t="s">
        <v>245</v>
      </c>
      <c r="HE296" t="s">
        <v>246</v>
      </c>
      <c r="HF296" t="s">
        <v>236</v>
      </c>
      <c r="HG296" t="s">
        <v>231</v>
      </c>
      <c r="HH296" t="s">
        <v>236</v>
      </c>
      <c r="HI296" t="s">
        <v>247</v>
      </c>
      <c r="HJ296" t="s">
        <v>223</v>
      </c>
      <c r="HK296" t="s">
        <v>266</v>
      </c>
      <c r="HO296" t="s">
        <v>231</v>
      </c>
      <c r="HP296" t="s">
        <v>223</v>
      </c>
      <c r="HQ296" t="s">
        <v>231</v>
      </c>
      <c r="HR296" t="s">
        <v>223</v>
      </c>
      <c r="HU296" t="s">
        <v>231</v>
      </c>
      <c r="HV296" t="s">
        <v>223</v>
      </c>
      <c r="HW296" t="s">
        <v>246</v>
      </c>
      <c r="HX296" t="s">
        <v>236</v>
      </c>
      <c r="IA296" t="s">
        <v>231</v>
      </c>
      <c r="IB296" t="s">
        <v>250</v>
      </c>
      <c r="IC296" s="447"/>
      <c r="ID296" s="447"/>
      <c r="IE296" s="447"/>
      <c r="IF296" s="447"/>
      <c r="IG296" s="459" t="s">
        <v>1719</v>
      </c>
      <c r="IH296" t="s">
        <v>235</v>
      </c>
    </row>
    <row r="297" spans="1:242" x14ac:dyDescent="0.35">
      <c r="A297" s="310" t="s">
        <v>1757</v>
      </c>
      <c r="B297" s="313" t="s">
        <v>1758</v>
      </c>
      <c r="C297" s="310" t="s">
        <v>1759</v>
      </c>
      <c r="D297" s="316"/>
      <c r="F297" t="s">
        <v>1760</v>
      </c>
      <c r="I297" s="310" t="s">
        <v>1761</v>
      </c>
      <c r="M297" s="313"/>
      <c r="O297"/>
      <c r="P297" s="381"/>
      <c r="Q297"/>
      <c r="T297" s="8"/>
      <c r="U297"/>
      <c r="V297" s="313"/>
      <c r="W297"/>
      <c r="X297"/>
      <c r="Z297"/>
      <c r="AB297"/>
      <c r="AD297" s="8" t="s">
        <v>230</v>
      </c>
      <c r="AF297" s="8" t="s">
        <v>230</v>
      </c>
      <c r="AG297"/>
      <c r="AH297"/>
      <c r="AI297"/>
      <c r="AJ297" t="s">
        <v>221</v>
      </c>
      <c r="AK297">
        <v>0</v>
      </c>
      <c r="AL297">
        <v>0.75</v>
      </c>
      <c r="AM297" t="s">
        <v>221</v>
      </c>
      <c r="AN297" t="s">
        <v>223</v>
      </c>
      <c r="AO297" t="s">
        <v>221</v>
      </c>
      <c r="AP297" t="s">
        <v>223</v>
      </c>
      <c r="AQ297" t="s">
        <v>221</v>
      </c>
      <c r="AR297" t="s">
        <v>225</v>
      </c>
      <c r="AS297" t="s">
        <v>221</v>
      </c>
      <c r="AT297" t="s">
        <v>225</v>
      </c>
      <c r="AU297" t="s">
        <v>220</v>
      </c>
      <c r="AV297"/>
      <c r="AW297" s="313" t="s">
        <v>220</v>
      </c>
      <c r="AX297" t="s">
        <v>226</v>
      </c>
      <c r="AY297" s="313" t="s">
        <v>220</v>
      </c>
      <c r="AZ297" s="313">
        <v>0.20799999999999999</v>
      </c>
      <c r="BB297" s="313" t="s">
        <v>220</v>
      </c>
      <c r="BC297">
        <v>0.128</v>
      </c>
      <c r="BD297" t="s">
        <v>220</v>
      </c>
      <c r="BE297">
        <v>8.2299999999999998E-2</v>
      </c>
      <c r="BF297" s="2" t="s">
        <v>220</v>
      </c>
      <c r="BG297" s="2" t="s">
        <v>273</v>
      </c>
      <c r="BH297" s="2" t="s">
        <v>274</v>
      </c>
      <c r="BI297" s="2" t="s">
        <v>275</v>
      </c>
      <c r="BM297"/>
      <c r="BP297" s="8"/>
      <c r="BQ297" t="s">
        <v>230</v>
      </c>
      <c r="BR297" t="s">
        <v>230</v>
      </c>
      <c r="BU297" t="s">
        <v>231</v>
      </c>
      <c r="BV297" t="s">
        <v>225</v>
      </c>
      <c r="BW297" t="s">
        <v>232</v>
      </c>
      <c r="BX297" t="s">
        <v>276</v>
      </c>
      <c r="BY297" t="s">
        <v>227</v>
      </c>
      <c r="BZ297">
        <v>0.23200000000000001</v>
      </c>
      <c r="CA297" t="s">
        <v>234</v>
      </c>
      <c r="CF297" t="s">
        <v>227</v>
      </c>
      <c r="CG297">
        <v>0.34799999999999998</v>
      </c>
      <c r="CH297" t="s">
        <v>227</v>
      </c>
      <c r="CI297">
        <v>0.127</v>
      </c>
      <c r="CK297"/>
      <c r="CL297"/>
      <c r="CM297"/>
      <c r="CS297" s="8"/>
      <c r="CW297" t="s">
        <v>227</v>
      </c>
      <c r="CX297" t="s">
        <v>220</v>
      </c>
      <c r="CY297" t="s">
        <v>231</v>
      </c>
      <c r="CZ297" t="s">
        <v>227</v>
      </c>
      <c r="DA297" t="s">
        <v>227</v>
      </c>
      <c r="DB297" t="s">
        <v>227</v>
      </c>
      <c r="DC297"/>
      <c r="DD297"/>
      <c r="DE297"/>
      <c r="DF297"/>
      <c r="DG297"/>
      <c r="DH297" s="323"/>
      <c r="DI297" s="323"/>
      <c r="DJ297" s="323"/>
      <c r="DL297" t="s">
        <v>227</v>
      </c>
      <c r="DM297" t="s">
        <v>257</v>
      </c>
      <c r="DN297" t="s">
        <v>220</v>
      </c>
      <c r="DO297" t="s">
        <v>227</v>
      </c>
      <c r="DP297" t="s">
        <v>227</v>
      </c>
      <c r="DS297" s="338">
        <v>22.667999999999999</v>
      </c>
      <c r="DT297" s="8" t="s">
        <v>394</v>
      </c>
      <c r="DU297" s="338">
        <v>94.894999999999996</v>
      </c>
      <c r="DV297" s="8" t="s">
        <v>394</v>
      </c>
      <c r="DW297"/>
      <c r="DX297" t="s">
        <v>235</v>
      </c>
      <c r="DY297"/>
      <c r="DZ297" t="s">
        <v>235</v>
      </c>
      <c r="EA297"/>
      <c r="EB297"/>
      <c r="ED297" s="410"/>
      <c r="EE297" s="1"/>
      <c r="EG297" s="410"/>
      <c r="EI297" s="410"/>
      <c r="EK297" s="1"/>
      <c r="EM297"/>
      <c r="EQ297" s="344"/>
      <c r="EU297" s="344"/>
      <c r="EW297" s="409"/>
      <c r="EY297" s="1"/>
      <c r="FA297">
        <v>41.87</v>
      </c>
      <c r="FB297" t="s">
        <v>236</v>
      </c>
      <c r="FC297" s="7">
        <v>68.202453790326828</v>
      </c>
      <c r="FD297" s="357" t="s">
        <v>236</v>
      </c>
      <c r="FE297" s="8">
        <v>4.1476299322992096</v>
      </c>
      <c r="FF297" t="s">
        <v>237</v>
      </c>
      <c r="FH297" s="9">
        <v>146.15039720061651</v>
      </c>
      <c r="FI297" s="9" t="s">
        <v>225</v>
      </c>
      <c r="FK297" t="s">
        <v>235</v>
      </c>
      <c r="FL297">
        <v>57</v>
      </c>
      <c r="FM297">
        <v>46.633713474699334</v>
      </c>
      <c r="FN297" s="5" t="s">
        <v>237</v>
      </c>
      <c r="FP297" s="6">
        <v>5.7</v>
      </c>
      <c r="FQ297" t="s">
        <v>239</v>
      </c>
      <c r="FS297" t="s">
        <v>240</v>
      </c>
      <c r="FT297" t="e">
        <f>FQ297=#REF!</f>
        <v>#REF!</v>
      </c>
      <c r="FU297" s="8">
        <v>1</v>
      </c>
      <c r="FV297" s="8">
        <v>10</v>
      </c>
      <c r="FW297" s="8">
        <v>10</v>
      </c>
      <c r="FX297" s="8">
        <v>10</v>
      </c>
      <c r="FY297" s="8">
        <v>3</v>
      </c>
      <c r="FZ297">
        <f t="shared" si="4"/>
        <v>3000</v>
      </c>
      <c r="GA297" s="7" t="s">
        <v>303</v>
      </c>
      <c r="GB297" s="7" t="s">
        <v>303</v>
      </c>
      <c r="GC297" s="6">
        <v>9</v>
      </c>
      <c r="GD297" s="348" t="s">
        <v>242</v>
      </c>
      <c r="GF297" s="6">
        <v>1.9000000000000003E-2</v>
      </c>
      <c r="GH297" s="7"/>
      <c r="GI297" s="441">
        <v>0.127</v>
      </c>
      <c r="GJ297" s="441">
        <v>0.23799999999999999</v>
      </c>
      <c r="GK297" s="441">
        <v>0.38</v>
      </c>
      <c r="GL297" s="441">
        <v>0.95</v>
      </c>
      <c r="GM297" s="452" t="s">
        <v>262</v>
      </c>
      <c r="GN297" s="6">
        <v>0.06</v>
      </c>
      <c r="GO297" s="6">
        <v>0.1125</v>
      </c>
      <c r="GP297" s="6">
        <v>0.18</v>
      </c>
      <c r="GQ297" s="6">
        <v>0.45</v>
      </c>
      <c r="GR297" s="6" t="s">
        <v>230</v>
      </c>
      <c r="GU297" t="s">
        <v>365</v>
      </c>
      <c r="GV297" t="s">
        <v>223</v>
      </c>
      <c r="GW297" t="s">
        <v>359</v>
      </c>
      <c r="GX297" t="s">
        <v>223</v>
      </c>
      <c r="GY297" t="s">
        <v>1032</v>
      </c>
      <c r="HE297" t="s">
        <v>247</v>
      </c>
      <c r="HF297" t="s">
        <v>223</v>
      </c>
      <c r="HG297" t="s">
        <v>317</v>
      </c>
      <c r="HH297" t="s">
        <v>225</v>
      </c>
      <c r="HI297" t="s">
        <v>247</v>
      </c>
      <c r="HJ297" t="s">
        <v>223</v>
      </c>
      <c r="HK297" t="s">
        <v>248</v>
      </c>
      <c r="HO297" t="s">
        <v>231</v>
      </c>
      <c r="HP297" t="s">
        <v>223</v>
      </c>
      <c r="HQ297" t="s">
        <v>231</v>
      </c>
      <c r="HR297" t="s">
        <v>223</v>
      </c>
      <c r="HU297" t="s">
        <v>231</v>
      </c>
      <c r="HV297" t="s">
        <v>223</v>
      </c>
      <c r="HW297" t="s">
        <v>246</v>
      </c>
      <c r="HX297" t="s">
        <v>236</v>
      </c>
      <c r="IA297" t="s">
        <v>231</v>
      </c>
      <c r="IB297" t="s">
        <v>250</v>
      </c>
      <c r="IC297">
        <v>0.127</v>
      </c>
      <c r="ID297">
        <v>0.23799999999999999</v>
      </c>
      <c r="IE297">
        <v>0.38</v>
      </c>
      <c r="IF297">
        <v>0.95</v>
      </c>
      <c r="IH297" t="s">
        <v>267</v>
      </c>
    </row>
    <row r="298" spans="1:242" hidden="1" x14ac:dyDescent="0.35">
      <c r="A298" s="310" t="s">
        <v>1762</v>
      </c>
      <c r="B298" s="313" t="s">
        <v>1763</v>
      </c>
      <c r="C298" s="310" t="s">
        <v>1764</v>
      </c>
      <c r="D298" s="316"/>
      <c r="F298" t="s">
        <v>1764</v>
      </c>
      <c r="I298" s="310" t="s">
        <v>1765</v>
      </c>
      <c r="M298" s="313"/>
      <c r="O298"/>
      <c r="P298" s="381"/>
      <c r="Q298"/>
      <c r="T298" s="8"/>
      <c r="U298"/>
      <c r="V298" s="313"/>
      <c r="W298"/>
      <c r="X298"/>
      <c r="Z298"/>
      <c r="AB298"/>
      <c r="AD298" s="8" t="s">
        <v>230</v>
      </c>
      <c r="AF298" s="8" t="s">
        <v>230</v>
      </c>
      <c r="AG298"/>
      <c r="AH298"/>
      <c r="AI298"/>
      <c r="AJ298" t="s">
        <v>414</v>
      </c>
      <c r="AK298">
        <v>0.3</v>
      </c>
      <c r="AL298">
        <v>0.3</v>
      </c>
      <c r="AM298" t="s">
        <v>414</v>
      </c>
      <c r="AN298" t="s">
        <v>225</v>
      </c>
      <c r="AO298" t="s">
        <v>221</v>
      </c>
      <c r="AP298" t="s">
        <v>225</v>
      </c>
      <c r="AQ298" t="s">
        <v>221</v>
      </c>
      <c r="AR298" t="s">
        <v>225</v>
      </c>
      <c r="AS298" t="s">
        <v>414</v>
      </c>
      <c r="AT298" t="s">
        <v>225</v>
      </c>
      <c r="AU298" t="s">
        <v>220</v>
      </c>
      <c r="AV298"/>
      <c r="AW298" s="313" t="s">
        <v>220</v>
      </c>
      <c r="AX298" t="s">
        <v>226</v>
      </c>
      <c r="AY298" s="313" t="s">
        <v>220</v>
      </c>
      <c r="AZ298" s="313">
        <v>0.318</v>
      </c>
      <c r="BB298" s="313" t="s">
        <v>220</v>
      </c>
      <c r="BC298">
        <v>0.222</v>
      </c>
      <c r="BD298" t="s">
        <v>220</v>
      </c>
      <c r="BE298">
        <v>0.34799999999999998</v>
      </c>
      <c r="BF298" s="2" t="s">
        <v>257</v>
      </c>
      <c r="BG298" s="2" t="s">
        <v>230</v>
      </c>
      <c r="BH298" s="2" t="s">
        <v>274</v>
      </c>
      <c r="BI298" s="2" t="s">
        <v>275</v>
      </c>
      <c r="BM298"/>
      <c r="BP298" s="8"/>
      <c r="BQ298" t="s">
        <v>230</v>
      </c>
      <c r="BR298" t="s">
        <v>230</v>
      </c>
      <c r="BU298" t="s">
        <v>317</v>
      </c>
      <c r="BV298" t="s">
        <v>223</v>
      </c>
      <c r="BW298" t="s">
        <v>232</v>
      </c>
      <c r="BX298" t="s">
        <v>276</v>
      </c>
      <c r="BY298" t="s">
        <v>257</v>
      </c>
      <c r="BZ298">
        <v>0.72399999999999998</v>
      </c>
      <c r="CA298" t="s">
        <v>372</v>
      </c>
      <c r="CF298" t="s">
        <v>227</v>
      </c>
      <c r="CG298">
        <v>0.58699999999999997</v>
      </c>
      <c r="CH298" t="s">
        <v>227</v>
      </c>
      <c r="CI298">
        <v>0.74099999999999999</v>
      </c>
      <c r="CK298"/>
      <c r="CL298"/>
      <c r="CM298"/>
      <c r="CS298" s="8"/>
      <c r="CW298" t="s">
        <v>220</v>
      </c>
      <c r="CX298" t="s">
        <v>227</v>
      </c>
      <c r="CY298" t="s">
        <v>231</v>
      </c>
      <c r="CZ298" t="s">
        <v>257</v>
      </c>
      <c r="DA298" t="s">
        <v>257</v>
      </c>
      <c r="DB298" t="s">
        <v>220</v>
      </c>
      <c r="DC298"/>
      <c r="DD298"/>
      <c r="DE298"/>
      <c r="DF298"/>
      <c r="DG298"/>
      <c r="DH298" s="323"/>
      <c r="DI298" s="323"/>
      <c r="DJ298" s="323"/>
      <c r="DL298" t="s">
        <v>257</v>
      </c>
      <c r="DM298" t="s">
        <v>257</v>
      </c>
      <c r="DN298" t="s">
        <v>227</v>
      </c>
      <c r="DO298" t="s">
        <v>220</v>
      </c>
      <c r="DP298" t="s">
        <v>257</v>
      </c>
      <c r="DS298" s="309">
        <v>112.024</v>
      </c>
      <c r="DU298" s="309">
        <v>174.227</v>
      </c>
      <c r="DW298">
        <v>103</v>
      </c>
      <c r="DX298" t="s">
        <v>238</v>
      </c>
      <c r="DY298">
        <v>175</v>
      </c>
      <c r="DZ298" t="s">
        <v>238</v>
      </c>
      <c r="EA298"/>
      <c r="EB298"/>
      <c r="ED298" s="410"/>
      <c r="EE298" s="1"/>
      <c r="EG298" s="410"/>
      <c r="EI298" s="410"/>
      <c r="EK298" s="1"/>
      <c r="EM298"/>
      <c r="EQ298" s="344"/>
      <c r="EU298" s="344"/>
      <c r="EW298" s="409"/>
      <c r="EY298" s="1"/>
      <c r="FA298">
        <v>154.19999999999999</v>
      </c>
      <c r="FB298" t="s">
        <v>225</v>
      </c>
      <c r="FC298" s="7">
        <v>186.98208577366489</v>
      </c>
      <c r="FD298" s="357" t="s">
        <v>225</v>
      </c>
      <c r="FE298" s="8">
        <v>528.08034077772436</v>
      </c>
      <c r="FF298" t="s">
        <v>237</v>
      </c>
      <c r="FH298" s="9">
        <v>162.77960863937969</v>
      </c>
      <c r="FI298" s="9" t="s">
        <v>225</v>
      </c>
      <c r="FJ298">
        <v>474</v>
      </c>
      <c r="FK298" t="s">
        <v>238</v>
      </c>
      <c r="FL298">
        <v>640</v>
      </c>
      <c r="FM298">
        <v>1094.7123056206458</v>
      </c>
      <c r="FN298" s="419" t="s">
        <v>237</v>
      </c>
      <c r="FV298" s="8"/>
      <c r="FW298" s="8"/>
      <c r="FX298" s="8"/>
      <c r="GC298" s="7">
        <v>2.5000000000000001E-3</v>
      </c>
      <c r="GH298" s="7"/>
      <c r="GI298" s="441" t="s">
        <v>395</v>
      </c>
      <c r="GJ298" s="441" t="s">
        <v>395</v>
      </c>
      <c r="GK298" s="441" t="s">
        <v>395</v>
      </c>
      <c r="GL298" s="441" t="s">
        <v>395</v>
      </c>
      <c r="GM298" s="452" t="s">
        <v>230</v>
      </c>
      <c r="GN298" s="6" t="s">
        <v>395</v>
      </c>
      <c r="GO298" s="6" t="s">
        <v>395</v>
      </c>
      <c r="GP298" s="6" t="s">
        <v>395</v>
      </c>
      <c r="GQ298" s="6" t="s">
        <v>395</v>
      </c>
      <c r="GR298" s="6" t="s">
        <v>230</v>
      </c>
      <c r="GU298" t="s">
        <v>243</v>
      </c>
      <c r="GV298" t="s">
        <v>225</v>
      </c>
      <c r="GW298" t="s">
        <v>359</v>
      </c>
      <c r="GX298" t="s">
        <v>223</v>
      </c>
      <c r="GY298" t="s">
        <v>417</v>
      </c>
      <c r="HE298" t="s">
        <v>247</v>
      </c>
      <c r="HF298" t="s">
        <v>223</v>
      </c>
      <c r="HG298" t="s">
        <v>231</v>
      </c>
      <c r="HH298" t="s">
        <v>236</v>
      </c>
      <c r="HI298" t="s">
        <v>247</v>
      </c>
      <c r="HJ298" t="s">
        <v>223</v>
      </c>
      <c r="HK298" t="s">
        <v>248</v>
      </c>
      <c r="HO298" t="s">
        <v>231</v>
      </c>
      <c r="HP298" t="s">
        <v>223</v>
      </c>
      <c r="HQ298" t="s">
        <v>231</v>
      </c>
      <c r="HR298" t="s">
        <v>223</v>
      </c>
      <c r="HU298" t="s">
        <v>231</v>
      </c>
      <c r="HV298" t="s">
        <v>223</v>
      </c>
      <c r="HW298" t="s">
        <v>482</v>
      </c>
      <c r="HX298" t="s">
        <v>236</v>
      </c>
      <c r="IA298" t="s">
        <v>231</v>
      </c>
      <c r="IB298" t="s">
        <v>250</v>
      </c>
      <c r="IC298" t="s">
        <v>395</v>
      </c>
      <c r="ID298" t="s">
        <v>395</v>
      </c>
      <c r="IE298" t="s">
        <v>395</v>
      </c>
      <c r="IF298" t="s">
        <v>395</v>
      </c>
      <c r="IH298" t="s">
        <v>235</v>
      </c>
    </row>
    <row r="299" spans="1:242" x14ac:dyDescent="0.35">
      <c r="A299" s="310" t="s">
        <v>1766</v>
      </c>
      <c r="B299" s="313" t="s">
        <v>1767</v>
      </c>
      <c r="C299" s="310" t="s">
        <v>1768</v>
      </c>
      <c r="D299" s="316"/>
      <c r="F299" t="s">
        <v>1769</v>
      </c>
      <c r="I299" s="310" t="s">
        <v>1770</v>
      </c>
      <c r="M299" s="313"/>
      <c r="O299"/>
      <c r="P299" s="381"/>
      <c r="Q299"/>
      <c r="T299" s="8"/>
      <c r="U299"/>
      <c r="V299" s="313"/>
      <c r="W299"/>
      <c r="X299"/>
      <c r="Z299"/>
      <c r="AB299"/>
      <c r="AD299" s="8" t="s">
        <v>230</v>
      </c>
      <c r="AF299" s="8" t="s">
        <v>230</v>
      </c>
      <c r="AG299"/>
      <c r="AH299"/>
      <c r="AI299"/>
      <c r="AJ299" t="s">
        <v>221</v>
      </c>
      <c r="AK299">
        <v>0</v>
      </c>
      <c r="AL299">
        <v>0.6</v>
      </c>
      <c r="AM299" t="s">
        <v>221</v>
      </c>
      <c r="AN299" t="s">
        <v>225</v>
      </c>
      <c r="AO299" t="s">
        <v>221</v>
      </c>
      <c r="AP299" t="s">
        <v>225</v>
      </c>
      <c r="AQ299" t="s">
        <v>221</v>
      </c>
      <c r="AR299" t="s">
        <v>225</v>
      </c>
      <c r="AS299" t="s">
        <v>221</v>
      </c>
      <c r="AT299" t="s">
        <v>225</v>
      </c>
      <c r="AU299" t="s">
        <v>220</v>
      </c>
      <c r="AV299"/>
      <c r="AW299" s="313" t="s">
        <v>220</v>
      </c>
      <c r="AX299" t="s">
        <v>226</v>
      </c>
      <c r="AY299" s="313" t="s">
        <v>220</v>
      </c>
      <c r="AZ299" s="313">
        <v>6.59E-2</v>
      </c>
      <c r="BB299" s="313" t="s">
        <v>220</v>
      </c>
      <c r="BC299">
        <v>4.2700000000000002E-2</v>
      </c>
      <c r="BD299" t="s">
        <v>220</v>
      </c>
      <c r="BE299">
        <v>3.2800000000000003E-2</v>
      </c>
      <c r="BF299" s="2" t="s">
        <v>220</v>
      </c>
      <c r="BG299" s="2" t="s">
        <v>273</v>
      </c>
      <c r="BH299" s="2" t="s">
        <v>274</v>
      </c>
      <c r="BI299" s="2" t="s">
        <v>275</v>
      </c>
      <c r="BM299"/>
      <c r="BP299" s="8"/>
      <c r="BQ299" t="s">
        <v>230</v>
      </c>
      <c r="BR299" t="s">
        <v>230</v>
      </c>
      <c r="BU299" t="s">
        <v>231</v>
      </c>
      <c r="BV299" t="s">
        <v>236</v>
      </c>
      <c r="BW299" t="s">
        <v>232</v>
      </c>
      <c r="BX299" t="s">
        <v>276</v>
      </c>
      <c r="BY299" t="s">
        <v>220</v>
      </c>
      <c r="BZ299">
        <v>0.314</v>
      </c>
      <c r="CA299" t="s">
        <v>234</v>
      </c>
      <c r="CF299" t="s">
        <v>227</v>
      </c>
      <c r="CG299">
        <v>0.17899999999999999</v>
      </c>
      <c r="CH299" t="s">
        <v>227</v>
      </c>
      <c r="CI299">
        <v>5.7099999999999998E-2</v>
      </c>
      <c r="CK299"/>
      <c r="CL299"/>
      <c r="CM299"/>
      <c r="CS299" s="8"/>
      <c r="CW299" t="s">
        <v>227</v>
      </c>
      <c r="CX299" t="s">
        <v>220</v>
      </c>
      <c r="CY299" t="s">
        <v>231</v>
      </c>
      <c r="CZ299" t="s">
        <v>227</v>
      </c>
      <c r="DA299" t="s">
        <v>227</v>
      </c>
      <c r="DB299" t="s">
        <v>227</v>
      </c>
      <c r="DC299"/>
      <c r="DD299"/>
      <c r="DE299"/>
      <c r="DF299"/>
      <c r="DG299"/>
      <c r="DH299" s="323"/>
      <c r="DI299" s="323"/>
      <c r="DJ299" s="323"/>
      <c r="DL299" t="s">
        <v>227</v>
      </c>
      <c r="DM299" t="s">
        <v>227</v>
      </c>
      <c r="DN299" t="s">
        <v>227</v>
      </c>
      <c r="DO299" t="s">
        <v>227</v>
      </c>
      <c r="DP299" t="s">
        <v>227</v>
      </c>
      <c r="DS299" s="338">
        <v>179.334</v>
      </c>
      <c r="DT299" s="8" t="s">
        <v>394</v>
      </c>
      <c r="DU299" s="338">
        <v>140.89099999999999</v>
      </c>
      <c r="DV299" s="8" t="s">
        <v>394</v>
      </c>
      <c r="DW299"/>
      <c r="DX299" t="s">
        <v>235</v>
      </c>
      <c r="DY299"/>
      <c r="DZ299" t="s">
        <v>235</v>
      </c>
      <c r="EA299"/>
      <c r="EB299"/>
      <c r="ED299" s="410"/>
      <c r="EE299" s="1"/>
      <c r="EG299" s="410"/>
      <c r="EI299" s="410"/>
      <c r="EK299" s="1"/>
      <c r="EM299"/>
      <c r="EQ299" s="344"/>
      <c r="EU299" s="344"/>
      <c r="EW299" s="409"/>
      <c r="EY299" s="1"/>
      <c r="FA299">
        <v>16.32</v>
      </c>
      <c r="FB299" t="s">
        <v>236</v>
      </c>
      <c r="FC299" s="7">
        <v>73.739467995765139</v>
      </c>
      <c r="FD299" s="357" t="s">
        <v>236</v>
      </c>
      <c r="FE299" s="8">
        <v>0.77517543206908057</v>
      </c>
      <c r="FF299" t="s">
        <v>237</v>
      </c>
      <c r="FH299" s="9">
        <v>149.5546772744396</v>
      </c>
      <c r="FI299" s="9" t="s">
        <v>225</v>
      </c>
      <c r="FJ299">
        <v>789</v>
      </c>
      <c r="FK299" t="s">
        <v>238</v>
      </c>
      <c r="FL299">
        <v>13.9</v>
      </c>
      <c r="FM299">
        <v>22.651658212545954</v>
      </c>
      <c r="FN299" s="5" t="s">
        <v>237</v>
      </c>
      <c r="FP299" s="6">
        <v>1.3900000000000001</v>
      </c>
      <c r="FQ299" t="s">
        <v>239</v>
      </c>
      <c r="FS299" t="s">
        <v>240</v>
      </c>
      <c r="FT299" t="e">
        <f>FQ299=#REF!</f>
        <v>#REF!</v>
      </c>
      <c r="FU299" s="8">
        <v>1</v>
      </c>
      <c r="FV299" s="8">
        <v>10</v>
      </c>
      <c r="FW299" s="8">
        <v>10</v>
      </c>
      <c r="FX299" s="8">
        <v>10</v>
      </c>
      <c r="FY299" s="8">
        <v>3</v>
      </c>
      <c r="FZ299">
        <f t="shared" si="4"/>
        <v>3000</v>
      </c>
      <c r="GA299" s="7" t="s">
        <v>303</v>
      </c>
      <c r="GB299" s="7" t="s">
        <v>303</v>
      </c>
      <c r="GC299" s="6">
        <v>9</v>
      </c>
      <c r="GD299" s="348" t="s">
        <v>304</v>
      </c>
      <c r="GF299" s="6">
        <v>4.6333333333333339E-3</v>
      </c>
      <c r="GH299" s="7"/>
      <c r="GI299" s="445"/>
      <c r="GJ299" s="445"/>
      <c r="GK299" s="445"/>
      <c r="GL299" s="445"/>
      <c r="GM299" s="453"/>
      <c r="GN299" s="448"/>
      <c r="GO299" s="448"/>
      <c r="GP299" s="448"/>
      <c r="GQ299" s="448"/>
      <c r="GR299" s="6" t="s">
        <v>230</v>
      </c>
      <c r="GU299" t="s">
        <v>365</v>
      </c>
      <c r="GV299" t="s">
        <v>223</v>
      </c>
      <c r="GW299" t="s">
        <v>244</v>
      </c>
      <c r="GX299" t="s">
        <v>236</v>
      </c>
      <c r="GY299" t="s">
        <v>245</v>
      </c>
      <c r="HE299" t="s">
        <v>246</v>
      </c>
      <c r="HF299" t="s">
        <v>236</v>
      </c>
      <c r="HG299" t="s">
        <v>317</v>
      </c>
      <c r="HH299" t="s">
        <v>223</v>
      </c>
      <c r="HI299" t="s">
        <v>247</v>
      </c>
      <c r="HJ299" t="s">
        <v>223</v>
      </c>
      <c r="HK299" t="s">
        <v>248</v>
      </c>
      <c r="HO299" t="s">
        <v>231</v>
      </c>
      <c r="HP299" t="s">
        <v>223</v>
      </c>
      <c r="HQ299" t="s">
        <v>231</v>
      </c>
      <c r="HR299" t="s">
        <v>223</v>
      </c>
      <c r="HU299" t="s">
        <v>231</v>
      </c>
      <c r="HV299" t="s">
        <v>223</v>
      </c>
      <c r="HW299" t="s">
        <v>246</v>
      </c>
      <c r="HX299" t="s">
        <v>236</v>
      </c>
      <c r="IA299" t="s">
        <v>231</v>
      </c>
      <c r="IB299" t="s">
        <v>250</v>
      </c>
      <c r="IC299" s="447"/>
      <c r="ID299" s="447"/>
      <c r="IE299" s="447"/>
      <c r="IF299" s="447"/>
      <c r="IH299" t="s">
        <v>235</v>
      </c>
    </row>
    <row r="300" spans="1:242" x14ac:dyDescent="0.35">
      <c r="A300" s="310" t="s">
        <v>1771</v>
      </c>
      <c r="B300" s="313" t="s">
        <v>1772</v>
      </c>
      <c r="C300" s="310" t="s">
        <v>1773</v>
      </c>
      <c r="D300" s="316"/>
      <c r="F300" t="s">
        <v>1774</v>
      </c>
      <c r="I300" s="310" t="s">
        <v>1775</v>
      </c>
      <c r="M300" s="313"/>
      <c r="O300"/>
      <c r="P300" s="381"/>
      <c r="Q300"/>
      <c r="T300" s="8"/>
      <c r="U300"/>
      <c r="V300" s="313"/>
      <c r="W300" t="s">
        <v>301</v>
      </c>
      <c r="X300"/>
      <c r="Z300"/>
      <c r="AB300"/>
      <c r="AD300" s="8" t="s">
        <v>222</v>
      </c>
      <c r="AF300" s="8" t="s">
        <v>230</v>
      </c>
      <c r="AG300"/>
      <c r="AH300"/>
      <c r="AI300"/>
      <c r="AJ300" t="s">
        <v>221</v>
      </c>
      <c r="AK300">
        <v>0</v>
      </c>
      <c r="AL300">
        <v>0.9</v>
      </c>
      <c r="AM300" t="s">
        <v>221</v>
      </c>
      <c r="AN300" t="s">
        <v>223</v>
      </c>
      <c r="AO300" t="s">
        <v>224</v>
      </c>
      <c r="AP300" t="s">
        <v>223</v>
      </c>
      <c r="AQ300" t="s">
        <v>221</v>
      </c>
      <c r="AR300" t="s">
        <v>223</v>
      </c>
      <c r="AS300" t="s">
        <v>221</v>
      </c>
      <c r="AT300" t="s">
        <v>223</v>
      </c>
      <c r="AU300" t="s">
        <v>220</v>
      </c>
      <c r="AV300"/>
      <c r="AW300" s="313" t="s">
        <v>220</v>
      </c>
      <c r="AX300" t="s">
        <v>226</v>
      </c>
      <c r="AY300" s="313" t="s">
        <v>220</v>
      </c>
      <c r="AZ300" s="313">
        <v>7.6499999999999999E-2</v>
      </c>
      <c r="BB300" s="313" t="s">
        <v>220</v>
      </c>
      <c r="BC300">
        <v>4.2999999999999997E-2</v>
      </c>
      <c r="BD300" t="s">
        <v>220</v>
      </c>
      <c r="BE300">
        <v>0.246</v>
      </c>
      <c r="BF300" s="2" t="s">
        <v>220</v>
      </c>
      <c r="BH300" s="2" t="s">
        <v>228</v>
      </c>
      <c r="BI300" s="2" t="s">
        <v>302</v>
      </c>
      <c r="BM300"/>
      <c r="BP300" s="8"/>
      <c r="BQ300" t="s">
        <v>230</v>
      </c>
      <c r="BR300" t="s">
        <v>230</v>
      </c>
      <c r="BU300" t="s">
        <v>317</v>
      </c>
      <c r="BV300" t="s">
        <v>223</v>
      </c>
      <c r="BW300" t="s">
        <v>232</v>
      </c>
      <c r="BX300" t="s">
        <v>284</v>
      </c>
      <c r="BY300" t="s">
        <v>220</v>
      </c>
      <c r="BZ300">
        <v>0.29899999999999999</v>
      </c>
      <c r="CA300" t="s">
        <v>234</v>
      </c>
      <c r="CF300" t="s">
        <v>220</v>
      </c>
      <c r="CG300">
        <v>0.317</v>
      </c>
      <c r="CH300" t="s">
        <v>220</v>
      </c>
      <c r="CI300">
        <v>0.20300000000000001</v>
      </c>
      <c r="CK300"/>
      <c r="CL300"/>
      <c r="CM300"/>
      <c r="CS300" s="8"/>
      <c r="CW300" t="s">
        <v>257</v>
      </c>
      <c r="CX300" t="s">
        <v>220</v>
      </c>
      <c r="CY300" t="s">
        <v>231</v>
      </c>
      <c r="CZ300" t="s">
        <v>220</v>
      </c>
      <c r="DA300" t="s">
        <v>220</v>
      </c>
      <c r="DB300" t="s">
        <v>220</v>
      </c>
      <c r="DC300"/>
      <c r="DD300"/>
      <c r="DE300"/>
      <c r="DF300"/>
      <c r="DG300"/>
      <c r="DH300" s="323"/>
      <c r="DI300" s="323"/>
      <c r="DJ300" s="323"/>
      <c r="DL300" t="s">
        <v>257</v>
      </c>
      <c r="DM300" t="s">
        <v>220</v>
      </c>
      <c r="DN300" t="s">
        <v>257</v>
      </c>
      <c r="DO300" t="s">
        <v>220</v>
      </c>
      <c r="DP300" t="s">
        <v>220</v>
      </c>
      <c r="DS300" s="309">
        <v>343.23500000000001</v>
      </c>
      <c r="DU300" s="309">
        <v>768.36199999999997</v>
      </c>
      <c r="DW300">
        <v>610</v>
      </c>
      <c r="DX300" t="s">
        <v>238</v>
      </c>
      <c r="DY300">
        <v>2840</v>
      </c>
      <c r="DZ300" t="s">
        <v>238</v>
      </c>
      <c r="EA300"/>
      <c r="EB300"/>
      <c r="ED300" s="410"/>
      <c r="EE300" s="1"/>
      <c r="EG300" s="410"/>
      <c r="EI300" s="410"/>
      <c r="EK300" s="1"/>
      <c r="EM300"/>
      <c r="EQ300" s="344"/>
      <c r="EU300" s="344"/>
      <c r="EW300" s="409"/>
      <c r="EY300" s="1"/>
      <c r="FA300">
        <v>46.38</v>
      </c>
      <c r="FB300" t="s">
        <v>225</v>
      </c>
      <c r="FC300" s="7">
        <v>59.156163417547425</v>
      </c>
      <c r="FD300" s="357" t="s">
        <v>225</v>
      </c>
      <c r="FE300" s="8">
        <v>14.031367515451269</v>
      </c>
      <c r="FF300" t="s">
        <v>237</v>
      </c>
      <c r="FH300" s="9">
        <v>261.75802187038113</v>
      </c>
      <c r="FI300" s="9" t="s">
        <v>225</v>
      </c>
      <c r="FJ300">
        <v>291</v>
      </c>
      <c r="FK300" t="s">
        <v>238</v>
      </c>
      <c r="FL300">
        <v>93.3</v>
      </c>
      <c r="FM300">
        <v>71.630832731303656</v>
      </c>
      <c r="FN300" s="5" t="s">
        <v>237</v>
      </c>
      <c r="FP300" s="6">
        <v>3.5815416365651829</v>
      </c>
      <c r="FQ300" t="s">
        <v>277</v>
      </c>
      <c r="FS300" t="s">
        <v>240</v>
      </c>
      <c r="FT300" t="e">
        <f>FQ300=#REF!</f>
        <v>#REF!</v>
      </c>
      <c r="FU300" s="8">
        <v>2</v>
      </c>
      <c r="FV300" s="8">
        <v>10</v>
      </c>
      <c r="FW300" s="8">
        <v>10</v>
      </c>
      <c r="FX300" s="8">
        <v>10</v>
      </c>
      <c r="FY300" s="8">
        <v>3</v>
      </c>
      <c r="FZ300">
        <f t="shared" si="4"/>
        <v>6000</v>
      </c>
      <c r="GA300" s="7" t="s">
        <v>326</v>
      </c>
      <c r="GB300" s="7" t="s">
        <v>326</v>
      </c>
      <c r="GC300" s="6">
        <v>1.5</v>
      </c>
      <c r="GD300" s="348" t="s">
        <v>383</v>
      </c>
      <c r="GF300" s="6">
        <v>2.3385612525752112E-2</v>
      </c>
      <c r="GH300" s="7"/>
      <c r="GI300" s="441">
        <v>0.08</v>
      </c>
      <c r="GJ300" s="441">
        <v>0.14899999999999999</v>
      </c>
      <c r="GK300" s="441">
        <v>0.23899999999999999</v>
      </c>
      <c r="GL300" s="441">
        <v>0.59699999999999998</v>
      </c>
      <c r="GM300" s="452" t="s">
        <v>262</v>
      </c>
      <c r="GN300" s="6">
        <v>0.01</v>
      </c>
      <c r="GO300" s="6">
        <v>1.8749999999999999E-2</v>
      </c>
      <c r="GP300" s="6">
        <v>0.03</v>
      </c>
      <c r="GQ300" s="6">
        <v>7.4999999999999997E-2</v>
      </c>
      <c r="GR300" s="6" t="s">
        <v>230</v>
      </c>
      <c r="GU300" t="s">
        <v>365</v>
      </c>
      <c r="GV300" t="s">
        <v>225</v>
      </c>
      <c r="GW300" t="s">
        <v>244</v>
      </c>
      <c r="GX300" t="s">
        <v>236</v>
      </c>
      <c r="GY300" t="s">
        <v>245</v>
      </c>
      <c r="GZ300" t="s">
        <v>376</v>
      </c>
      <c r="HB300" t="s">
        <v>376</v>
      </c>
      <c r="HE300" t="s">
        <v>247</v>
      </c>
      <c r="HF300" t="s">
        <v>249</v>
      </c>
      <c r="HG300" t="s">
        <v>231</v>
      </c>
      <c r="HH300" t="s">
        <v>225</v>
      </c>
      <c r="HI300" t="s">
        <v>247</v>
      </c>
      <c r="HJ300" t="s">
        <v>249</v>
      </c>
      <c r="HK300" t="s">
        <v>536</v>
      </c>
      <c r="HO300" t="s">
        <v>231</v>
      </c>
      <c r="HP300" t="s">
        <v>223</v>
      </c>
      <c r="HQ300" t="s">
        <v>231</v>
      </c>
      <c r="HR300" t="s">
        <v>223</v>
      </c>
      <c r="HU300" t="s">
        <v>231</v>
      </c>
      <c r="HV300" t="s">
        <v>223</v>
      </c>
      <c r="HW300" t="s">
        <v>246</v>
      </c>
      <c r="HX300" t="s">
        <v>236</v>
      </c>
      <c r="IA300" t="s">
        <v>231</v>
      </c>
      <c r="IB300" t="s">
        <v>250</v>
      </c>
      <c r="IC300">
        <v>0.08</v>
      </c>
      <c r="ID300">
        <v>0.14899999999999999</v>
      </c>
      <c r="IE300">
        <v>0.23899999999999999</v>
      </c>
      <c r="IF300">
        <v>0.59699999999999998</v>
      </c>
      <c r="IH300" t="s">
        <v>267</v>
      </c>
    </row>
    <row r="301" spans="1:242" x14ac:dyDescent="0.35">
      <c r="A301" s="310" t="s">
        <v>1776</v>
      </c>
      <c r="B301" s="313" t="s">
        <v>1777</v>
      </c>
      <c r="C301" s="310" t="s">
        <v>1778</v>
      </c>
      <c r="D301" s="316"/>
      <c r="F301" t="s">
        <v>1779</v>
      </c>
      <c r="I301" s="310" t="s">
        <v>1780</v>
      </c>
      <c r="M301" s="313"/>
      <c r="O301"/>
      <c r="P301" s="381"/>
      <c r="Q301"/>
      <c r="T301" s="8"/>
      <c r="U301"/>
      <c r="V301" s="313"/>
      <c r="W301" t="s">
        <v>301</v>
      </c>
      <c r="X301"/>
      <c r="Z301"/>
      <c r="AB301"/>
      <c r="AD301" s="8" t="s">
        <v>222</v>
      </c>
      <c r="AF301" s="8" t="s">
        <v>230</v>
      </c>
      <c r="AG301"/>
      <c r="AH301"/>
      <c r="AI301"/>
      <c r="AJ301" t="s">
        <v>221</v>
      </c>
      <c r="AK301">
        <v>0</v>
      </c>
      <c r="AL301">
        <v>0.9</v>
      </c>
      <c r="AM301" t="s">
        <v>221</v>
      </c>
      <c r="AN301" t="s">
        <v>223</v>
      </c>
      <c r="AO301" t="s">
        <v>221</v>
      </c>
      <c r="AP301" t="s">
        <v>223</v>
      </c>
      <c r="AQ301" t="s">
        <v>221</v>
      </c>
      <c r="AR301" t="s">
        <v>223</v>
      </c>
      <c r="AS301" t="s">
        <v>221</v>
      </c>
      <c r="AT301" t="s">
        <v>223</v>
      </c>
      <c r="AU301" t="s">
        <v>220</v>
      </c>
      <c r="AV301"/>
      <c r="AW301" s="313" t="s">
        <v>220</v>
      </c>
      <c r="AX301" t="s">
        <v>226</v>
      </c>
      <c r="AY301" s="313" t="s">
        <v>220</v>
      </c>
      <c r="AZ301" s="313">
        <v>2.92E-2</v>
      </c>
      <c r="BB301" s="313" t="s">
        <v>220</v>
      </c>
      <c r="BC301">
        <v>4.41E-2</v>
      </c>
      <c r="BD301" t="s">
        <v>220</v>
      </c>
      <c r="BE301">
        <v>0.11</v>
      </c>
      <c r="BF301" s="2" t="s">
        <v>220</v>
      </c>
      <c r="BH301" s="2" t="s">
        <v>228</v>
      </c>
      <c r="BI301" s="2" t="s">
        <v>302</v>
      </c>
      <c r="BM301"/>
      <c r="BP301" s="8"/>
      <c r="BQ301" t="s">
        <v>230</v>
      </c>
      <c r="BR301" t="s">
        <v>230</v>
      </c>
      <c r="BU301" t="s">
        <v>317</v>
      </c>
      <c r="BV301" t="s">
        <v>223</v>
      </c>
      <c r="BW301" t="s">
        <v>232</v>
      </c>
      <c r="BX301" t="s">
        <v>284</v>
      </c>
      <c r="BY301" t="s">
        <v>220</v>
      </c>
      <c r="BZ301">
        <v>0.14399999999999999</v>
      </c>
      <c r="CA301" t="s">
        <v>234</v>
      </c>
      <c r="CF301" t="s">
        <v>220</v>
      </c>
      <c r="CG301">
        <v>0.19500000000000001</v>
      </c>
      <c r="CH301" t="s">
        <v>220</v>
      </c>
      <c r="CI301">
        <v>9.8400000000000001E-2</v>
      </c>
      <c r="CK301"/>
      <c r="CL301"/>
      <c r="CM301"/>
      <c r="CS301" s="8"/>
      <c r="CW301" t="s">
        <v>220</v>
      </c>
      <c r="CX301" t="s">
        <v>220</v>
      </c>
      <c r="CY301" t="s">
        <v>231</v>
      </c>
      <c r="CZ301" t="s">
        <v>220</v>
      </c>
      <c r="DA301" t="s">
        <v>227</v>
      </c>
      <c r="DB301" t="s">
        <v>220</v>
      </c>
      <c r="DC301"/>
      <c r="DD301"/>
      <c r="DE301"/>
      <c r="DF301"/>
      <c r="DG301"/>
      <c r="DH301" s="323"/>
      <c r="DI301" s="323"/>
      <c r="DJ301" s="323"/>
      <c r="DL301" t="s">
        <v>220</v>
      </c>
      <c r="DM301" t="s">
        <v>220</v>
      </c>
      <c r="DN301" t="s">
        <v>220</v>
      </c>
      <c r="DO301" t="s">
        <v>220</v>
      </c>
      <c r="DP301" t="s">
        <v>220</v>
      </c>
      <c r="DQ301" s="332" t="s">
        <v>835</v>
      </c>
      <c r="DR301" s="332" t="s">
        <v>702</v>
      </c>
      <c r="DS301" s="309">
        <v>340.68099999999998</v>
      </c>
      <c r="DU301" s="309">
        <v>444.21</v>
      </c>
      <c r="DW301">
        <v>182</v>
      </c>
      <c r="DX301" t="s">
        <v>238</v>
      </c>
      <c r="DY301">
        <v>1560</v>
      </c>
      <c r="DZ301" t="s">
        <v>238</v>
      </c>
      <c r="EA301"/>
      <c r="EB301"/>
      <c r="ED301" s="410"/>
      <c r="EE301" s="1"/>
      <c r="EG301" s="410"/>
      <c r="EI301" s="410"/>
      <c r="EK301" s="1"/>
      <c r="EM301"/>
      <c r="EQ301" s="344"/>
      <c r="EU301" s="344"/>
      <c r="EW301" s="409"/>
      <c r="EY301" s="1"/>
      <c r="FA301">
        <v>48.85</v>
      </c>
      <c r="FB301" t="s">
        <v>225</v>
      </c>
      <c r="FC301" s="7">
        <v>68.65939938366499</v>
      </c>
      <c r="FD301" s="357" t="s">
        <v>225</v>
      </c>
      <c r="FE301" s="8">
        <v>17.139573075084261</v>
      </c>
      <c r="FF301" t="s">
        <v>237</v>
      </c>
      <c r="FH301" s="9">
        <v>25.275514226021247</v>
      </c>
      <c r="FI301" s="9" t="s">
        <v>236</v>
      </c>
      <c r="FJ301">
        <v>72.3</v>
      </c>
      <c r="FK301" t="s">
        <v>238</v>
      </c>
      <c r="FL301">
        <v>304</v>
      </c>
      <c r="FM301">
        <v>69.342580601656906</v>
      </c>
      <c r="FN301" s="5" t="s">
        <v>237</v>
      </c>
      <c r="FP301" s="6">
        <v>3.4671290300828455</v>
      </c>
      <c r="FQ301" t="s">
        <v>277</v>
      </c>
      <c r="FS301" t="s">
        <v>240</v>
      </c>
      <c r="FT301" t="e">
        <f>FQ301=#REF!</f>
        <v>#REF!</v>
      </c>
      <c r="FU301" s="8">
        <v>2</v>
      </c>
      <c r="FV301" s="8">
        <v>10</v>
      </c>
      <c r="FW301" s="8">
        <v>10</v>
      </c>
      <c r="FX301" s="8">
        <v>10</v>
      </c>
      <c r="FY301" s="8">
        <v>3</v>
      </c>
      <c r="FZ301">
        <f t="shared" si="4"/>
        <v>6000</v>
      </c>
      <c r="GA301" s="7" t="s">
        <v>303</v>
      </c>
      <c r="GB301" s="7" t="s">
        <v>303</v>
      </c>
      <c r="GC301" s="6">
        <v>9</v>
      </c>
      <c r="GD301" s="348" t="s">
        <v>1514</v>
      </c>
      <c r="GF301" s="6">
        <v>4.2125857043368749E-3</v>
      </c>
      <c r="GH301" s="7"/>
      <c r="GI301" s="441">
        <v>7.6999999999999999E-2</v>
      </c>
      <c r="GJ301" s="441">
        <v>0.14399999999999999</v>
      </c>
      <c r="GK301" s="441">
        <v>0.23100000000000001</v>
      </c>
      <c r="GL301" s="441">
        <v>0.57799999999999996</v>
      </c>
      <c r="GM301" s="452" t="s">
        <v>262</v>
      </c>
      <c r="GN301" s="6">
        <v>0.06</v>
      </c>
      <c r="GO301" s="6">
        <v>0.1125</v>
      </c>
      <c r="GP301" s="6">
        <v>0.18</v>
      </c>
      <c r="GQ301" s="6">
        <v>0.45</v>
      </c>
      <c r="GR301" s="6" t="s">
        <v>230</v>
      </c>
      <c r="GU301" t="s">
        <v>365</v>
      </c>
      <c r="GV301" t="s">
        <v>236</v>
      </c>
      <c r="GW301" t="s">
        <v>244</v>
      </c>
      <c r="GX301" t="s">
        <v>236</v>
      </c>
      <c r="GY301" t="s">
        <v>245</v>
      </c>
      <c r="HE301" t="s">
        <v>247</v>
      </c>
      <c r="HF301" t="s">
        <v>223</v>
      </c>
      <c r="HG301" t="s">
        <v>231</v>
      </c>
      <c r="HH301" t="s">
        <v>236</v>
      </c>
      <c r="HI301" t="s">
        <v>247</v>
      </c>
      <c r="HJ301" t="s">
        <v>223</v>
      </c>
      <c r="HK301" t="s">
        <v>418</v>
      </c>
      <c r="HO301" t="s">
        <v>231</v>
      </c>
      <c r="HP301" t="s">
        <v>223</v>
      </c>
      <c r="HQ301" t="s">
        <v>231</v>
      </c>
      <c r="HR301" t="s">
        <v>223</v>
      </c>
      <c r="HU301" t="s">
        <v>231</v>
      </c>
      <c r="HV301" t="s">
        <v>223</v>
      </c>
      <c r="HW301" t="s">
        <v>246</v>
      </c>
      <c r="HX301" t="s">
        <v>236</v>
      </c>
      <c r="IA301" t="s">
        <v>231</v>
      </c>
      <c r="IB301" t="s">
        <v>250</v>
      </c>
      <c r="IC301">
        <v>7.6999999999999999E-2</v>
      </c>
      <c r="ID301">
        <v>0.14399999999999999</v>
      </c>
      <c r="IE301">
        <v>0.23100000000000001</v>
      </c>
      <c r="IF301">
        <v>0.57799999999999996</v>
      </c>
      <c r="IH301" t="s">
        <v>267</v>
      </c>
    </row>
    <row r="302" spans="1:242" x14ac:dyDescent="0.35">
      <c r="A302" s="310" t="s">
        <v>1781</v>
      </c>
      <c r="B302" s="313" t="s">
        <v>1782</v>
      </c>
      <c r="C302" s="310" t="s">
        <v>1783</v>
      </c>
      <c r="D302" s="316"/>
      <c r="F302" t="s">
        <v>1784</v>
      </c>
      <c r="I302" s="310" t="s">
        <v>1785</v>
      </c>
      <c r="M302" s="313"/>
      <c r="O302"/>
      <c r="P302" s="381"/>
      <c r="Q302"/>
      <c r="T302" s="8"/>
      <c r="U302"/>
      <c r="V302" s="313"/>
      <c r="W302" t="s">
        <v>220</v>
      </c>
      <c r="X302" t="s">
        <v>220</v>
      </c>
      <c r="Z302" t="s">
        <v>220</v>
      </c>
      <c r="AB302"/>
      <c r="AD302" s="8" t="s">
        <v>222</v>
      </c>
      <c r="AF302" s="8" t="s">
        <v>230</v>
      </c>
      <c r="AG302"/>
      <c r="AH302"/>
      <c r="AI302"/>
      <c r="AJ302" t="s">
        <v>221</v>
      </c>
      <c r="AK302">
        <v>0</v>
      </c>
      <c r="AL302">
        <v>0.9</v>
      </c>
      <c r="AM302" t="s">
        <v>221</v>
      </c>
      <c r="AN302" t="s">
        <v>223</v>
      </c>
      <c r="AO302" t="s">
        <v>221</v>
      </c>
      <c r="AP302" t="s">
        <v>223</v>
      </c>
      <c r="AQ302" t="s">
        <v>221</v>
      </c>
      <c r="AR302" t="s">
        <v>223</v>
      </c>
      <c r="AS302" t="s">
        <v>221</v>
      </c>
      <c r="AT302" t="s">
        <v>223</v>
      </c>
      <c r="AU302" t="s">
        <v>220</v>
      </c>
      <c r="AV302"/>
      <c r="AW302" s="313" t="s">
        <v>220</v>
      </c>
      <c r="AX302" t="s">
        <v>226</v>
      </c>
      <c r="AY302" s="313" t="s">
        <v>220</v>
      </c>
      <c r="AZ302" s="313">
        <v>0.154</v>
      </c>
      <c r="BB302" s="313" t="s">
        <v>220</v>
      </c>
      <c r="BC302">
        <v>6.7000000000000004E-2</v>
      </c>
      <c r="BD302" t="s">
        <v>220</v>
      </c>
      <c r="BE302">
        <v>3.5700000000000003E-2</v>
      </c>
      <c r="BF302" s="2" t="s">
        <v>220</v>
      </c>
      <c r="BH302" s="2" t="s">
        <v>228</v>
      </c>
      <c r="BI302" s="2" t="s">
        <v>392</v>
      </c>
      <c r="BM302"/>
      <c r="BP302" s="8"/>
      <c r="BQ302" t="s">
        <v>230</v>
      </c>
      <c r="BR302" t="s">
        <v>222</v>
      </c>
      <c r="BU302" t="s">
        <v>231</v>
      </c>
      <c r="BV302" t="s">
        <v>223</v>
      </c>
      <c r="BW302" t="s">
        <v>232</v>
      </c>
      <c r="BX302" t="s">
        <v>284</v>
      </c>
      <c r="BY302" t="s">
        <v>220</v>
      </c>
      <c r="BZ302">
        <v>0.34899999999999998</v>
      </c>
      <c r="CA302" t="s">
        <v>234</v>
      </c>
      <c r="CF302" t="s">
        <v>220</v>
      </c>
      <c r="CG302">
        <v>0.16</v>
      </c>
      <c r="CH302" t="s">
        <v>220</v>
      </c>
      <c r="CI302">
        <v>0.13</v>
      </c>
      <c r="CK302"/>
      <c r="CL302" t="s">
        <v>257</v>
      </c>
      <c r="CM302"/>
      <c r="CS302" s="8"/>
      <c r="CW302" t="s">
        <v>220</v>
      </c>
      <c r="CX302" t="s">
        <v>257</v>
      </c>
      <c r="CY302" t="s">
        <v>231</v>
      </c>
      <c r="CZ302" t="s">
        <v>220</v>
      </c>
      <c r="DA302" t="s">
        <v>220</v>
      </c>
      <c r="DB302" t="s">
        <v>227</v>
      </c>
      <c r="DC302"/>
      <c r="DD302"/>
      <c r="DE302"/>
      <c r="DF302"/>
      <c r="DG302"/>
      <c r="DH302" s="323"/>
      <c r="DI302" s="323"/>
      <c r="DJ302" s="323"/>
      <c r="DL302" t="s">
        <v>257</v>
      </c>
      <c r="DM302" t="s">
        <v>220</v>
      </c>
      <c r="DN302" t="s">
        <v>257</v>
      </c>
      <c r="DO302" t="s">
        <v>257</v>
      </c>
      <c r="DP302" t="s">
        <v>257</v>
      </c>
      <c r="DS302" s="309">
        <v>65.94</v>
      </c>
      <c r="DU302" s="309">
        <v>482.46300000000002</v>
      </c>
      <c r="DW302">
        <v>240</v>
      </c>
      <c r="DX302" t="s">
        <v>238</v>
      </c>
      <c r="DY302">
        <v>1350</v>
      </c>
      <c r="DZ302" t="s">
        <v>238</v>
      </c>
      <c r="EA302"/>
      <c r="EB302"/>
      <c r="ED302" s="410"/>
      <c r="EE302" s="1"/>
      <c r="EG302" s="410"/>
      <c r="EI302" s="410"/>
      <c r="EK302" s="1"/>
      <c r="EM302"/>
      <c r="EQ302" s="344"/>
      <c r="EU302" s="344"/>
      <c r="EW302" s="409"/>
      <c r="EY302" s="1"/>
      <c r="FA302">
        <v>159.34</v>
      </c>
      <c r="FB302" t="s">
        <v>225</v>
      </c>
      <c r="FC302" s="7">
        <v>177.90985265651452</v>
      </c>
      <c r="FD302" s="357" t="s">
        <v>225</v>
      </c>
      <c r="FE302" s="8">
        <v>144.51069842539655</v>
      </c>
      <c r="FF302" t="s">
        <v>237</v>
      </c>
      <c r="FH302" s="9">
        <v>65.811228823889977</v>
      </c>
      <c r="FI302" s="9" t="s">
        <v>225</v>
      </c>
      <c r="FJ302">
        <v>565</v>
      </c>
      <c r="FK302" t="s">
        <v>238</v>
      </c>
      <c r="FL302">
        <v>467</v>
      </c>
      <c r="FM302">
        <v>564.28694134510397</v>
      </c>
      <c r="FN302" s="5" t="s">
        <v>237</v>
      </c>
      <c r="FP302" s="6">
        <v>28.214347067255197</v>
      </c>
      <c r="FQ302" t="s">
        <v>277</v>
      </c>
      <c r="FS302" t="s">
        <v>240</v>
      </c>
      <c r="FT302" t="e">
        <f>FQ302=#REF!</f>
        <v>#REF!</v>
      </c>
      <c r="FU302" s="8">
        <v>2</v>
      </c>
      <c r="FV302" s="8">
        <v>10</v>
      </c>
      <c r="FW302" s="8">
        <v>10</v>
      </c>
      <c r="FX302" s="8">
        <v>10</v>
      </c>
      <c r="FY302" s="8">
        <v>3</v>
      </c>
      <c r="FZ302">
        <f t="shared" si="4"/>
        <v>6000</v>
      </c>
      <c r="GA302" s="7" t="s">
        <v>241</v>
      </c>
      <c r="GB302" s="7" t="s">
        <v>241</v>
      </c>
      <c r="GC302" s="6">
        <v>30</v>
      </c>
      <c r="GD302" s="348" t="s">
        <v>242</v>
      </c>
      <c r="GF302" s="6">
        <v>0.15566666666666668</v>
      </c>
      <c r="GH302" s="7"/>
      <c r="GI302" s="441"/>
      <c r="GJ302" s="441"/>
      <c r="GK302" s="441"/>
      <c r="GL302" s="441"/>
      <c r="GM302" s="454"/>
      <c r="GN302" s="441"/>
      <c r="GO302" s="441"/>
      <c r="GP302" s="441"/>
      <c r="GQ302" s="441"/>
      <c r="GR302" s="441"/>
      <c r="GS302" s="441"/>
      <c r="GT302" s="441"/>
      <c r="GU302" s="441"/>
      <c r="GV302" s="441"/>
      <c r="GW302" s="441"/>
      <c r="GX302" s="441"/>
      <c r="GY302" s="441"/>
      <c r="GZ302" s="441"/>
      <c r="HA302" s="441"/>
      <c r="HB302" s="441"/>
      <c r="HC302" s="441"/>
      <c r="HD302" s="441"/>
      <c r="HE302" s="441"/>
      <c r="HF302" s="441"/>
      <c r="HG302" s="441"/>
      <c r="HH302" s="441"/>
      <c r="HI302" s="441"/>
      <c r="HJ302" s="441"/>
      <c r="HK302" s="441"/>
      <c r="HL302" s="441"/>
      <c r="HM302" s="441"/>
      <c r="HN302" s="441"/>
      <c r="HO302" s="441"/>
      <c r="HP302" s="441"/>
      <c r="HQ302" s="441"/>
      <c r="HR302" s="441"/>
      <c r="HS302" s="441"/>
      <c r="HT302" s="441"/>
      <c r="HU302" s="441"/>
      <c r="HV302" s="441"/>
      <c r="HW302" s="441"/>
      <c r="HX302" s="441"/>
      <c r="HY302" s="441"/>
      <c r="HZ302" s="441"/>
      <c r="IA302" s="441"/>
      <c r="IB302" s="441"/>
      <c r="IC302" s="441"/>
      <c r="ID302" s="441"/>
      <c r="IE302" s="441"/>
      <c r="IF302" s="441"/>
      <c r="IH302" t="s">
        <v>235</v>
      </c>
    </row>
    <row r="303" spans="1:242" ht="159.5" x14ac:dyDescent="0.35">
      <c r="A303" s="310" t="s">
        <v>537</v>
      </c>
      <c r="B303" t="s">
        <v>1786</v>
      </c>
      <c r="C303" s="310" t="s">
        <v>1787</v>
      </c>
      <c r="D303" s="316"/>
      <c r="F303" t="s">
        <v>1788</v>
      </c>
      <c r="I303" s="310" t="s">
        <v>1789</v>
      </c>
      <c r="M303" s="313"/>
      <c r="O303"/>
      <c r="P303" s="381"/>
      <c r="Q303"/>
      <c r="T303" s="8"/>
      <c r="U303"/>
      <c r="V303" s="313"/>
      <c r="W303"/>
      <c r="X303"/>
      <c r="Z303"/>
      <c r="AB303"/>
      <c r="AD303" s="8" t="s">
        <v>230</v>
      </c>
      <c r="AF303" s="8" t="s">
        <v>230</v>
      </c>
      <c r="AG303"/>
      <c r="AH303"/>
      <c r="AI303"/>
      <c r="AJ303" t="s">
        <v>221</v>
      </c>
      <c r="AK303">
        <v>0</v>
      </c>
      <c r="AL303">
        <v>0.6</v>
      </c>
      <c r="AM303" t="s">
        <v>221</v>
      </c>
      <c r="AN303" t="s">
        <v>225</v>
      </c>
      <c r="AO303" t="s">
        <v>221</v>
      </c>
      <c r="AP303" t="s">
        <v>225</v>
      </c>
      <c r="AQ303" t="s">
        <v>221</v>
      </c>
      <c r="AR303" t="s">
        <v>225</v>
      </c>
      <c r="AS303" t="s">
        <v>221</v>
      </c>
      <c r="AT303" t="s">
        <v>225</v>
      </c>
      <c r="AU303" t="s">
        <v>220</v>
      </c>
      <c r="AV303"/>
      <c r="AW303" s="313" t="s">
        <v>220</v>
      </c>
      <c r="AX303" t="s">
        <v>226</v>
      </c>
      <c r="AY303" s="313" t="s">
        <v>220</v>
      </c>
      <c r="AZ303" s="313">
        <v>0.151</v>
      </c>
      <c r="BB303" s="313" t="s">
        <v>220</v>
      </c>
      <c r="BC303">
        <v>7.9799999999999996E-2</v>
      </c>
      <c r="BD303" t="s">
        <v>220</v>
      </c>
      <c r="BE303">
        <v>0.115</v>
      </c>
      <c r="BF303" s="2" t="s">
        <v>220</v>
      </c>
      <c r="BG303" s="2" t="s">
        <v>273</v>
      </c>
      <c r="BH303" s="2" t="s">
        <v>274</v>
      </c>
      <c r="BI303" s="2" t="s">
        <v>275</v>
      </c>
      <c r="BM303"/>
      <c r="BP303" s="8"/>
      <c r="BQ303" t="s">
        <v>230</v>
      </c>
      <c r="BR303" t="s">
        <v>230</v>
      </c>
      <c r="BU303" t="s">
        <v>231</v>
      </c>
      <c r="BV303" t="s">
        <v>236</v>
      </c>
      <c r="BW303" t="s">
        <v>232</v>
      </c>
      <c r="BX303" t="s">
        <v>276</v>
      </c>
      <c r="BY303" t="s">
        <v>257</v>
      </c>
      <c r="BZ303">
        <v>0.54100000000000004</v>
      </c>
      <c r="CA303" t="s">
        <v>234</v>
      </c>
      <c r="CF303" t="s">
        <v>220</v>
      </c>
      <c r="CG303">
        <v>0.16900000000000001</v>
      </c>
      <c r="CH303" t="s">
        <v>220</v>
      </c>
      <c r="CI303">
        <v>0.29099999999999998</v>
      </c>
      <c r="CK303"/>
      <c r="CL303"/>
      <c r="CM303"/>
      <c r="CS303" s="8"/>
      <c r="CW303" t="s">
        <v>220</v>
      </c>
      <c r="CX303" t="s">
        <v>220</v>
      </c>
      <c r="CY303" t="s">
        <v>317</v>
      </c>
      <c r="CZ303" t="s">
        <v>220</v>
      </c>
      <c r="DA303" t="s">
        <v>220</v>
      </c>
      <c r="DB303" t="s">
        <v>227</v>
      </c>
      <c r="DC303"/>
      <c r="DD303"/>
      <c r="DE303"/>
      <c r="DF303"/>
      <c r="DG303"/>
      <c r="DH303" s="323"/>
      <c r="DI303" s="323"/>
      <c r="DJ303" s="323"/>
      <c r="DL303" t="s">
        <v>220</v>
      </c>
      <c r="DM303" t="s">
        <v>220</v>
      </c>
      <c r="DN303" t="s">
        <v>227</v>
      </c>
      <c r="DO303" t="s">
        <v>257</v>
      </c>
      <c r="DP303" t="s">
        <v>257</v>
      </c>
      <c r="DS303" s="309">
        <v>154.959</v>
      </c>
      <c r="DU303" s="338">
        <v>1745.364</v>
      </c>
      <c r="DV303" s="8" t="s">
        <v>394</v>
      </c>
      <c r="DW303">
        <v>819</v>
      </c>
      <c r="DX303" t="s">
        <v>238</v>
      </c>
      <c r="DY303">
        <v>326</v>
      </c>
      <c r="DZ303" t="s">
        <v>238</v>
      </c>
      <c r="EA303"/>
      <c r="EB303"/>
      <c r="ED303" s="410"/>
      <c r="EE303" s="1"/>
      <c r="EG303" s="410"/>
      <c r="EI303" s="410"/>
      <c r="EK303" s="1"/>
      <c r="EM303"/>
      <c r="EQ303" s="344"/>
      <c r="EU303" s="344"/>
      <c r="EW303" s="409"/>
      <c r="EY303" s="1"/>
      <c r="FA303">
        <v>874.06</v>
      </c>
      <c r="FB303" t="s">
        <v>225</v>
      </c>
      <c r="FC303" s="7">
        <v>271.33136521506998</v>
      </c>
      <c r="FD303" s="357" t="s">
        <v>236</v>
      </c>
      <c r="FE303" s="8">
        <v>126619.32675109454</v>
      </c>
      <c r="FF303" t="s">
        <v>237</v>
      </c>
      <c r="FH303" s="9">
        <v>139604.68723728615</v>
      </c>
      <c r="FI303" s="9" t="s">
        <v>236</v>
      </c>
      <c r="FJ303">
        <v>2690</v>
      </c>
      <c r="FK303" t="s">
        <v>238</v>
      </c>
      <c r="FL303">
        <v>484</v>
      </c>
      <c r="FM303">
        <v>1509384.8966549532</v>
      </c>
      <c r="FN303" s="5" t="s">
        <v>237</v>
      </c>
      <c r="FP303" s="6">
        <v>48.4</v>
      </c>
      <c r="FQ303" t="s">
        <v>239</v>
      </c>
      <c r="FS303" t="s">
        <v>240</v>
      </c>
      <c r="FT303" t="e">
        <f>FQ303=#REF!</f>
        <v>#REF!</v>
      </c>
      <c r="FU303" s="8">
        <v>1</v>
      </c>
      <c r="FV303" s="8">
        <v>10</v>
      </c>
      <c r="FW303" s="8">
        <v>10</v>
      </c>
      <c r="FX303" s="8">
        <v>10</v>
      </c>
      <c r="FY303" s="8">
        <v>3</v>
      </c>
      <c r="FZ303">
        <f t="shared" si="4"/>
        <v>3000</v>
      </c>
      <c r="GA303" s="7" t="s">
        <v>326</v>
      </c>
      <c r="GB303" s="7" t="s">
        <v>326</v>
      </c>
      <c r="GC303" s="6">
        <v>1.5</v>
      </c>
      <c r="GD303" s="348" t="s">
        <v>242</v>
      </c>
      <c r="GF303" s="6">
        <v>0.16133333333333333</v>
      </c>
      <c r="GH303" s="7"/>
      <c r="GI303" s="441">
        <v>1.0760000000000001</v>
      </c>
      <c r="GJ303" s="441">
        <v>2.0169999999999999</v>
      </c>
      <c r="GK303" s="441">
        <v>3.2269999999999999</v>
      </c>
      <c r="GL303" s="441">
        <v>8.0670000000000002</v>
      </c>
      <c r="GM303" s="461" t="s">
        <v>790</v>
      </c>
      <c r="GN303" s="6">
        <v>0.01</v>
      </c>
      <c r="GO303" s="6">
        <v>1.8749999999999999E-2</v>
      </c>
      <c r="GP303" s="6">
        <v>0.03</v>
      </c>
      <c r="GQ303" s="6">
        <v>7.4999999999999997E-2</v>
      </c>
      <c r="GR303" s="461" t="s">
        <v>790</v>
      </c>
      <c r="GU303" t="s">
        <v>243</v>
      </c>
      <c r="GV303" t="s">
        <v>236</v>
      </c>
      <c r="GW303" t="s">
        <v>244</v>
      </c>
      <c r="GX303" t="s">
        <v>236</v>
      </c>
      <c r="GY303" t="s">
        <v>245</v>
      </c>
      <c r="HE303" t="s">
        <v>247</v>
      </c>
      <c r="HF303" t="s">
        <v>223</v>
      </c>
      <c r="HG303" t="s">
        <v>231</v>
      </c>
      <c r="HH303" t="s">
        <v>223</v>
      </c>
      <c r="HI303" t="s">
        <v>247</v>
      </c>
      <c r="HJ303" t="s">
        <v>225</v>
      </c>
      <c r="HK303" t="s">
        <v>568</v>
      </c>
      <c r="HO303" t="s">
        <v>231</v>
      </c>
      <c r="HP303" t="s">
        <v>223</v>
      </c>
      <c r="HQ303" t="s">
        <v>231</v>
      </c>
      <c r="HR303" t="s">
        <v>223</v>
      </c>
      <c r="HU303" t="s">
        <v>231</v>
      </c>
      <c r="HV303" t="s">
        <v>223</v>
      </c>
      <c r="HW303" t="s">
        <v>563</v>
      </c>
      <c r="HX303" t="s">
        <v>236</v>
      </c>
      <c r="IA303" t="s">
        <v>231</v>
      </c>
      <c r="IB303" t="s">
        <v>250</v>
      </c>
      <c r="IC303">
        <v>1.0760000000000001</v>
      </c>
      <c r="ID303">
        <v>2.0169999999999999</v>
      </c>
      <c r="IE303">
        <v>3.2269999999999999</v>
      </c>
      <c r="IF303">
        <v>8.0670000000000002</v>
      </c>
      <c r="IG303" s="459" t="s">
        <v>451</v>
      </c>
      <c r="IH303" t="s">
        <v>267</v>
      </c>
    </row>
    <row r="304" spans="1:242" ht="159.5" x14ac:dyDescent="0.35">
      <c r="A304" s="310" t="s">
        <v>537</v>
      </c>
      <c r="B304" t="s">
        <v>1790</v>
      </c>
      <c r="C304" s="310" t="s">
        <v>1791</v>
      </c>
      <c r="D304" s="316"/>
      <c r="F304" t="s">
        <v>1792</v>
      </c>
      <c r="I304" s="310" t="s">
        <v>1789</v>
      </c>
      <c r="M304" s="313"/>
      <c r="O304"/>
      <c r="P304" s="382"/>
      <c r="Q304"/>
      <c r="U304"/>
      <c r="V304" s="313"/>
      <c r="W304"/>
      <c r="X304"/>
      <c r="Z304"/>
      <c r="AB304"/>
      <c r="AD304" s="8" t="s">
        <v>230</v>
      </c>
      <c r="AF304" s="8" t="s">
        <v>230</v>
      </c>
      <c r="AG304"/>
      <c r="AH304"/>
      <c r="AI304"/>
      <c r="AJ304" t="s">
        <v>221</v>
      </c>
      <c r="AK304">
        <v>0</v>
      </c>
      <c r="AL304">
        <v>0.6</v>
      </c>
      <c r="AM304" t="s">
        <v>221</v>
      </c>
      <c r="AN304" t="s">
        <v>225</v>
      </c>
      <c r="AO304" t="s">
        <v>221</v>
      </c>
      <c r="AP304" t="s">
        <v>225</v>
      </c>
      <c r="AQ304" t="s">
        <v>221</v>
      </c>
      <c r="AR304" t="s">
        <v>225</v>
      </c>
      <c r="AS304" t="s">
        <v>221</v>
      </c>
      <c r="AT304" t="s">
        <v>225</v>
      </c>
      <c r="AU304" t="s">
        <v>220</v>
      </c>
      <c r="AV304"/>
      <c r="AW304" s="313" t="s">
        <v>220</v>
      </c>
      <c r="AX304" t="s">
        <v>226</v>
      </c>
      <c r="AY304" s="313" t="s">
        <v>220</v>
      </c>
      <c r="AZ304" s="313">
        <v>0.151</v>
      </c>
      <c r="BB304" s="313" t="s">
        <v>220</v>
      </c>
      <c r="BC304">
        <v>7.9799999999999996E-2</v>
      </c>
      <c r="BD304" t="s">
        <v>220</v>
      </c>
      <c r="BE304">
        <v>0.115</v>
      </c>
      <c r="BF304" s="2" t="s">
        <v>220</v>
      </c>
      <c r="BG304" s="2" t="s">
        <v>273</v>
      </c>
      <c r="BH304" s="2" t="s">
        <v>274</v>
      </c>
      <c r="BI304" s="2" t="s">
        <v>275</v>
      </c>
      <c r="BM304"/>
      <c r="BP304" s="8"/>
      <c r="BQ304" t="s">
        <v>230</v>
      </c>
      <c r="BR304" t="s">
        <v>230</v>
      </c>
      <c r="BU304" t="s">
        <v>231</v>
      </c>
      <c r="BV304" t="s">
        <v>236</v>
      </c>
      <c r="BW304" t="s">
        <v>232</v>
      </c>
      <c r="BX304" t="s">
        <v>276</v>
      </c>
      <c r="BY304" t="s">
        <v>257</v>
      </c>
      <c r="BZ304">
        <v>0.54100000000000004</v>
      </c>
      <c r="CA304" t="s">
        <v>234</v>
      </c>
      <c r="CF304" t="s">
        <v>220</v>
      </c>
      <c r="CG304">
        <v>0.16900000000000001</v>
      </c>
      <c r="CH304" t="s">
        <v>220</v>
      </c>
      <c r="CI304">
        <v>0.29099999999999998</v>
      </c>
      <c r="CK304"/>
      <c r="CL304"/>
      <c r="CM304"/>
      <c r="CS304" s="8"/>
      <c r="CW304" t="s">
        <v>220</v>
      </c>
      <c r="CX304" t="s">
        <v>220</v>
      </c>
      <c r="CY304" t="s">
        <v>317</v>
      </c>
      <c r="CZ304" t="s">
        <v>220</v>
      </c>
      <c r="DA304" t="s">
        <v>220</v>
      </c>
      <c r="DB304" t="s">
        <v>227</v>
      </c>
      <c r="DC304"/>
      <c r="DD304"/>
      <c r="DE304"/>
      <c r="DF304"/>
      <c r="DG304"/>
      <c r="DH304" s="323"/>
      <c r="DI304" s="323"/>
      <c r="DJ304" s="323"/>
      <c r="DL304" t="s">
        <v>220</v>
      </c>
      <c r="DM304" t="s">
        <v>220</v>
      </c>
      <c r="DN304" t="s">
        <v>227</v>
      </c>
      <c r="DO304" t="s">
        <v>257</v>
      </c>
      <c r="DP304" t="s">
        <v>257</v>
      </c>
      <c r="DS304" s="309">
        <v>133.04</v>
      </c>
      <c r="DU304" s="338">
        <v>1724.896</v>
      </c>
      <c r="DV304" s="8" t="s">
        <v>394</v>
      </c>
      <c r="DW304">
        <v>573</v>
      </c>
      <c r="DX304" t="s">
        <v>238</v>
      </c>
      <c r="DY304">
        <v>533</v>
      </c>
      <c r="DZ304" t="s">
        <v>238</v>
      </c>
      <c r="EA304"/>
      <c r="EB304"/>
      <c r="ED304" s="410"/>
      <c r="EE304" s="1"/>
      <c r="EG304" s="410"/>
      <c r="EI304" s="410"/>
      <c r="EK304" s="1"/>
      <c r="EM304"/>
      <c r="EQ304" s="344"/>
      <c r="EU304" s="344"/>
      <c r="EW304" s="409"/>
      <c r="EY304" s="1"/>
      <c r="FA304">
        <v>874.06</v>
      </c>
      <c r="FB304" t="s">
        <v>225</v>
      </c>
      <c r="FC304" s="7">
        <v>271.33136521506998</v>
      </c>
      <c r="FD304" s="357" t="s">
        <v>236</v>
      </c>
      <c r="FE304" s="8">
        <v>126619.32675109454</v>
      </c>
      <c r="FF304" t="s">
        <v>237</v>
      </c>
      <c r="FH304" s="9">
        <v>139604.68723728615</v>
      </c>
      <c r="FI304" s="9" t="s">
        <v>236</v>
      </c>
      <c r="FJ304">
        <v>3000</v>
      </c>
      <c r="FK304" t="s">
        <v>238</v>
      </c>
      <c r="FL304">
        <v>484</v>
      </c>
      <c r="FM304">
        <v>1509384.8966549532</v>
      </c>
      <c r="FN304" s="5" t="s">
        <v>237</v>
      </c>
      <c r="FP304" s="6">
        <v>48.4</v>
      </c>
      <c r="FQ304" t="s">
        <v>239</v>
      </c>
      <c r="FS304" t="s">
        <v>240</v>
      </c>
      <c r="FT304" t="e">
        <f>FQ304=#REF!</f>
        <v>#REF!</v>
      </c>
      <c r="FU304" s="8">
        <v>1</v>
      </c>
      <c r="FV304" s="8">
        <v>10</v>
      </c>
      <c r="FW304" s="8">
        <v>10</v>
      </c>
      <c r="FX304" s="8">
        <v>10</v>
      </c>
      <c r="FY304" s="8">
        <v>3</v>
      </c>
      <c r="FZ304">
        <f t="shared" si="4"/>
        <v>3000</v>
      </c>
      <c r="GA304" s="7" t="s">
        <v>326</v>
      </c>
      <c r="GB304" s="7" t="s">
        <v>326</v>
      </c>
      <c r="GC304" s="6">
        <v>1.5</v>
      </c>
      <c r="GD304" s="348" t="s">
        <v>242</v>
      </c>
      <c r="GF304" s="6">
        <v>0.16133333333333333</v>
      </c>
      <c r="GH304" s="7"/>
      <c r="GI304" s="441">
        <v>1.0760000000000001</v>
      </c>
      <c r="GJ304" s="441">
        <v>2.0169999999999999</v>
      </c>
      <c r="GK304" s="441">
        <v>3.2269999999999999</v>
      </c>
      <c r="GL304" s="441">
        <v>8.0670000000000002</v>
      </c>
      <c r="GM304" s="461" t="s">
        <v>790</v>
      </c>
      <c r="GN304" s="6">
        <v>0.01</v>
      </c>
      <c r="GO304" s="6">
        <v>1.8749999999999999E-2</v>
      </c>
      <c r="GP304" s="6">
        <v>0.03</v>
      </c>
      <c r="GQ304" s="6">
        <v>7.4999999999999997E-2</v>
      </c>
      <c r="GR304" s="461" t="s">
        <v>790</v>
      </c>
      <c r="GU304" t="s">
        <v>243</v>
      </c>
      <c r="GV304" t="s">
        <v>236</v>
      </c>
      <c r="GW304" t="s">
        <v>244</v>
      </c>
      <c r="GX304" t="s">
        <v>236</v>
      </c>
      <c r="GY304" t="s">
        <v>245</v>
      </c>
      <c r="HE304" t="s">
        <v>247</v>
      </c>
      <c r="HF304" t="s">
        <v>223</v>
      </c>
      <c r="HG304" t="s">
        <v>231</v>
      </c>
      <c r="HH304" t="s">
        <v>223</v>
      </c>
      <c r="HI304" t="s">
        <v>247</v>
      </c>
      <c r="HJ304" t="s">
        <v>225</v>
      </c>
      <c r="HK304" t="s">
        <v>568</v>
      </c>
      <c r="HO304" t="s">
        <v>231</v>
      </c>
      <c r="HP304" t="s">
        <v>223</v>
      </c>
      <c r="HQ304" t="s">
        <v>231</v>
      </c>
      <c r="HR304" t="s">
        <v>223</v>
      </c>
      <c r="HU304" t="s">
        <v>231</v>
      </c>
      <c r="HV304" t="s">
        <v>223</v>
      </c>
      <c r="HW304" t="s">
        <v>563</v>
      </c>
      <c r="HX304" t="s">
        <v>236</v>
      </c>
      <c r="IA304" t="s">
        <v>231</v>
      </c>
      <c r="IB304" t="s">
        <v>250</v>
      </c>
      <c r="IC304">
        <v>1.0760000000000001</v>
      </c>
      <c r="ID304">
        <v>2.0169999999999999</v>
      </c>
      <c r="IE304">
        <v>3.2269999999999999</v>
      </c>
      <c r="IF304">
        <v>8.0670000000000002</v>
      </c>
      <c r="IG304" s="459" t="s">
        <v>451</v>
      </c>
      <c r="IH304" t="s">
        <v>267</v>
      </c>
    </row>
    <row r="305" spans="1:242" ht="159.5" x14ac:dyDescent="0.35">
      <c r="A305" s="310" t="s">
        <v>537</v>
      </c>
      <c r="B305" t="s">
        <v>1793</v>
      </c>
      <c r="C305" s="310" t="s">
        <v>1794</v>
      </c>
      <c r="D305" s="316"/>
      <c r="F305" t="s">
        <v>1795</v>
      </c>
      <c r="I305" s="310" t="s">
        <v>1796</v>
      </c>
      <c r="M305" s="313"/>
      <c r="O305"/>
      <c r="P305" s="381"/>
      <c r="Q305"/>
      <c r="T305" s="8"/>
      <c r="U305"/>
      <c r="V305" s="313"/>
      <c r="W305"/>
      <c r="X305"/>
      <c r="Z305"/>
      <c r="AB305"/>
      <c r="AD305" s="8" t="s">
        <v>230</v>
      </c>
      <c r="AF305" s="8" t="s">
        <v>230</v>
      </c>
      <c r="AG305"/>
      <c r="AH305"/>
      <c r="AI305"/>
      <c r="AJ305" t="s">
        <v>221</v>
      </c>
      <c r="AK305">
        <v>0</v>
      </c>
      <c r="AL305">
        <v>0.5</v>
      </c>
      <c r="AM305" t="s">
        <v>221</v>
      </c>
      <c r="AN305" t="s">
        <v>225</v>
      </c>
      <c r="AO305" t="s">
        <v>221</v>
      </c>
      <c r="AP305" t="s">
        <v>236</v>
      </c>
      <c r="AQ305" t="s">
        <v>221</v>
      </c>
      <c r="AR305" t="s">
        <v>225</v>
      </c>
      <c r="AS305" t="s">
        <v>221</v>
      </c>
      <c r="AT305" t="s">
        <v>225</v>
      </c>
      <c r="AU305" t="s">
        <v>220</v>
      </c>
      <c r="AV305"/>
      <c r="AW305" s="313" t="s">
        <v>220</v>
      </c>
      <c r="AX305" t="s">
        <v>226</v>
      </c>
      <c r="AY305" s="313" t="s">
        <v>220</v>
      </c>
      <c r="AZ305" s="313">
        <v>0.151</v>
      </c>
      <c r="BB305" s="313" t="s">
        <v>220</v>
      </c>
      <c r="BC305">
        <v>7.9899999999999999E-2</v>
      </c>
      <c r="BD305" t="s">
        <v>220</v>
      </c>
      <c r="BE305">
        <v>0.105</v>
      </c>
      <c r="BF305" s="2" t="s">
        <v>220</v>
      </c>
      <c r="BG305" s="2" t="s">
        <v>273</v>
      </c>
      <c r="BH305" s="2" t="s">
        <v>274</v>
      </c>
      <c r="BI305" s="2" t="s">
        <v>275</v>
      </c>
      <c r="BM305"/>
      <c r="BP305" s="8"/>
      <c r="BQ305" t="s">
        <v>230</v>
      </c>
      <c r="BR305" t="s">
        <v>230</v>
      </c>
      <c r="BU305" t="s">
        <v>231</v>
      </c>
      <c r="BV305" t="s">
        <v>236</v>
      </c>
      <c r="BW305" t="s">
        <v>232</v>
      </c>
      <c r="BX305" t="s">
        <v>500</v>
      </c>
      <c r="BY305" t="s">
        <v>257</v>
      </c>
      <c r="BZ305">
        <v>0.52400000000000002</v>
      </c>
      <c r="CA305" t="s">
        <v>234</v>
      </c>
      <c r="CF305" t="s">
        <v>220</v>
      </c>
      <c r="CG305">
        <v>0.121</v>
      </c>
      <c r="CH305" t="s">
        <v>220</v>
      </c>
      <c r="CI305">
        <v>0.248</v>
      </c>
      <c r="CK305"/>
      <c r="CL305"/>
      <c r="CM305"/>
      <c r="CS305" s="8"/>
      <c r="CW305" t="s">
        <v>220</v>
      </c>
      <c r="CX305" t="s">
        <v>257</v>
      </c>
      <c r="CY305" t="s">
        <v>317</v>
      </c>
      <c r="CZ305" t="s">
        <v>220</v>
      </c>
      <c r="DA305" t="s">
        <v>220</v>
      </c>
      <c r="DB305" t="s">
        <v>227</v>
      </c>
      <c r="DC305"/>
      <c r="DD305"/>
      <c r="DE305"/>
      <c r="DF305"/>
      <c r="DG305"/>
      <c r="DH305" s="323"/>
      <c r="DI305" s="323"/>
      <c r="DJ305" s="323"/>
      <c r="DL305" t="s">
        <v>220</v>
      </c>
      <c r="DM305" t="s">
        <v>220</v>
      </c>
      <c r="DN305" t="s">
        <v>227</v>
      </c>
      <c r="DO305" t="s">
        <v>257</v>
      </c>
      <c r="DP305" t="s">
        <v>257</v>
      </c>
      <c r="DS305" s="338">
        <v>94.188999999999993</v>
      </c>
      <c r="DT305" s="8" t="s">
        <v>394</v>
      </c>
      <c r="DU305" s="338">
        <v>1979.56</v>
      </c>
      <c r="DV305" s="8" t="s">
        <v>394</v>
      </c>
      <c r="DW305">
        <v>763</v>
      </c>
      <c r="DX305" t="s">
        <v>238</v>
      </c>
      <c r="DY305">
        <v>1210</v>
      </c>
      <c r="DZ305" t="s">
        <v>238</v>
      </c>
      <c r="EA305"/>
      <c r="EB305"/>
      <c r="ED305" s="410"/>
      <c r="EE305" s="1"/>
      <c r="EG305" s="410"/>
      <c r="EI305" s="410"/>
      <c r="EK305" s="1"/>
      <c r="EM305"/>
      <c r="EQ305" s="344"/>
      <c r="EU305" s="344"/>
      <c r="EW305" s="409"/>
      <c r="EY305" s="1"/>
      <c r="FA305">
        <v>12676.14</v>
      </c>
      <c r="FB305" t="s">
        <v>236</v>
      </c>
      <c r="FC305" s="7">
        <v>890.63549638698851</v>
      </c>
      <c r="FD305" s="357" t="s">
        <v>236</v>
      </c>
      <c r="FE305" s="8">
        <v>365258.2213863373</v>
      </c>
      <c r="FF305" t="s">
        <v>237</v>
      </c>
      <c r="FH305" s="9">
        <v>56846.011684900892</v>
      </c>
      <c r="FI305" s="9" t="s">
        <v>236</v>
      </c>
      <c r="FJ305">
        <v>3350</v>
      </c>
      <c r="FK305" t="s">
        <v>238</v>
      </c>
      <c r="FL305">
        <v>828</v>
      </c>
      <c r="FM305">
        <v>8027863.8798978906</v>
      </c>
      <c r="FN305" s="5" t="s">
        <v>237</v>
      </c>
      <c r="FP305" s="6">
        <v>82.8</v>
      </c>
      <c r="FQ305" t="s">
        <v>239</v>
      </c>
      <c r="FS305" t="s">
        <v>240</v>
      </c>
      <c r="FT305" t="e">
        <f>FQ305=#REF!</f>
        <v>#REF!</v>
      </c>
      <c r="FU305" s="8">
        <v>1</v>
      </c>
      <c r="FV305" s="8">
        <v>10</v>
      </c>
      <c r="FW305" s="8">
        <v>10</v>
      </c>
      <c r="FX305" s="8">
        <v>10</v>
      </c>
      <c r="FY305" s="8">
        <v>3</v>
      </c>
      <c r="FZ305">
        <f t="shared" si="4"/>
        <v>3000</v>
      </c>
      <c r="GA305" s="7" t="s">
        <v>326</v>
      </c>
      <c r="GB305" s="7" t="s">
        <v>326</v>
      </c>
      <c r="GC305" s="6">
        <v>1.5</v>
      </c>
      <c r="GD305" s="348" t="s">
        <v>242</v>
      </c>
      <c r="GF305" s="6">
        <v>0.27599999999999997</v>
      </c>
      <c r="GH305" s="7"/>
      <c r="GI305" s="441" t="s">
        <v>395</v>
      </c>
      <c r="GJ305" s="441" t="s">
        <v>395</v>
      </c>
      <c r="GK305" s="441" t="s">
        <v>395</v>
      </c>
      <c r="GL305" s="441" t="s">
        <v>395</v>
      </c>
      <c r="GM305" s="461" t="s">
        <v>790</v>
      </c>
      <c r="GN305" s="6">
        <v>0.01</v>
      </c>
      <c r="GO305" s="6">
        <v>1.8749999999999999E-2</v>
      </c>
      <c r="GP305" s="6">
        <v>0.03</v>
      </c>
      <c r="GQ305" s="6">
        <v>7.4999999999999997E-2</v>
      </c>
      <c r="GR305" s="461" t="s">
        <v>790</v>
      </c>
      <c r="GU305" t="s">
        <v>243</v>
      </c>
      <c r="GV305" t="s">
        <v>236</v>
      </c>
      <c r="GW305" t="s">
        <v>244</v>
      </c>
      <c r="GX305" t="s">
        <v>236</v>
      </c>
      <c r="GY305" t="s">
        <v>245</v>
      </c>
      <c r="HE305" t="s">
        <v>247</v>
      </c>
      <c r="HF305" t="s">
        <v>223</v>
      </c>
      <c r="HG305" t="s">
        <v>231</v>
      </c>
      <c r="HH305" t="s">
        <v>225</v>
      </c>
      <c r="HI305" t="s">
        <v>247</v>
      </c>
      <c r="HJ305" t="s">
        <v>225</v>
      </c>
      <c r="HK305" t="s">
        <v>568</v>
      </c>
      <c r="HO305" t="s">
        <v>231</v>
      </c>
      <c r="HP305" t="s">
        <v>223</v>
      </c>
      <c r="HQ305" t="s">
        <v>231</v>
      </c>
      <c r="HR305" t="s">
        <v>223</v>
      </c>
      <c r="HU305" t="s">
        <v>231</v>
      </c>
      <c r="HV305" t="s">
        <v>225</v>
      </c>
      <c r="HW305" t="s">
        <v>563</v>
      </c>
      <c r="HX305" t="s">
        <v>236</v>
      </c>
      <c r="IA305" t="s">
        <v>231</v>
      </c>
      <c r="IB305" t="s">
        <v>250</v>
      </c>
      <c r="IC305" t="s">
        <v>395</v>
      </c>
      <c r="ID305" t="s">
        <v>395</v>
      </c>
      <c r="IE305" t="s">
        <v>395</v>
      </c>
      <c r="IF305" t="s">
        <v>395</v>
      </c>
      <c r="IG305" s="459" t="s">
        <v>451</v>
      </c>
      <c r="IH305" t="s">
        <v>235</v>
      </c>
    </row>
    <row r="306" spans="1:242" ht="159.5" x14ac:dyDescent="0.35">
      <c r="A306" s="310" t="s">
        <v>537</v>
      </c>
      <c r="B306" t="s">
        <v>1797</v>
      </c>
      <c r="C306" s="310" t="s">
        <v>1798</v>
      </c>
      <c r="D306" s="316"/>
      <c r="F306" t="s">
        <v>1799</v>
      </c>
      <c r="I306" s="310" t="s">
        <v>1800</v>
      </c>
      <c r="M306" s="313"/>
      <c r="O306"/>
      <c r="P306" s="381"/>
      <c r="Q306"/>
      <c r="T306" s="8"/>
      <c r="U306"/>
      <c r="V306" s="313"/>
      <c r="W306"/>
      <c r="X306"/>
      <c r="Z306"/>
      <c r="AB306"/>
      <c r="AD306" s="8" t="s">
        <v>230</v>
      </c>
      <c r="AF306" s="8" t="s">
        <v>230</v>
      </c>
      <c r="AG306"/>
      <c r="AH306"/>
      <c r="AI306"/>
      <c r="AJ306" t="s">
        <v>221</v>
      </c>
      <c r="AK306">
        <v>0.2</v>
      </c>
      <c r="AL306">
        <v>0.375</v>
      </c>
      <c r="AM306" t="s">
        <v>414</v>
      </c>
      <c r="AN306" t="s">
        <v>236</v>
      </c>
      <c r="AO306" t="s">
        <v>221</v>
      </c>
      <c r="AP306" t="s">
        <v>223</v>
      </c>
      <c r="AQ306" t="s">
        <v>414</v>
      </c>
      <c r="AR306" t="s">
        <v>225</v>
      </c>
      <c r="AS306" t="s">
        <v>221</v>
      </c>
      <c r="AT306" t="s">
        <v>225</v>
      </c>
      <c r="AU306" t="s">
        <v>220</v>
      </c>
      <c r="AV306"/>
      <c r="AW306" s="313" t="s">
        <v>220</v>
      </c>
      <c r="AX306" t="s">
        <v>226</v>
      </c>
      <c r="AY306" s="313" t="s">
        <v>220</v>
      </c>
      <c r="AZ306" s="313">
        <v>0.154</v>
      </c>
      <c r="BB306" s="313" t="s">
        <v>220</v>
      </c>
      <c r="BC306">
        <v>6.7799999999999999E-2</v>
      </c>
      <c r="BD306" t="s">
        <v>220</v>
      </c>
      <c r="BE306">
        <v>0.191</v>
      </c>
      <c r="BF306" s="2" t="s">
        <v>220</v>
      </c>
      <c r="BG306" s="2" t="s">
        <v>653</v>
      </c>
      <c r="BH306" s="2" t="s">
        <v>274</v>
      </c>
      <c r="BI306" s="2" t="s">
        <v>275</v>
      </c>
      <c r="BM306"/>
      <c r="BP306" s="8"/>
      <c r="BQ306" t="s">
        <v>230</v>
      </c>
      <c r="BR306" t="s">
        <v>230</v>
      </c>
      <c r="BU306" t="s">
        <v>317</v>
      </c>
      <c r="BV306" t="s">
        <v>223</v>
      </c>
      <c r="BW306" t="s">
        <v>293</v>
      </c>
      <c r="BX306" t="s">
        <v>458</v>
      </c>
      <c r="BY306" t="s">
        <v>227</v>
      </c>
      <c r="BZ306">
        <v>0.58099999999999996</v>
      </c>
      <c r="CA306" t="s">
        <v>234</v>
      </c>
      <c r="CF306" t="s">
        <v>220</v>
      </c>
      <c r="CG306">
        <v>0.252</v>
      </c>
      <c r="CH306" t="s">
        <v>220</v>
      </c>
      <c r="CI306">
        <v>0.379</v>
      </c>
      <c r="CK306"/>
      <c r="CL306"/>
      <c r="CM306"/>
      <c r="CS306" s="8"/>
      <c r="CW306" t="s">
        <v>220</v>
      </c>
      <c r="CX306" t="s">
        <v>220</v>
      </c>
      <c r="CY306" t="s">
        <v>231</v>
      </c>
      <c r="CZ306" t="s">
        <v>220</v>
      </c>
      <c r="DA306" t="s">
        <v>220</v>
      </c>
      <c r="DB306" t="s">
        <v>227</v>
      </c>
      <c r="DC306"/>
      <c r="DD306"/>
      <c r="DE306"/>
      <c r="DF306"/>
      <c r="DG306"/>
      <c r="DH306" s="323"/>
      <c r="DI306" s="323"/>
      <c r="DJ306" s="323"/>
      <c r="DL306" t="s">
        <v>220</v>
      </c>
      <c r="DM306" t="s">
        <v>220</v>
      </c>
      <c r="DN306" t="s">
        <v>227</v>
      </c>
      <c r="DO306" t="s">
        <v>257</v>
      </c>
      <c r="DP306" t="s">
        <v>257</v>
      </c>
      <c r="DS306" s="309">
        <v>117.76300000000001</v>
      </c>
      <c r="DU306" s="338">
        <v>1398.748</v>
      </c>
      <c r="DV306" s="8" t="s">
        <v>394</v>
      </c>
      <c r="DW306">
        <v>1730</v>
      </c>
      <c r="DX306" t="s">
        <v>238</v>
      </c>
      <c r="DY306"/>
      <c r="DZ306" t="s">
        <v>235</v>
      </c>
      <c r="EA306"/>
      <c r="EB306"/>
      <c r="ED306" s="410"/>
      <c r="EE306" s="1"/>
      <c r="EG306" s="410"/>
      <c r="EI306" s="410"/>
      <c r="EK306" s="1"/>
      <c r="EM306"/>
      <c r="EQ306" s="344"/>
      <c r="EU306" s="344"/>
      <c r="EW306" s="409"/>
      <c r="EY306" s="1"/>
      <c r="FA306">
        <v>60.27</v>
      </c>
      <c r="FB306" t="s">
        <v>225</v>
      </c>
      <c r="FC306" s="7">
        <v>90.531559164848503</v>
      </c>
      <c r="FD306" s="357" t="s">
        <v>225</v>
      </c>
      <c r="FE306" s="8">
        <v>1489.361077710917</v>
      </c>
      <c r="FF306" t="s">
        <v>337</v>
      </c>
      <c r="FH306" s="9">
        <v>436716.90150415647</v>
      </c>
      <c r="FI306" s="9" t="s">
        <v>236</v>
      </c>
      <c r="FJ306">
        <v>2200</v>
      </c>
      <c r="FK306" t="s">
        <v>238</v>
      </c>
      <c r="FL306">
        <v>283</v>
      </c>
      <c r="FM306">
        <v>4117.1813799387101</v>
      </c>
      <c r="FN306" s="5" t="s">
        <v>337</v>
      </c>
      <c r="FP306" s="6">
        <v>28.3</v>
      </c>
      <c r="FQ306" t="s">
        <v>239</v>
      </c>
      <c r="FS306" t="s">
        <v>240</v>
      </c>
      <c r="FT306" t="e">
        <f>FQ306=#REF!</f>
        <v>#REF!</v>
      </c>
      <c r="FU306" s="8">
        <v>1</v>
      </c>
      <c r="FV306" s="8">
        <v>10</v>
      </c>
      <c r="FW306" s="8">
        <v>10</v>
      </c>
      <c r="FX306" s="8">
        <v>10</v>
      </c>
      <c r="FY306" s="8">
        <v>3</v>
      </c>
      <c r="FZ306">
        <f t="shared" si="4"/>
        <v>3000</v>
      </c>
      <c r="GA306" s="7" t="s">
        <v>326</v>
      </c>
      <c r="GB306" s="7" t="s">
        <v>326</v>
      </c>
      <c r="GC306" s="6">
        <v>1.5</v>
      </c>
      <c r="GD306" s="348" t="s">
        <v>242</v>
      </c>
      <c r="GF306" s="6">
        <v>9.4333333333333338E-2</v>
      </c>
      <c r="GH306" s="7"/>
      <c r="GI306" s="441">
        <v>0.629</v>
      </c>
      <c r="GJ306" s="441">
        <v>1.179</v>
      </c>
      <c r="GK306" s="441">
        <v>1.887</v>
      </c>
      <c r="GL306" s="441">
        <v>4.7169999999999996</v>
      </c>
      <c r="GM306" s="461" t="s">
        <v>790</v>
      </c>
      <c r="GN306" s="6">
        <v>0.01</v>
      </c>
      <c r="GO306" s="6">
        <v>1.8749999999999999E-2</v>
      </c>
      <c r="GP306" s="6">
        <v>0.03</v>
      </c>
      <c r="GQ306" s="6">
        <v>7.4999999999999997E-2</v>
      </c>
      <c r="GR306" s="461" t="s">
        <v>790</v>
      </c>
      <c r="GU306" t="s">
        <v>243</v>
      </c>
      <c r="GV306" t="s">
        <v>236</v>
      </c>
      <c r="GW306" t="s">
        <v>244</v>
      </c>
      <c r="GX306" t="s">
        <v>236</v>
      </c>
      <c r="GY306" t="s">
        <v>245</v>
      </c>
      <c r="HE306" t="s">
        <v>384</v>
      </c>
      <c r="HF306" t="s">
        <v>225</v>
      </c>
      <c r="HG306" t="s">
        <v>231</v>
      </c>
      <c r="HH306" t="s">
        <v>223</v>
      </c>
      <c r="HI306" t="s">
        <v>247</v>
      </c>
      <c r="HJ306" t="s">
        <v>225</v>
      </c>
      <c r="HK306" t="s">
        <v>568</v>
      </c>
      <c r="HO306" t="s">
        <v>231</v>
      </c>
      <c r="HP306" t="s">
        <v>223</v>
      </c>
      <c r="HQ306" t="s">
        <v>231</v>
      </c>
      <c r="HR306" t="s">
        <v>223</v>
      </c>
      <c r="HU306" t="s">
        <v>231</v>
      </c>
      <c r="HV306" t="s">
        <v>223</v>
      </c>
      <c r="HW306" t="s">
        <v>246</v>
      </c>
      <c r="HX306" t="s">
        <v>236</v>
      </c>
      <c r="IA306" t="s">
        <v>231</v>
      </c>
      <c r="IB306" t="s">
        <v>250</v>
      </c>
      <c r="IC306">
        <v>0.629</v>
      </c>
      <c r="ID306">
        <v>1.179</v>
      </c>
      <c r="IE306">
        <v>1.887</v>
      </c>
      <c r="IF306">
        <v>4.7169999999999996</v>
      </c>
      <c r="IG306" s="459" t="s">
        <v>451</v>
      </c>
      <c r="IH306" t="s">
        <v>267</v>
      </c>
    </row>
    <row r="307" spans="1:242" x14ac:dyDescent="0.35">
      <c r="A307" s="310" t="s">
        <v>1801</v>
      </c>
      <c r="B307" s="313" t="s">
        <v>1802</v>
      </c>
      <c r="C307" s="310" t="s">
        <v>1803</v>
      </c>
      <c r="D307" s="316"/>
      <c r="F307" t="s">
        <v>1804</v>
      </c>
      <c r="I307" s="310" t="s">
        <v>1805</v>
      </c>
      <c r="M307" s="313" t="s">
        <v>220</v>
      </c>
      <c r="O307"/>
      <c r="P307" s="381"/>
      <c r="Q307"/>
      <c r="T307" s="8"/>
      <c r="U307"/>
      <c r="V307" s="313"/>
      <c r="W307"/>
      <c r="X307"/>
      <c r="Z307"/>
      <c r="AB307"/>
      <c r="AD307" s="8" t="s">
        <v>230</v>
      </c>
      <c r="AF307" s="8" t="s">
        <v>230</v>
      </c>
      <c r="AG307"/>
      <c r="AH307"/>
      <c r="AI307"/>
      <c r="AJ307" t="s">
        <v>221</v>
      </c>
      <c r="AK307">
        <v>0</v>
      </c>
      <c r="AL307">
        <v>0.75</v>
      </c>
      <c r="AM307" t="s">
        <v>221</v>
      </c>
      <c r="AN307" t="s">
        <v>223</v>
      </c>
      <c r="AO307" t="s">
        <v>224</v>
      </c>
      <c r="AP307" t="s">
        <v>223</v>
      </c>
      <c r="AQ307" t="s">
        <v>221</v>
      </c>
      <c r="AR307" t="s">
        <v>225</v>
      </c>
      <c r="AS307" t="s">
        <v>221</v>
      </c>
      <c r="AT307" t="s">
        <v>225</v>
      </c>
      <c r="AU307" t="s">
        <v>220</v>
      </c>
      <c r="AV307"/>
      <c r="AW307" s="313" t="s">
        <v>220</v>
      </c>
      <c r="AX307" t="s">
        <v>226</v>
      </c>
      <c r="AY307" s="313" t="s">
        <v>220</v>
      </c>
      <c r="AZ307" s="313">
        <v>7.3700000000000002E-2</v>
      </c>
      <c r="BB307" s="313" t="s">
        <v>220</v>
      </c>
      <c r="BC307">
        <v>5.8500000000000003E-2</v>
      </c>
      <c r="BD307" t="s">
        <v>220</v>
      </c>
      <c r="BE307">
        <v>4.8800000000000003E-2</v>
      </c>
      <c r="BF307" s="2" t="s">
        <v>220</v>
      </c>
      <c r="BG307" s="2" t="s">
        <v>273</v>
      </c>
      <c r="BH307" s="2" t="s">
        <v>274</v>
      </c>
      <c r="BI307" s="2" t="s">
        <v>275</v>
      </c>
      <c r="BM307"/>
      <c r="BP307" s="8"/>
      <c r="BQ307" t="s">
        <v>230</v>
      </c>
      <c r="BR307" t="s">
        <v>230</v>
      </c>
      <c r="BU307" t="s">
        <v>231</v>
      </c>
      <c r="BV307" t="s">
        <v>225</v>
      </c>
      <c r="BW307" t="s">
        <v>232</v>
      </c>
      <c r="BX307" t="s">
        <v>276</v>
      </c>
      <c r="BY307" t="s">
        <v>220</v>
      </c>
      <c r="BZ307">
        <v>0.23200000000000001</v>
      </c>
      <c r="CA307" t="s">
        <v>234</v>
      </c>
      <c r="CF307" t="s">
        <v>220</v>
      </c>
      <c r="CG307">
        <v>0.123</v>
      </c>
      <c r="CH307" t="s">
        <v>220</v>
      </c>
      <c r="CI307">
        <v>8.5099999999999995E-2</v>
      </c>
      <c r="CK307"/>
      <c r="CL307"/>
      <c r="CM307"/>
      <c r="CS307" s="8"/>
      <c r="CW307" t="s">
        <v>220</v>
      </c>
      <c r="CX307" t="s">
        <v>220</v>
      </c>
      <c r="CY307" t="s">
        <v>231</v>
      </c>
      <c r="CZ307" t="s">
        <v>220</v>
      </c>
      <c r="DA307" t="s">
        <v>220</v>
      </c>
      <c r="DB307" t="s">
        <v>220</v>
      </c>
      <c r="DC307"/>
      <c r="DD307"/>
      <c r="DE307"/>
      <c r="DF307"/>
      <c r="DG307"/>
      <c r="DH307" s="323"/>
      <c r="DI307" s="323"/>
      <c r="DJ307" s="323"/>
      <c r="DL307" t="s">
        <v>257</v>
      </c>
      <c r="DM307" t="s">
        <v>220</v>
      </c>
      <c r="DN307" t="s">
        <v>257</v>
      </c>
      <c r="DO307" t="s">
        <v>257</v>
      </c>
      <c r="DP307" t="s">
        <v>257</v>
      </c>
      <c r="DS307" s="309">
        <v>336.99599999999998</v>
      </c>
      <c r="DU307" s="309">
        <v>743.08399999999995</v>
      </c>
      <c r="DW307">
        <v>2230</v>
      </c>
      <c r="DX307" t="s">
        <v>238</v>
      </c>
      <c r="DY307">
        <v>4600</v>
      </c>
      <c r="DZ307" t="s">
        <v>238</v>
      </c>
      <c r="EA307"/>
      <c r="EB307"/>
      <c r="ED307" s="410"/>
      <c r="EE307" s="1"/>
      <c r="EG307" s="410"/>
      <c r="EI307" s="410"/>
      <c r="EK307" s="1"/>
      <c r="EM307"/>
      <c r="EQ307" s="344"/>
      <c r="EU307" s="344"/>
      <c r="EW307" s="409"/>
      <c r="EY307" s="1"/>
      <c r="FA307">
        <v>261.07</v>
      </c>
      <c r="FB307" t="s">
        <v>225</v>
      </c>
      <c r="FC307" s="7">
        <v>1087.6771376310012</v>
      </c>
      <c r="FD307" s="357" t="s">
        <v>225</v>
      </c>
      <c r="FE307" s="8">
        <v>5.3149599950664808</v>
      </c>
      <c r="FF307" t="s">
        <v>237</v>
      </c>
      <c r="FH307" s="9">
        <v>441.16393317691382</v>
      </c>
      <c r="FI307" s="9" t="s">
        <v>225</v>
      </c>
      <c r="FJ307">
        <v>234</v>
      </c>
      <c r="FK307" t="s">
        <v>238</v>
      </c>
      <c r="FL307">
        <v>318</v>
      </c>
      <c r="FM307">
        <v>8.9991191087005244</v>
      </c>
      <c r="FN307" s="5" t="s">
        <v>237</v>
      </c>
      <c r="FP307" s="6">
        <v>0.4499559554350262</v>
      </c>
      <c r="FQ307" t="s">
        <v>277</v>
      </c>
      <c r="FS307" t="s">
        <v>240</v>
      </c>
      <c r="FT307" t="e">
        <f>FQ307=#REF!</f>
        <v>#REF!</v>
      </c>
      <c r="FU307" s="8">
        <v>2</v>
      </c>
      <c r="FV307" s="8">
        <v>10</v>
      </c>
      <c r="FW307" s="8">
        <v>10</v>
      </c>
      <c r="FX307" s="8">
        <v>10</v>
      </c>
      <c r="FY307" s="8">
        <v>3</v>
      </c>
      <c r="FZ307">
        <f t="shared" si="4"/>
        <v>6000</v>
      </c>
      <c r="GA307" s="7" t="s">
        <v>241</v>
      </c>
      <c r="GB307" s="7" t="s">
        <v>241</v>
      </c>
      <c r="GC307" s="6">
        <v>30</v>
      </c>
      <c r="GD307" s="348" t="s">
        <v>242</v>
      </c>
      <c r="GF307" s="6">
        <v>8.8582666584441343E-3</v>
      </c>
      <c r="GH307" s="7"/>
      <c r="GI307" s="441"/>
      <c r="GJ307" s="441"/>
      <c r="GK307" s="441"/>
      <c r="GL307" s="441"/>
      <c r="GM307" s="454"/>
      <c r="GN307" s="441"/>
      <c r="GO307" s="441"/>
      <c r="GP307" s="441"/>
      <c r="GQ307" s="441"/>
      <c r="GR307" s="441"/>
      <c r="GS307" s="441"/>
      <c r="GT307" s="441"/>
      <c r="GU307" s="441"/>
      <c r="GV307" s="441"/>
      <c r="GW307" s="441"/>
      <c r="GX307" s="441"/>
      <c r="GY307" s="441"/>
      <c r="GZ307" s="441"/>
      <c r="HA307" s="441"/>
      <c r="HB307" s="441"/>
      <c r="HC307" s="441"/>
      <c r="HD307" s="441"/>
      <c r="HE307" s="441"/>
      <c r="HF307" s="441"/>
      <c r="HG307" s="441"/>
      <c r="HH307" s="441"/>
      <c r="HI307" s="441"/>
      <c r="HJ307" s="441"/>
      <c r="HK307" s="441"/>
      <c r="HL307" s="441"/>
      <c r="HM307" s="441"/>
      <c r="HN307" s="441"/>
      <c r="HO307" s="441"/>
      <c r="HP307" s="441"/>
      <c r="HQ307" s="441"/>
      <c r="HR307" s="441"/>
      <c r="HS307" s="441"/>
      <c r="HT307" s="441"/>
      <c r="HU307" s="441"/>
      <c r="HV307" s="441"/>
      <c r="HW307" s="441"/>
      <c r="HX307" s="441"/>
      <c r="HY307" s="441"/>
      <c r="HZ307" s="441"/>
      <c r="IA307" s="441"/>
      <c r="IB307" s="441"/>
      <c r="IC307" s="441"/>
      <c r="ID307" s="441"/>
      <c r="IE307" s="441"/>
      <c r="IF307" s="441"/>
      <c r="IH307" t="s">
        <v>235</v>
      </c>
    </row>
    <row r="308" spans="1:242" x14ac:dyDescent="0.35">
      <c r="A308" s="310" t="s">
        <v>1806</v>
      </c>
      <c r="B308" s="313" t="s">
        <v>1807</v>
      </c>
      <c r="C308" s="310" t="s">
        <v>1808</v>
      </c>
      <c r="D308" s="316"/>
      <c r="F308" t="s">
        <v>1809</v>
      </c>
      <c r="I308" s="310" t="s">
        <v>1810</v>
      </c>
      <c r="M308" s="313"/>
      <c r="O308" t="s">
        <v>221</v>
      </c>
      <c r="P308" s="381"/>
      <c r="Q308" t="s">
        <v>221</v>
      </c>
      <c r="T308" s="8"/>
      <c r="U308" t="s">
        <v>221</v>
      </c>
      <c r="V308" s="313"/>
      <c r="W308" t="s">
        <v>220</v>
      </c>
      <c r="X308" t="s">
        <v>220</v>
      </c>
      <c r="Z308"/>
      <c r="AB308"/>
      <c r="AD308" s="8" t="s">
        <v>230</v>
      </c>
      <c r="AF308" s="8" t="s">
        <v>230</v>
      </c>
      <c r="AG308"/>
      <c r="AH308"/>
      <c r="AI308"/>
      <c r="AJ308" t="s">
        <v>221</v>
      </c>
      <c r="AK308">
        <v>0</v>
      </c>
      <c r="AL308">
        <v>1</v>
      </c>
      <c r="AM308" t="s">
        <v>221</v>
      </c>
      <c r="AN308" t="s">
        <v>249</v>
      </c>
      <c r="AO308" t="s">
        <v>221</v>
      </c>
      <c r="AP308"/>
      <c r="AQ308" t="s">
        <v>221</v>
      </c>
      <c r="AR308" t="s">
        <v>225</v>
      </c>
      <c r="AS308" t="s">
        <v>221</v>
      </c>
      <c r="AT308"/>
      <c r="AU308" t="s">
        <v>220</v>
      </c>
      <c r="AV308"/>
      <c r="AW308" s="313" t="s">
        <v>220</v>
      </c>
      <c r="AX308" t="s">
        <v>226</v>
      </c>
      <c r="AY308" s="313" t="s">
        <v>220</v>
      </c>
      <c r="AZ308" s="313">
        <v>3.3099999999999997E-2</v>
      </c>
      <c r="BB308" s="313" t="s">
        <v>220</v>
      </c>
      <c r="BC308">
        <v>2.6100000000000002E-2</v>
      </c>
      <c r="BD308" t="s">
        <v>220</v>
      </c>
      <c r="BE308">
        <v>2.8799999999999999E-2</v>
      </c>
      <c r="BF308" s="2" t="s">
        <v>220</v>
      </c>
      <c r="BH308" s="2" t="s">
        <v>228</v>
      </c>
      <c r="BI308" s="2" t="s">
        <v>424</v>
      </c>
      <c r="BM308"/>
      <c r="BP308" s="8"/>
      <c r="BQ308" t="s">
        <v>230</v>
      </c>
      <c r="BR308" t="s">
        <v>230</v>
      </c>
      <c r="BU308" t="s">
        <v>317</v>
      </c>
      <c r="BV308" t="s">
        <v>223</v>
      </c>
      <c r="BW308" t="s">
        <v>232</v>
      </c>
      <c r="BX308" t="s">
        <v>284</v>
      </c>
      <c r="BY308" t="s">
        <v>220</v>
      </c>
      <c r="BZ308">
        <v>0.252</v>
      </c>
      <c r="CA308" t="s">
        <v>234</v>
      </c>
      <c r="CC308" t="s">
        <v>220</v>
      </c>
      <c r="CD308" t="s">
        <v>257</v>
      </c>
      <c r="CF308" t="s">
        <v>220</v>
      </c>
      <c r="CG308">
        <v>5.0700000000000002E-2</v>
      </c>
      <c r="CH308" t="s">
        <v>257</v>
      </c>
      <c r="CI308">
        <v>0.78400000000000003</v>
      </c>
      <c r="CK308"/>
      <c r="CL308"/>
      <c r="CM308"/>
      <c r="CS308" s="8"/>
      <c r="CW308" t="s">
        <v>220</v>
      </c>
      <c r="CX308" t="s">
        <v>220</v>
      </c>
      <c r="CY308" t="s">
        <v>231</v>
      </c>
      <c r="CZ308" t="s">
        <v>220</v>
      </c>
      <c r="DA308" t="s">
        <v>220</v>
      </c>
      <c r="DB308" t="s">
        <v>220</v>
      </c>
      <c r="DC308"/>
      <c r="DD308"/>
      <c r="DE308"/>
      <c r="DF308"/>
      <c r="DG308"/>
      <c r="DH308" s="323"/>
      <c r="DI308" s="323"/>
      <c r="DJ308" s="323"/>
      <c r="DL308" t="s">
        <v>257</v>
      </c>
      <c r="DM308" t="s">
        <v>220</v>
      </c>
      <c r="DN308" t="s">
        <v>227</v>
      </c>
      <c r="DO308" t="s">
        <v>220</v>
      </c>
      <c r="DP308" t="s">
        <v>220</v>
      </c>
      <c r="DS308" s="309">
        <v>194.321</v>
      </c>
      <c r="DU308" s="309">
        <v>735.07500000000005</v>
      </c>
      <c r="DW308"/>
      <c r="DX308" t="s">
        <v>235</v>
      </c>
      <c r="DY308"/>
      <c r="DZ308" t="s">
        <v>235</v>
      </c>
      <c r="EA308"/>
      <c r="EB308"/>
      <c r="ED308" s="410"/>
      <c r="EE308" s="1"/>
      <c r="EG308" s="410"/>
      <c r="EI308" s="410"/>
      <c r="EK308" s="1"/>
      <c r="EM308"/>
      <c r="EQ308" s="344"/>
      <c r="EU308" s="344"/>
      <c r="EW308" s="409"/>
      <c r="EY308" s="1"/>
      <c r="FA308">
        <v>92.4</v>
      </c>
      <c r="FB308" t="s">
        <v>225</v>
      </c>
      <c r="FC308" s="7">
        <v>107.52266003927264</v>
      </c>
      <c r="FD308" s="357" t="s">
        <v>225</v>
      </c>
      <c r="FE308" s="8">
        <v>11.730053691536916</v>
      </c>
      <c r="FF308" t="s">
        <v>237</v>
      </c>
      <c r="FH308" s="9">
        <v>325.53673247163641</v>
      </c>
      <c r="FI308" s="9" t="s">
        <v>225</v>
      </c>
      <c r="FK308" t="s">
        <v>235</v>
      </c>
      <c r="FL308">
        <v>42.5</v>
      </c>
      <c r="FM308">
        <v>101.76536626205338</v>
      </c>
      <c r="FN308" s="5" t="s">
        <v>237</v>
      </c>
      <c r="FP308" s="6">
        <v>4.25</v>
      </c>
      <c r="FQ308" t="s">
        <v>239</v>
      </c>
      <c r="FS308" t="s">
        <v>240</v>
      </c>
      <c r="FT308" t="e">
        <f>FQ308=#REF!</f>
        <v>#REF!</v>
      </c>
      <c r="FU308" s="8">
        <v>1</v>
      </c>
      <c r="FV308" s="8">
        <v>10</v>
      </c>
      <c r="FW308" s="8">
        <v>10</v>
      </c>
      <c r="FX308" s="8">
        <v>10</v>
      </c>
      <c r="FY308" s="8">
        <v>3</v>
      </c>
      <c r="FZ308">
        <f t="shared" si="4"/>
        <v>3000</v>
      </c>
      <c r="GA308" s="7" t="s">
        <v>326</v>
      </c>
      <c r="GB308" s="7" t="s">
        <v>326</v>
      </c>
      <c r="GC308" s="6">
        <v>1.5</v>
      </c>
      <c r="GD308" s="348" t="s">
        <v>1514</v>
      </c>
      <c r="GF308" s="6">
        <v>1.4166666666666668E-2</v>
      </c>
      <c r="GH308" s="7"/>
      <c r="GI308" s="441"/>
      <c r="GJ308" s="441"/>
      <c r="GK308" s="441"/>
      <c r="GL308" s="441"/>
      <c r="GM308" s="454"/>
      <c r="GN308" s="441"/>
      <c r="GO308" s="441"/>
      <c r="GP308" s="441"/>
      <c r="GQ308" s="441"/>
      <c r="GR308" s="441"/>
      <c r="GS308" s="441"/>
      <c r="GT308" s="441"/>
      <c r="GU308" s="441"/>
      <c r="GV308" s="441"/>
      <c r="GW308" s="441"/>
      <c r="GX308" s="441"/>
      <c r="GY308" s="441"/>
      <c r="GZ308" s="441"/>
      <c r="HA308" s="441"/>
      <c r="HB308" s="441"/>
      <c r="HC308" s="441"/>
      <c r="HD308" s="441"/>
      <c r="HE308" s="441"/>
      <c r="HF308" s="441"/>
      <c r="HG308" s="441"/>
      <c r="HH308" s="441"/>
      <c r="HI308" s="441"/>
      <c r="HJ308" s="441"/>
      <c r="HK308" s="441"/>
      <c r="HL308" s="441"/>
      <c r="HM308" s="441"/>
      <c r="HN308" s="441"/>
      <c r="HO308" s="441"/>
      <c r="HP308" s="441"/>
      <c r="HQ308" s="441"/>
      <c r="HR308" s="441"/>
      <c r="HS308" s="441"/>
      <c r="HT308" s="441"/>
      <c r="HU308" s="441"/>
      <c r="HV308" s="441"/>
      <c r="HW308" s="441"/>
      <c r="HX308" s="441"/>
      <c r="HY308" s="441"/>
      <c r="HZ308" s="441"/>
      <c r="IA308" s="441"/>
      <c r="IB308" s="441"/>
      <c r="IC308" s="441"/>
      <c r="ID308" s="441"/>
      <c r="IE308" s="441"/>
      <c r="IF308" s="441"/>
      <c r="IH308" t="s">
        <v>235</v>
      </c>
    </row>
    <row r="309" spans="1:242" x14ac:dyDescent="0.35">
      <c r="A309" s="310" t="s">
        <v>1811</v>
      </c>
      <c r="B309" s="313" t="s">
        <v>1812</v>
      </c>
      <c r="C309" s="310" t="s">
        <v>1813</v>
      </c>
      <c r="D309" s="316"/>
      <c r="F309" t="s">
        <v>1814</v>
      </c>
      <c r="I309" s="310" t="s">
        <v>1815</v>
      </c>
      <c r="M309" s="313"/>
      <c r="O309"/>
      <c r="P309" s="381"/>
      <c r="Q309"/>
      <c r="T309" s="8"/>
      <c r="U309"/>
      <c r="V309" s="313"/>
      <c r="W309"/>
      <c r="X309"/>
      <c r="Z309"/>
      <c r="AB309"/>
      <c r="AD309" s="8" t="s">
        <v>230</v>
      </c>
      <c r="AF309" s="8" t="s">
        <v>230</v>
      </c>
      <c r="AG309"/>
      <c r="AH309"/>
      <c r="AI309"/>
      <c r="AJ309" t="s">
        <v>221</v>
      </c>
      <c r="AK309">
        <v>0</v>
      </c>
      <c r="AL309">
        <v>0.82499999999999996</v>
      </c>
      <c r="AM309" t="s">
        <v>221</v>
      </c>
      <c r="AN309" t="s">
        <v>223</v>
      </c>
      <c r="AO309" t="s">
        <v>221</v>
      </c>
      <c r="AP309" t="s">
        <v>223</v>
      </c>
      <c r="AQ309" t="s">
        <v>221</v>
      </c>
      <c r="AR309" t="s">
        <v>225</v>
      </c>
      <c r="AS309" t="s">
        <v>221</v>
      </c>
      <c r="AT309" t="s">
        <v>223</v>
      </c>
      <c r="AU309" t="s">
        <v>220</v>
      </c>
      <c r="AV309"/>
      <c r="AW309" s="313" t="s">
        <v>220</v>
      </c>
      <c r="AX309" t="s">
        <v>226</v>
      </c>
      <c r="AY309" s="313" t="s">
        <v>220</v>
      </c>
      <c r="AZ309" s="313">
        <v>3.49E-2</v>
      </c>
      <c r="BB309" s="313" t="s">
        <v>220</v>
      </c>
      <c r="BC309">
        <v>3.3099999999999997E-2</v>
      </c>
      <c r="BD309" t="s">
        <v>220</v>
      </c>
      <c r="BE309">
        <v>2.8799999999999999E-2</v>
      </c>
      <c r="BF309" s="2" t="s">
        <v>220</v>
      </c>
      <c r="BG309" s="2" t="s">
        <v>273</v>
      </c>
      <c r="BH309" s="2" t="s">
        <v>274</v>
      </c>
      <c r="BI309" s="2" t="s">
        <v>275</v>
      </c>
      <c r="BM309"/>
      <c r="BP309" s="8"/>
      <c r="BQ309" t="s">
        <v>230</v>
      </c>
      <c r="BR309" t="s">
        <v>230</v>
      </c>
      <c r="BU309" t="s">
        <v>317</v>
      </c>
      <c r="BV309" t="s">
        <v>225</v>
      </c>
      <c r="BW309" t="s">
        <v>232</v>
      </c>
      <c r="BX309" t="s">
        <v>284</v>
      </c>
      <c r="BY309" t="s">
        <v>220</v>
      </c>
      <c r="BZ309">
        <v>0.252</v>
      </c>
      <c r="CA309" t="s">
        <v>234</v>
      </c>
      <c r="CF309" t="s">
        <v>220</v>
      </c>
      <c r="CG309">
        <v>8.1199999999999994E-2</v>
      </c>
      <c r="CH309" t="s">
        <v>257</v>
      </c>
      <c r="CI309">
        <v>0.84199999999999997</v>
      </c>
      <c r="CK309"/>
      <c r="CL309"/>
      <c r="CM309"/>
      <c r="CS309" s="8"/>
      <c r="CW309" t="s">
        <v>220</v>
      </c>
      <c r="CX309" t="s">
        <v>220</v>
      </c>
      <c r="CY309" t="s">
        <v>231</v>
      </c>
      <c r="CZ309" t="s">
        <v>220</v>
      </c>
      <c r="DA309" t="s">
        <v>220</v>
      </c>
      <c r="DB309" t="s">
        <v>220</v>
      </c>
      <c r="DC309"/>
      <c r="DD309"/>
      <c r="DE309"/>
      <c r="DF309"/>
      <c r="DG309"/>
      <c r="DH309" s="323"/>
      <c r="DI309" s="323"/>
      <c r="DJ309" s="323"/>
      <c r="DL309" t="s">
        <v>257</v>
      </c>
      <c r="DM309" t="s">
        <v>220</v>
      </c>
      <c r="DN309" t="s">
        <v>227</v>
      </c>
      <c r="DO309" t="s">
        <v>220</v>
      </c>
      <c r="DP309" t="s">
        <v>220</v>
      </c>
      <c r="DS309" s="309">
        <v>199.84200000000001</v>
      </c>
      <c r="DU309" s="309">
        <v>734.65099999999995</v>
      </c>
      <c r="DW309"/>
      <c r="DX309" t="s">
        <v>235</v>
      </c>
      <c r="DY309"/>
      <c r="DZ309" t="s">
        <v>235</v>
      </c>
      <c r="EA309"/>
      <c r="EB309"/>
      <c r="ED309" s="410"/>
      <c r="EE309" s="1"/>
      <c r="EG309" s="410"/>
      <c r="EI309" s="410"/>
      <c r="EK309" s="1"/>
      <c r="EM309"/>
      <c r="EQ309" s="344"/>
      <c r="EU309" s="344"/>
      <c r="EW309" s="409"/>
      <c r="EY309" s="1"/>
      <c r="FA309">
        <v>71.650000000000006</v>
      </c>
      <c r="FB309" t="s">
        <v>225</v>
      </c>
      <c r="FC309" s="7">
        <v>122.06748591607426</v>
      </c>
      <c r="FD309" s="357" t="s">
        <v>236</v>
      </c>
      <c r="FE309" s="8">
        <v>10.849257074936377</v>
      </c>
      <c r="FF309" t="s">
        <v>237</v>
      </c>
      <c r="FH309" s="9">
        <v>184.33168795057563</v>
      </c>
      <c r="FI309" s="9" t="s">
        <v>225</v>
      </c>
      <c r="FK309" t="s">
        <v>235</v>
      </c>
      <c r="FL309">
        <v>52.9</v>
      </c>
      <c r="FM309">
        <v>109.52165553667358</v>
      </c>
      <c r="FN309" s="5" t="s">
        <v>237</v>
      </c>
      <c r="FP309" s="6">
        <v>5.29</v>
      </c>
      <c r="FQ309" t="s">
        <v>239</v>
      </c>
      <c r="FS309" t="s">
        <v>240</v>
      </c>
      <c r="FT309" t="e">
        <f>FQ309=#REF!</f>
        <v>#REF!</v>
      </c>
      <c r="FU309" s="8">
        <v>1</v>
      </c>
      <c r="FV309" s="8">
        <v>10</v>
      </c>
      <c r="FW309" s="8">
        <v>10</v>
      </c>
      <c r="FX309" s="8">
        <v>10</v>
      </c>
      <c r="FY309" s="8">
        <v>3</v>
      </c>
      <c r="FZ309">
        <f t="shared" si="4"/>
        <v>3000</v>
      </c>
      <c r="GA309" s="7" t="s">
        <v>326</v>
      </c>
      <c r="GB309" s="7" t="s">
        <v>326</v>
      </c>
      <c r="GC309" s="6">
        <v>1.5</v>
      </c>
      <c r="GD309" s="348" t="s">
        <v>1514</v>
      </c>
      <c r="GF309" s="6">
        <v>1.7633333333333334E-2</v>
      </c>
      <c r="GH309" s="7"/>
      <c r="GI309" s="441">
        <v>0.11799999999999999</v>
      </c>
      <c r="GJ309" s="441">
        <v>0.22</v>
      </c>
      <c r="GK309" s="441">
        <v>0.35299999999999998</v>
      </c>
      <c r="GL309" s="441">
        <v>0.88200000000000001</v>
      </c>
      <c r="GM309" s="452" t="s">
        <v>262</v>
      </c>
      <c r="GN309" s="6">
        <v>0.01</v>
      </c>
      <c r="GO309" s="6">
        <v>1.8749999999999999E-2</v>
      </c>
      <c r="GP309" s="6">
        <v>0.03</v>
      </c>
      <c r="GQ309" s="6">
        <v>7.4999999999999997E-2</v>
      </c>
      <c r="GR309" s="6" t="s">
        <v>230</v>
      </c>
      <c r="GU309" t="s">
        <v>365</v>
      </c>
      <c r="GV309" t="s">
        <v>223</v>
      </c>
      <c r="GW309" t="s">
        <v>244</v>
      </c>
      <c r="GX309" t="s">
        <v>236</v>
      </c>
      <c r="GY309" t="s">
        <v>245</v>
      </c>
      <c r="HE309" t="s">
        <v>247</v>
      </c>
      <c r="HF309" t="s">
        <v>236</v>
      </c>
      <c r="HG309" t="s">
        <v>231</v>
      </c>
      <c r="HH309" t="s">
        <v>236</v>
      </c>
      <c r="HI309" t="s">
        <v>1435</v>
      </c>
      <c r="HJ309" t="s">
        <v>223</v>
      </c>
      <c r="HK309" t="s">
        <v>248</v>
      </c>
      <c r="HO309" t="s">
        <v>231</v>
      </c>
      <c r="HP309" t="s">
        <v>223</v>
      </c>
      <c r="HQ309" t="s">
        <v>231</v>
      </c>
      <c r="HR309" t="s">
        <v>223</v>
      </c>
      <c r="HU309" t="s">
        <v>231</v>
      </c>
      <c r="HV309" t="s">
        <v>223</v>
      </c>
      <c r="HW309" t="s">
        <v>506</v>
      </c>
      <c r="HX309" t="s">
        <v>236</v>
      </c>
      <c r="IA309" t="s">
        <v>231</v>
      </c>
      <c r="IB309" t="s">
        <v>250</v>
      </c>
      <c r="IC309">
        <v>0.11799999999999999</v>
      </c>
      <c r="ID309">
        <v>0.22</v>
      </c>
      <c r="IE309">
        <v>0.35299999999999998</v>
      </c>
      <c r="IF309">
        <v>0.88200000000000001</v>
      </c>
      <c r="IH309" t="s">
        <v>267</v>
      </c>
    </row>
    <row r="310" spans="1:242" hidden="1" x14ac:dyDescent="0.35">
      <c r="A310" s="310" t="s">
        <v>1816</v>
      </c>
      <c r="B310" t="s">
        <v>1817</v>
      </c>
      <c r="C310" s="310" t="s">
        <v>1818</v>
      </c>
      <c r="D310" s="316"/>
      <c r="F310" t="s">
        <v>1819</v>
      </c>
      <c r="I310" s="310" t="s">
        <v>1820</v>
      </c>
      <c r="J310" t="s">
        <v>1821</v>
      </c>
      <c r="K310" t="s">
        <v>391</v>
      </c>
      <c r="L310" s="440" t="s">
        <v>1822</v>
      </c>
      <c r="M310" s="313"/>
      <c r="O310" t="s">
        <v>414</v>
      </c>
      <c r="P310" s="381"/>
      <c r="Q310" t="s">
        <v>414</v>
      </c>
      <c r="S310" t="s">
        <v>414</v>
      </c>
      <c r="T310" s="8"/>
      <c r="U310" t="s">
        <v>414</v>
      </c>
      <c r="V310" s="313"/>
      <c r="W310" t="s">
        <v>257</v>
      </c>
      <c r="X310" t="s">
        <v>257</v>
      </c>
      <c r="Z310" t="s">
        <v>257</v>
      </c>
      <c r="AB310"/>
      <c r="AD310" s="8" t="s">
        <v>230</v>
      </c>
      <c r="AF310" s="8" t="s">
        <v>765</v>
      </c>
      <c r="AG310"/>
      <c r="AH310"/>
      <c r="AI310"/>
      <c r="AJ310" t="s">
        <v>414</v>
      </c>
      <c r="AK310">
        <v>1</v>
      </c>
      <c r="AL310">
        <v>0</v>
      </c>
      <c r="AM310" t="s">
        <v>414</v>
      </c>
      <c r="AN310" t="s">
        <v>249</v>
      </c>
      <c r="AO310" t="s">
        <v>224</v>
      </c>
      <c r="AP310"/>
      <c r="AQ310" t="s">
        <v>414</v>
      </c>
      <c r="AR310"/>
      <c r="AS310" t="s">
        <v>414</v>
      </c>
      <c r="AT310"/>
      <c r="AU310" t="s">
        <v>257</v>
      </c>
      <c r="AV310"/>
      <c r="AW310" s="313" t="s">
        <v>257</v>
      </c>
      <c r="AX310" t="s">
        <v>768</v>
      </c>
      <c r="AY310" s="313" t="s">
        <v>257</v>
      </c>
      <c r="AZ310" s="313">
        <v>0.78500000000000003</v>
      </c>
      <c r="BB310" s="313" t="s">
        <v>257</v>
      </c>
      <c r="BC310">
        <v>0.85599999999999998</v>
      </c>
      <c r="BD310" t="s">
        <v>257</v>
      </c>
      <c r="BE310">
        <v>0.66800000000000004</v>
      </c>
      <c r="BF310" s="2" t="s">
        <v>257</v>
      </c>
      <c r="BH310" s="2" t="s">
        <v>228</v>
      </c>
      <c r="BI310" s="2" t="s">
        <v>292</v>
      </c>
      <c r="BM310"/>
      <c r="BP310" s="8"/>
      <c r="BQ310" t="s">
        <v>222</v>
      </c>
      <c r="BR310" t="s">
        <v>230</v>
      </c>
      <c r="BS310" t="s">
        <v>320</v>
      </c>
      <c r="BU310" t="s">
        <v>317</v>
      </c>
      <c r="BV310" t="s">
        <v>225</v>
      </c>
      <c r="BW310" t="s">
        <v>321</v>
      </c>
      <c r="BX310" t="s">
        <v>700</v>
      </c>
      <c r="BY310" t="s">
        <v>220</v>
      </c>
      <c r="BZ310">
        <v>0.23699999999999999</v>
      </c>
      <c r="CA310" t="s">
        <v>372</v>
      </c>
      <c r="CF310" t="s">
        <v>227</v>
      </c>
      <c r="CG310">
        <v>0.58199999999999996</v>
      </c>
      <c r="CH310" t="s">
        <v>257</v>
      </c>
      <c r="CI310">
        <v>0.77100000000000002</v>
      </c>
      <c r="CK310"/>
      <c r="CL310"/>
      <c r="CM310"/>
      <c r="CS310" s="8"/>
      <c r="CW310" t="s">
        <v>227</v>
      </c>
      <c r="CX310" t="s">
        <v>257</v>
      </c>
      <c r="CY310" t="s">
        <v>231</v>
      </c>
      <c r="CZ310" t="s">
        <v>227</v>
      </c>
      <c r="DA310" t="s">
        <v>227</v>
      </c>
      <c r="DB310" t="s">
        <v>220</v>
      </c>
      <c r="DC310"/>
      <c r="DD310"/>
      <c r="DE310"/>
      <c r="DF310"/>
      <c r="DG310"/>
      <c r="DH310" s="323"/>
      <c r="DI310" s="323"/>
      <c r="DJ310" s="323"/>
      <c r="DL310" t="s">
        <v>257</v>
      </c>
      <c r="DM310" t="s">
        <v>220</v>
      </c>
      <c r="DN310" t="s">
        <v>227</v>
      </c>
      <c r="DO310" t="s">
        <v>227</v>
      </c>
      <c r="DP310" t="s">
        <v>227</v>
      </c>
      <c r="DQ310" s="333">
        <v>4.2</v>
      </c>
      <c r="DR310" s="337" t="s">
        <v>702</v>
      </c>
      <c r="DS310" s="309">
        <v>36.924999999999997</v>
      </c>
      <c r="DU310" s="309">
        <v>357.34100000000001</v>
      </c>
      <c r="DW310">
        <v>56.2</v>
      </c>
      <c r="DX310" t="s">
        <v>238</v>
      </c>
      <c r="DY310">
        <v>59.4</v>
      </c>
      <c r="DZ310" t="s">
        <v>238</v>
      </c>
      <c r="EA310"/>
      <c r="EB310"/>
      <c r="ED310" s="410"/>
      <c r="EE310" s="1"/>
      <c r="EG310" s="410"/>
      <c r="EI310" s="410"/>
      <c r="EK310" s="1"/>
      <c r="EM310"/>
      <c r="EQ310" s="344"/>
      <c r="EU310" s="344"/>
      <c r="EW310" s="409"/>
      <c r="EY310" s="1"/>
      <c r="FA310">
        <v>69.010000000000005</v>
      </c>
      <c r="FB310" t="s">
        <v>236</v>
      </c>
      <c r="FC310" s="7">
        <v>82.67991091178709</v>
      </c>
      <c r="FD310" s="357" t="s">
        <v>236</v>
      </c>
      <c r="FE310" s="8">
        <v>48.887744389414507</v>
      </c>
      <c r="FF310" t="s">
        <v>237</v>
      </c>
      <c r="FH310" s="9">
        <v>65.750642347499863</v>
      </c>
      <c r="FI310" s="9" t="s">
        <v>236</v>
      </c>
      <c r="FK310" t="s">
        <v>235</v>
      </c>
      <c r="FL310">
        <v>94.3</v>
      </c>
      <c r="FM310">
        <v>81.733481797807144</v>
      </c>
      <c r="FN310" s="419" t="s">
        <v>237</v>
      </c>
      <c r="FV310" s="8"/>
      <c r="FW310" s="8"/>
      <c r="FX310" s="8"/>
      <c r="GC310" s="7">
        <v>2.5000000000000001E-3</v>
      </c>
      <c r="GH310" s="7"/>
      <c r="GI310" s="441" t="s">
        <v>395</v>
      </c>
      <c r="GJ310" s="441" t="s">
        <v>395</v>
      </c>
      <c r="GK310" s="441" t="s">
        <v>395</v>
      </c>
      <c r="GL310" s="441" t="s">
        <v>395</v>
      </c>
      <c r="GM310" s="452"/>
      <c r="GN310" s="6" t="s">
        <v>395</v>
      </c>
      <c r="GO310" s="6" t="s">
        <v>395</v>
      </c>
      <c r="GP310" s="6" t="s">
        <v>395</v>
      </c>
      <c r="GQ310" s="6" t="s">
        <v>395</v>
      </c>
      <c r="GR310" s="6" t="s">
        <v>230</v>
      </c>
      <c r="GU310" t="s">
        <v>365</v>
      </c>
      <c r="GV310" t="s">
        <v>236</v>
      </c>
      <c r="GW310" t="s">
        <v>359</v>
      </c>
      <c r="GX310" t="s">
        <v>223</v>
      </c>
      <c r="GY310" t="s">
        <v>245</v>
      </c>
      <c r="HE310" t="s">
        <v>384</v>
      </c>
      <c r="HF310" t="s">
        <v>225</v>
      </c>
      <c r="HG310" t="s">
        <v>231</v>
      </c>
      <c r="HH310" t="s">
        <v>225</v>
      </c>
      <c r="HI310" t="s">
        <v>247</v>
      </c>
      <c r="HJ310" t="s">
        <v>223</v>
      </c>
      <c r="HK310" t="s">
        <v>266</v>
      </c>
      <c r="HL310" t="s">
        <v>231</v>
      </c>
      <c r="HM310" t="s">
        <v>231</v>
      </c>
      <c r="HO310" t="s">
        <v>231</v>
      </c>
      <c r="HP310" t="s">
        <v>249</v>
      </c>
      <c r="HQ310" t="s">
        <v>231</v>
      </c>
      <c r="HR310" t="s">
        <v>249</v>
      </c>
      <c r="HU310" t="s">
        <v>231</v>
      </c>
      <c r="HV310" t="s">
        <v>223</v>
      </c>
      <c r="HW310" t="s">
        <v>246</v>
      </c>
      <c r="HX310" t="s">
        <v>236</v>
      </c>
      <c r="IA310" t="s">
        <v>231</v>
      </c>
      <c r="IB310" t="s">
        <v>250</v>
      </c>
      <c r="IC310" t="s">
        <v>395</v>
      </c>
      <c r="ID310" t="s">
        <v>395</v>
      </c>
      <c r="IE310" t="s">
        <v>395</v>
      </c>
      <c r="IF310" t="s">
        <v>395</v>
      </c>
      <c r="IH310" t="s">
        <v>235</v>
      </c>
    </row>
    <row r="311" spans="1:242" x14ac:dyDescent="0.35">
      <c r="A311" s="310" t="s">
        <v>1823</v>
      </c>
      <c r="B311" t="s">
        <v>1824</v>
      </c>
      <c r="C311" s="310" t="s">
        <v>1825</v>
      </c>
      <c r="D311" s="316"/>
      <c r="F311" t="s">
        <v>1825</v>
      </c>
      <c r="I311" s="310" t="s">
        <v>1826</v>
      </c>
      <c r="M311" s="313"/>
      <c r="O311"/>
      <c r="P311" s="381"/>
      <c r="Q311"/>
      <c r="T311" s="8"/>
      <c r="U311"/>
      <c r="V311" s="313"/>
      <c r="W311" t="s">
        <v>220</v>
      </c>
      <c r="X311" t="s">
        <v>220</v>
      </c>
      <c r="Z311" t="s">
        <v>220</v>
      </c>
      <c r="AB311"/>
      <c r="AD311" s="8" t="s">
        <v>222</v>
      </c>
      <c r="AF311" s="8" t="s">
        <v>230</v>
      </c>
      <c r="AG311"/>
      <c r="AH311"/>
      <c r="AI311"/>
      <c r="AJ311" t="s">
        <v>221</v>
      </c>
      <c r="AK311">
        <v>0.1</v>
      </c>
      <c r="AL311">
        <v>0.3</v>
      </c>
      <c r="AM311" t="s">
        <v>414</v>
      </c>
      <c r="AN311" t="s">
        <v>236</v>
      </c>
      <c r="AO311" t="s">
        <v>224</v>
      </c>
      <c r="AP311" t="s">
        <v>225</v>
      </c>
      <c r="AQ311" t="s">
        <v>414</v>
      </c>
      <c r="AR311" t="s">
        <v>236</v>
      </c>
      <c r="AS311" t="s">
        <v>221</v>
      </c>
      <c r="AT311" t="s">
        <v>225</v>
      </c>
      <c r="AU311" t="s">
        <v>220</v>
      </c>
      <c r="AV311"/>
      <c r="AW311" s="313" t="s">
        <v>220</v>
      </c>
      <c r="AX311" t="s">
        <v>226</v>
      </c>
      <c r="AY311" s="313" t="s">
        <v>220</v>
      </c>
      <c r="AZ311" s="313">
        <v>0.14899999999999999</v>
      </c>
      <c r="BB311" s="313" t="s">
        <v>220</v>
      </c>
      <c r="BC311">
        <v>7.9699999999999993E-2</v>
      </c>
      <c r="BD311" t="s">
        <v>220</v>
      </c>
      <c r="BE311">
        <v>0.105</v>
      </c>
      <c r="BF311" s="2" t="s">
        <v>220</v>
      </c>
      <c r="BG311" s="2" t="s">
        <v>230</v>
      </c>
      <c r="BH311" s="2" t="s">
        <v>228</v>
      </c>
      <c r="BI311" s="2" t="s">
        <v>392</v>
      </c>
      <c r="BM311"/>
      <c r="BO311" t="s">
        <v>220</v>
      </c>
      <c r="BP311" s="8"/>
      <c r="BQ311" t="s">
        <v>230</v>
      </c>
      <c r="BR311" t="s">
        <v>222</v>
      </c>
      <c r="BU311" t="s">
        <v>231</v>
      </c>
      <c r="BV311" t="s">
        <v>236</v>
      </c>
      <c r="BW311" t="s">
        <v>232</v>
      </c>
      <c r="BX311" t="s">
        <v>276</v>
      </c>
      <c r="BY311" t="s">
        <v>220</v>
      </c>
      <c r="BZ311">
        <v>0.37</v>
      </c>
      <c r="CA311" t="s">
        <v>372</v>
      </c>
      <c r="CF311" t="s">
        <v>227</v>
      </c>
      <c r="CG311">
        <v>0.32800000000000001</v>
      </c>
      <c r="CH311" t="s">
        <v>227</v>
      </c>
      <c r="CI311">
        <v>0.42</v>
      </c>
      <c r="CK311"/>
      <c r="CL311"/>
      <c r="CM311"/>
      <c r="CS311" s="8"/>
      <c r="CW311" t="s">
        <v>257</v>
      </c>
      <c r="CX311" t="s">
        <v>220</v>
      </c>
      <c r="CY311" t="s">
        <v>231</v>
      </c>
      <c r="CZ311" t="s">
        <v>220</v>
      </c>
      <c r="DA311" t="s">
        <v>220</v>
      </c>
      <c r="DB311" t="s">
        <v>220</v>
      </c>
      <c r="DC311"/>
      <c r="DD311"/>
      <c r="DE311"/>
      <c r="DF311"/>
      <c r="DG311"/>
      <c r="DH311" s="323"/>
      <c r="DI311" s="323"/>
      <c r="DJ311" s="323"/>
      <c r="DL311" t="s">
        <v>257</v>
      </c>
      <c r="DM311" t="s">
        <v>220</v>
      </c>
      <c r="DN311" t="s">
        <v>227</v>
      </c>
      <c r="DO311" t="s">
        <v>227</v>
      </c>
      <c r="DP311" t="s">
        <v>227</v>
      </c>
      <c r="DS311" s="309">
        <v>5.5030000000000001</v>
      </c>
      <c r="DU311" s="309">
        <v>221.041</v>
      </c>
      <c r="DW311"/>
      <c r="DX311" t="s">
        <v>235</v>
      </c>
      <c r="DY311"/>
      <c r="DZ311" t="s">
        <v>235</v>
      </c>
      <c r="EA311"/>
      <c r="EB311"/>
      <c r="ED311" s="410"/>
      <c r="EE311" s="1"/>
      <c r="EG311" s="410"/>
      <c r="EI311" s="410"/>
      <c r="EK311" s="1"/>
      <c r="EM311"/>
      <c r="EQ311" s="344"/>
      <c r="EU311" s="344"/>
      <c r="EW311" s="409"/>
      <c r="EY311" s="1"/>
      <c r="FA311">
        <v>121.48</v>
      </c>
      <c r="FB311" t="s">
        <v>236</v>
      </c>
      <c r="FC311" s="7">
        <v>257.57280054252067</v>
      </c>
      <c r="FD311" s="357" t="s">
        <v>236</v>
      </c>
      <c r="FE311" s="8">
        <v>116.03793726139088</v>
      </c>
      <c r="FF311" t="s">
        <v>237</v>
      </c>
      <c r="FH311" s="9">
        <v>246.54715760611049</v>
      </c>
      <c r="FI311" s="9" t="s">
        <v>236</v>
      </c>
      <c r="FK311" t="s">
        <v>235</v>
      </c>
      <c r="FL311">
        <v>113</v>
      </c>
      <c r="FM311">
        <v>393.45946763408</v>
      </c>
      <c r="FN311" s="5" t="s">
        <v>237</v>
      </c>
      <c r="FP311" s="6">
        <v>11.3</v>
      </c>
      <c r="FQ311" t="s">
        <v>239</v>
      </c>
      <c r="FS311" t="s">
        <v>240</v>
      </c>
      <c r="FT311" t="e">
        <f>FQ311=#REF!</f>
        <v>#REF!</v>
      </c>
      <c r="FU311" s="8">
        <v>1</v>
      </c>
      <c r="FV311" s="8">
        <v>10</v>
      </c>
      <c r="FW311" s="8">
        <v>10</v>
      </c>
      <c r="FX311" s="8">
        <v>10</v>
      </c>
      <c r="FY311" s="8">
        <v>3</v>
      </c>
      <c r="FZ311">
        <f t="shared" si="4"/>
        <v>3000</v>
      </c>
      <c r="GA311" s="7" t="s">
        <v>326</v>
      </c>
      <c r="GB311" s="7" t="s">
        <v>326</v>
      </c>
      <c r="GC311" s="6">
        <v>1.5</v>
      </c>
      <c r="GD311" s="348" t="s">
        <v>242</v>
      </c>
      <c r="GF311" s="6">
        <v>3.7666666666666668E-2</v>
      </c>
      <c r="GH311" s="7"/>
      <c r="GI311" s="484"/>
      <c r="GJ311" s="484"/>
      <c r="GK311" s="484"/>
      <c r="GL311" s="484"/>
      <c r="GM311" s="485"/>
      <c r="GN311" s="448">
        <v>0.01</v>
      </c>
      <c r="GO311" s="448">
        <v>1.9E-2</v>
      </c>
      <c r="GP311" s="448">
        <v>0.03</v>
      </c>
      <c r="GQ311" s="448">
        <v>7.4999999999999997E-2</v>
      </c>
      <c r="GS311" s="93"/>
      <c r="GT311" s="93"/>
      <c r="GU311" s="93" t="s">
        <v>365</v>
      </c>
      <c r="GV311" s="93" t="s">
        <v>236</v>
      </c>
      <c r="GW311" s="93" t="s">
        <v>244</v>
      </c>
      <c r="GX311" s="93" t="s">
        <v>236</v>
      </c>
      <c r="GY311" s="93" t="s">
        <v>245</v>
      </c>
      <c r="GZ311" s="93" t="s">
        <v>376</v>
      </c>
      <c r="HA311" s="93"/>
      <c r="HB311" s="93" t="s">
        <v>376</v>
      </c>
      <c r="HC311" s="93"/>
      <c r="HD311" s="93"/>
      <c r="HE311" s="93" t="s">
        <v>247</v>
      </c>
      <c r="HF311" s="93" t="s">
        <v>249</v>
      </c>
      <c r="HG311" s="93" t="s">
        <v>231</v>
      </c>
      <c r="HH311" s="93" t="s">
        <v>236</v>
      </c>
      <c r="HI311" s="93" t="s">
        <v>247</v>
      </c>
      <c r="HJ311" s="93" t="s">
        <v>249</v>
      </c>
      <c r="HK311" s="93" t="s">
        <v>266</v>
      </c>
      <c r="HL311" s="93" t="s">
        <v>231</v>
      </c>
      <c r="HM311" s="93" t="s">
        <v>231</v>
      </c>
      <c r="HN311" s="93"/>
      <c r="HO311" s="93" t="s">
        <v>231</v>
      </c>
      <c r="HP311" s="93" t="s">
        <v>249</v>
      </c>
      <c r="HQ311" s="93" t="s">
        <v>231</v>
      </c>
      <c r="HR311" s="93" t="s">
        <v>249</v>
      </c>
      <c r="HS311" s="93"/>
      <c r="HT311" s="93"/>
      <c r="HU311" s="93" t="s">
        <v>231</v>
      </c>
      <c r="HV311" s="93" t="s">
        <v>236</v>
      </c>
      <c r="HW311" s="93" t="s">
        <v>506</v>
      </c>
      <c r="HX311" s="93" t="s">
        <v>236</v>
      </c>
      <c r="HY311" s="93"/>
      <c r="HZ311" s="93"/>
      <c r="IA311" s="93" t="s">
        <v>231</v>
      </c>
      <c r="IB311" s="93" t="s">
        <v>250</v>
      </c>
      <c r="IH311" t="s">
        <v>235</v>
      </c>
    </row>
    <row r="312" spans="1:242" x14ac:dyDescent="0.35">
      <c r="A312" s="310" t="s">
        <v>1827</v>
      </c>
      <c r="B312" t="s">
        <v>1828</v>
      </c>
      <c r="C312" s="310" t="s">
        <v>1829</v>
      </c>
      <c r="D312" s="316"/>
      <c r="F312" t="s">
        <v>1830</v>
      </c>
      <c r="I312" s="310" t="s">
        <v>1831</v>
      </c>
      <c r="M312" s="313"/>
      <c r="O312" t="s">
        <v>221</v>
      </c>
      <c r="P312" s="381"/>
      <c r="Q312" t="s">
        <v>221</v>
      </c>
      <c r="S312" t="s">
        <v>221</v>
      </c>
      <c r="T312" s="8"/>
      <c r="U312" t="s">
        <v>221</v>
      </c>
      <c r="V312" s="313"/>
      <c r="W312" t="s">
        <v>220</v>
      </c>
      <c r="X312" t="s">
        <v>220</v>
      </c>
      <c r="Z312" t="s">
        <v>220</v>
      </c>
      <c r="AB312" t="s">
        <v>220</v>
      </c>
      <c r="AD312" s="8" t="s">
        <v>222</v>
      </c>
      <c r="AF312" s="8" t="s">
        <v>222</v>
      </c>
      <c r="AG312"/>
      <c r="AH312" t="s">
        <v>312</v>
      </c>
      <c r="AI312"/>
      <c r="AJ312" t="s">
        <v>221</v>
      </c>
      <c r="AK312">
        <v>0</v>
      </c>
      <c r="AL312">
        <v>1</v>
      </c>
      <c r="AM312" t="s">
        <v>221</v>
      </c>
      <c r="AN312" t="s">
        <v>249</v>
      </c>
      <c r="AO312" t="s">
        <v>224</v>
      </c>
      <c r="AP312"/>
      <c r="AQ312" t="s">
        <v>221</v>
      </c>
      <c r="AR312"/>
      <c r="AS312" t="s">
        <v>221</v>
      </c>
      <c r="AT312"/>
      <c r="AU312" t="s">
        <v>220</v>
      </c>
      <c r="AV312"/>
      <c r="AW312" s="313" t="s">
        <v>220</v>
      </c>
      <c r="AX312" t="s">
        <v>226</v>
      </c>
      <c r="AY312" s="313" t="s">
        <v>220</v>
      </c>
      <c r="AZ312" s="313">
        <v>0.28499999999999998</v>
      </c>
      <c r="BB312" s="313" t="s">
        <v>220</v>
      </c>
      <c r="BC312">
        <v>0.154</v>
      </c>
      <c r="BD312" t="s">
        <v>220</v>
      </c>
      <c r="BE312">
        <v>0.26800000000000002</v>
      </c>
      <c r="BF312" s="2" t="s">
        <v>220</v>
      </c>
      <c r="BH312" s="2" t="s">
        <v>228</v>
      </c>
      <c r="BI312" s="2" t="s">
        <v>229</v>
      </c>
      <c r="BM312"/>
      <c r="BP312" s="8" t="s">
        <v>312</v>
      </c>
      <c r="BQ312" t="s">
        <v>230</v>
      </c>
      <c r="BR312" t="s">
        <v>230</v>
      </c>
      <c r="BS312" t="s">
        <v>255</v>
      </c>
      <c r="BU312" t="s">
        <v>293</v>
      </c>
      <c r="BV312" t="s">
        <v>236</v>
      </c>
      <c r="BW312" t="s">
        <v>232</v>
      </c>
      <c r="BX312" t="s">
        <v>256</v>
      </c>
      <c r="BY312" t="s">
        <v>257</v>
      </c>
      <c r="BZ312">
        <v>0.66200000000000003</v>
      </c>
      <c r="CA312" t="s">
        <v>372</v>
      </c>
      <c r="CF312" t="s">
        <v>257</v>
      </c>
      <c r="CG312">
        <v>0.54900000000000004</v>
      </c>
      <c r="CH312" t="s">
        <v>257</v>
      </c>
      <c r="CI312">
        <v>0.624</v>
      </c>
      <c r="CK312" t="s">
        <v>257</v>
      </c>
      <c r="CL312"/>
      <c r="CM312"/>
      <c r="CN312" s="2" t="s">
        <v>316</v>
      </c>
      <c r="CS312" s="8"/>
      <c r="CW312" t="s">
        <v>257</v>
      </c>
      <c r="CX312" t="s">
        <v>257</v>
      </c>
      <c r="CY312" t="s">
        <v>231</v>
      </c>
      <c r="CZ312" t="s">
        <v>220</v>
      </c>
      <c r="DA312" t="s">
        <v>220</v>
      </c>
      <c r="DB312" t="s">
        <v>227</v>
      </c>
      <c r="DC312" t="s">
        <v>257</v>
      </c>
      <c r="DD312" t="s">
        <v>257</v>
      </c>
      <c r="DE312"/>
      <c r="DF312"/>
      <c r="DG312"/>
      <c r="DH312" s="323"/>
      <c r="DI312" s="323"/>
      <c r="DJ312" s="323"/>
      <c r="DL312" t="s">
        <v>257</v>
      </c>
      <c r="DM312" t="s">
        <v>257</v>
      </c>
      <c r="DN312" t="s">
        <v>227</v>
      </c>
      <c r="DO312" t="s">
        <v>227</v>
      </c>
      <c r="DP312" t="s">
        <v>220</v>
      </c>
      <c r="DQ312" s="332" t="s">
        <v>835</v>
      </c>
      <c r="DR312" s="332" t="s">
        <v>835</v>
      </c>
      <c r="DS312" s="309">
        <v>91.727000000000004</v>
      </c>
      <c r="DU312" s="309">
        <v>352.55</v>
      </c>
      <c r="DW312">
        <v>31.2</v>
      </c>
      <c r="DX312" t="s">
        <v>238</v>
      </c>
      <c r="DY312">
        <v>26.7</v>
      </c>
      <c r="DZ312" t="s">
        <v>238</v>
      </c>
      <c r="EA312"/>
      <c r="EB312"/>
      <c r="ED312" s="410">
        <v>112</v>
      </c>
      <c r="EE312" s="1"/>
      <c r="EF312" s="8" t="s">
        <v>324</v>
      </c>
      <c r="EG312" s="410">
        <v>112</v>
      </c>
      <c r="EH312" s="8" t="s">
        <v>324</v>
      </c>
      <c r="EI312" s="410"/>
      <c r="EK312" s="1">
        <v>112</v>
      </c>
      <c r="EL312" s="8" t="s">
        <v>324</v>
      </c>
      <c r="EM312"/>
      <c r="EQ312" s="344"/>
      <c r="EU312" s="344"/>
      <c r="EW312" s="381">
        <v>1050</v>
      </c>
      <c r="EX312" s="8" t="s">
        <v>259</v>
      </c>
      <c r="EY312" s="1"/>
      <c r="FA312">
        <v>66.78</v>
      </c>
      <c r="FB312" t="s">
        <v>225</v>
      </c>
      <c r="FC312" s="7">
        <v>86.357487817038106</v>
      </c>
      <c r="FD312" s="357" t="s">
        <v>225</v>
      </c>
      <c r="FE312" s="8">
        <v>133.62877894850138</v>
      </c>
      <c r="FF312" t="s">
        <v>237</v>
      </c>
      <c r="FH312" s="9">
        <v>40.569532203604531</v>
      </c>
      <c r="FI312" s="9" t="s">
        <v>225</v>
      </c>
      <c r="FJ312">
        <v>209</v>
      </c>
      <c r="FK312" t="s">
        <v>238</v>
      </c>
      <c r="FL312">
        <v>73.099999999999994</v>
      </c>
      <c r="FM312">
        <v>248.31331052955707</v>
      </c>
      <c r="FN312" s="5" t="s">
        <v>237</v>
      </c>
      <c r="FP312" s="6">
        <v>52.5</v>
      </c>
      <c r="FQ312" t="s">
        <v>353</v>
      </c>
      <c r="FS312" t="s">
        <v>261</v>
      </c>
      <c r="FT312" t="e">
        <f>FQ312=#REF!</f>
        <v>#REF!</v>
      </c>
      <c r="FU312" s="8">
        <v>2</v>
      </c>
      <c r="FV312" s="8">
        <v>10</v>
      </c>
      <c r="FW312" s="8">
        <v>10</v>
      </c>
      <c r="FX312" s="8">
        <v>10</v>
      </c>
      <c r="FY312" s="8">
        <v>3</v>
      </c>
      <c r="FZ312">
        <f t="shared" si="4"/>
        <v>6000</v>
      </c>
      <c r="GA312" s="7" t="s">
        <v>241</v>
      </c>
      <c r="GB312" s="7" t="s">
        <v>241</v>
      </c>
      <c r="GC312" s="6">
        <v>30</v>
      </c>
      <c r="GD312" s="348" t="s">
        <v>242</v>
      </c>
      <c r="GF312" s="6">
        <v>2.4366666666666665E-2</v>
      </c>
      <c r="GH312" s="7"/>
      <c r="GI312" s="441">
        <v>1.167</v>
      </c>
      <c r="GJ312" s="441">
        <v>2.1880000000000002</v>
      </c>
      <c r="GK312" s="441">
        <v>3.5</v>
      </c>
      <c r="GL312" s="441">
        <v>8.75</v>
      </c>
      <c r="GM312" s="452" t="s">
        <v>262</v>
      </c>
      <c r="GN312" s="6">
        <v>0.2</v>
      </c>
      <c r="GO312" s="6">
        <v>0.375</v>
      </c>
      <c r="GP312" s="6">
        <v>0.6</v>
      </c>
      <c r="GQ312" s="6">
        <v>1.5</v>
      </c>
      <c r="GR312" s="6" t="s">
        <v>230</v>
      </c>
      <c r="GU312" t="s">
        <v>365</v>
      </c>
      <c r="GV312" t="s">
        <v>236</v>
      </c>
      <c r="GW312" t="s">
        <v>359</v>
      </c>
      <c r="GX312" t="s">
        <v>225</v>
      </c>
      <c r="GY312" t="s">
        <v>245</v>
      </c>
      <c r="GZ312" t="s">
        <v>376</v>
      </c>
      <c r="HB312" t="s">
        <v>376</v>
      </c>
      <c r="HE312" t="s">
        <v>247</v>
      </c>
      <c r="HF312" t="s">
        <v>249</v>
      </c>
      <c r="HG312" t="s">
        <v>231</v>
      </c>
      <c r="HH312" t="s">
        <v>223</v>
      </c>
      <c r="HI312" t="s">
        <v>247</v>
      </c>
      <c r="HJ312" t="s">
        <v>249</v>
      </c>
      <c r="HK312" t="s">
        <v>248</v>
      </c>
      <c r="HL312" t="s">
        <v>231</v>
      </c>
      <c r="HM312" t="s">
        <v>231</v>
      </c>
      <c r="HO312" t="s">
        <v>231</v>
      </c>
      <c r="HP312" t="s">
        <v>249</v>
      </c>
      <c r="HQ312" t="s">
        <v>231</v>
      </c>
      <c r="HR312" t="s">
        <v>249</v>
      </c>
      <c r="HU312" t="s">
        <v>231</v>
      </c>
      <c r="HV312" t="s">
        <v>223</v>
      </c>
      <c r="HW312" t="s">
        <v>506</v>
      </c>
      <c r="HX312" t="s">
        <v>236</v>
      </c>
      <c r="IA312" t="s">
        <v>231</v>
      </c>
      <c r="IB312" t="s">
        <v>250</v>
      </c>
      <c r="IC312">
        <v>1.167</v>
      </c>
      <c r="ID312">
        <v>2.1880000000000002</v>
      </c>
      <c r="IE312">
        <v>3.5</v>
      </c>
      <c r="IF312">
        <v>8.75</v>
      </c>
      <c r="IH312" t="s">
        <v>267</v>
      </c>
    </row>
    <row r="313" spans="1:242" ht="159.5" x14ac:dyDescent="0.35">
      <c r="A313" s="310" t="s">
        <v>537</v>
      </c>
      <c r="B313" t="s">
        <v>1832</v>
      </c>
      <c r="C313" s="310" t="s">
        <v>1833</v>
      </c>
      <c r="D313" s="316"/>
      <c r="F313" t="s">
        <v>1834</v>
      </c>
      <c r="I313" s="310" t="s">
        <v>1835</v>
      </c>
      <c r="M313" s="313"/>
      <c r="O313"/>
      <c r="P313" s="381"/>
      <c r="Q313"/>
      <c r="T313" s="8"/>
      <c r="U313"/>
      <c r="V313" s="313"/>
      <c r="W313"/>
      <c r="X313"/>
      <c r="Z313"/>
      <c r="AB313"/>
      <c r="AD313" s="8" t="s">
        <v>230</v>
      </c>
      <c r="AF313" s="8" t="s">
        <v>230</v>
      </c>
      <c r="AG313"/>
      <c r="AH313"/>
      <c r="AI313"/>
      <c r="AJ313" t="s">
        <v>221</v>
      </c>
      <c r="AK313">
        <v>0.1</v>
      </c>
      <c r="AL313">
        <v>0.3</v>
      </c>
      <c r="AM313" t="s">
        <v>414</v>
      </c>
      <c r="AN313" t="s">
        <v>236</v>
      </c>
      <c r="AO313" t="s">
        <v>221</v>
      </c>
      <c r="AP313" t="s">
        <v>225</v>
      </c>
      <c r="AQ313" t="s">
        <v>414</v>
      </c>
      <c r="AR313" t="s">
        <v>236</v>
      </c>
      <c r="AS313" t="s">
        <v>221</v>
      </c>
      <c r="AT313" t="s">
        <v>225</v>
      </c>
      <c r="AU313" t="s">
        <v>220</v>
      </c>
      <c r="AV313"/>
      <c r="AW313" s="313" t="s">
        <v>220</v>
      </c>
      <c r="AX313" t="s">
        <v>226</v>
      </c>
      <c r="AY313" s="313" t="s">
        <v>220</v>
      </c>
      <c r="AZ313" s="313">
        <v>0.151</v>
      </c>
      <c r="BB313" s="313" t="s">
        <v>220</v>
      </c>
      <c r="BC313">
        <v>7.8899999999999998E-2</v>
      </c>
      <c r="BD313" t="s">
        <v>220</v>
      </c>
      <c r="BE313">
        <v>0.111</v>
      </c>
      <c r="BF313" s="2" t="s">
        <v>220</v>
      </c>
      <c r="BG313" s="2" t="s">
        <v>653</v>
      </c>
      <c r="BH313" s="2" t="s">
        <v>274</v>
      </c>
      <c r="BI313" s="2" t="s">
        <v>275</v>
      </c>
      <c r="BM313"/>
      <c r="BP313" s="8"/>
      <c r="BQ313" t="s">
        <v>230</v>
      </c>
      <c r="BR313" t="s">
        <v>230</v>
      </c>
      <c r="BU313" t="s">
        <v>231</v>
      </c>
      <c r="BV313" t="s">
        <v>236</v>
      </c>
      <c r="BW313" t="s">
        <v>232</v>
      </c>
      <c r="BX313" t="s">
        <v>500</v>
      </c>
      <c r="BY313" t="s">
        <v>257</v>
      </c>
      <c r="BZ313">
        <v>0.53600000000000003</v>
      </c>
      <c r="CA313" t="s">
        <v>234</v>
      </c>
      <c r="CF313" t="s">
        <v>220</v>
      </c>
      <c r="CG313">
        <v>0.16</v>
      </c>
      <c r="CH313" t="s">
        <v>220</v>
      </c>
      <c r="CI313">
        <v>0.27700000000000002</v>
      </c>
      <c r="CK313"/>
      <c r="CL313"/>
      <c r="CM313"/>
      <c r="CS313" s="8"/>
      <c r="CW313" t="s">
        <v>220</v>
      </c>
      <c r="CX313" t="s">
        <v>257</v>
      </c>
      <c r="CY313" t="s">
        <v>231</v>
      </c>
      <c r="CZ313" t="s">
        <v>220</v>
      </c>
      <c r="DA313" t="s">
        <v>220</v>
      </c>
      <c r="DB313" t="s">
        <v>227</v>
      </c>
      <c r="DC313"/>
      <c r="DD313"/>
      <c r="DE313"/>
      <c r="DF313"/>
      <c r="DG313"/>
      <c r="DH313" s="323"/>
      <c r="DI313" s="323"/>
      <c r="DJ313" s="323"/>
      <c r="DL313" t="s">
        <v>220</v>
      </c>
      <c r="DM313" t="s">
        <v>220</v>
      </c>
      <c r="DN313" t="s">
        <v>227</v>
      </c>
      <c r="DO313" t="s">
        <v>257</v>
      </c>
      <c r="DP313" t="s">
        <v>257</v>
      </c>
      <c r="DS313" s="309">
        <v>86.698999999999998</v>
      </c>
      <c r="DU313" s="338">
        <v>1826.8710000000001</v>
      </c>
      <c r="DV313" s="8" t="s">
        <v>394</v>
      </c>
      <c r="DW313">
        <v>637</v>
      </c>
      <c r="DX313" t="s">
        <v>238</v>
      </c>
      <c r="DY313">
        <v>350</v>
      </c>
      <c r="DZ313" t="s">
        <v>238</v>
      </c>
      <c r="EA313"/>
      <c r="EB313"/>
      <c r="ED313" s="410"/>
      <c r="EE313" s="1"/>
      <c r="EG313" s="410"/>
      <c r="EI313" s="410"/>
      <c r="EK313" s="1"/>
      <c r="EM313"/>
      <c r="EQ313" s="344"/>
      <c r="EU313" s="344"/>
      <c r="EW313" s="409"/>
      <c r="EY313" s="1"/>
      <c r="FA313">
        <v>252.01</v>
      </c>
      <c r="FB313" t="s">
        <v>225</v>
      </c>
      <c r="FC313" s="7">
        <v>184.92686189780787</v>
      </c>
      <c r="FD313" s="357" t="s">
        <v>236</v>
      </c>
      <c r="FE313" s="8">
        <v>10742.367360154327</v>
      </c>
      <c r="FF313" t="s">
        <v>337</v>
      </c>
      <c r="FH313" s="9">
        <v>1035857.4645826829</v>
      </c>
      <c r="FI313" s="9" t="s">
        <v>236</v>
      </c>
      <c r="FJ313">
        <v>2830</v>
      </c>
      <c r="FK313" t="s">
        <v>238</v>
      </c>
      <c r="FL313">
        <v>469</v>
      </c>
      <c r="FM313">
        <v>44116.393317691327</v>
      </c>
      <c r="FN313" s="5" t="s">
        <v>337</v>
      </c>
      <c r="FP313" s="6">
        <v>46.9</v>
      </c>
      <c r="FQ313" t="s">
        <v>239</v>
      </c>
      <c r="FS313" t="s">
        <v>240</v>
      </c>
      <c r="FT313" t="e">
        <f>FQ313=#REF!</f>
        <v>#REF!</v>
      </c>
      <c r="FU313" s="8">
        <v>1</v>
      </c>
      <c r="FV313" s="8">
        <v>10</v>
      </c>
      <c r="FW313" s="8">
        <v>10</v>
      </c>
      <c r="FX313" s="8">
        <v>10</v>
      </c>
      <c r="FY313" s="8">
        <v>3</v>
      </c>
      <c r="FZ313">
        <f t="shared" si="4"/>
        <v>3000</v>
      </c>
      <c r="GA313" s="7" t="s">
        <v>326</v>
      </c>
      <c r="GB313" s="7" t="s">
        <v>326</v>
      </c>
      <c r="GC313" s="6">
        <v>1.5</v>
      </c>
      <c r="GD313" s="348" t="s">
        <v>242</v>
      </c>
      <c r="GF313" s="6">
        <v>0.15633333333333332</v>
      </c>
      <c r="GH313" s="7"/>
      <c r="GI313" s="441">
        <v>1.042</v>
      </c>
      <c r="GJ313" s="441">
        <v>1.954</v>
      </c>
      <c r="GK313" s="441">
        <v>3.1269999999999998</v>
      </c>
      <c r="GL313" s="441">
        <v>7.8170000000000002</v>
      </c>
      <c r="GM313" s="461" t="s">
        <v>790</v>
      </c>
      <c r="GN313" s="6">
        <v>0.01</v>
      </c>
      <c r="GO313" s="6">
        <v>1.8749999999999999E-2</v>
      </c>
      <c r="GP313" s="6">
        <v>0.03</v>
      </c>
      <c r="GQ313" s="6">
        <v>7.4999999999999997E-2</v>
      </c>
      <c r="GR313" s="461" t="s">
        <v>790</v>
      </c>
      <c r="GU313" t="s">
        <v>243</v>
      </c>
      <c r="GV313" t="s">
        <v>236</v>
      </c>
      <c r="GW313" t="s">
        <v>244</v>
      </c>
      <c r="GX313" t="s">
        <v>236</v>
      </c>
      <c r="GY313" t="s">
        <v>245</v>
      </c>
      <c r="HE313" t="s">
        <v>247</v>
      </c>
      <c r="HF313" t="s">
        <v>225</v>
      </c>
      <c r="HG313" t="s">
        <v>231</v>
      </c>
      <c r="HH313" t="s">
        <v>223</v>
      </c>
      <c r="HI313" t="s">
        <v>247</v>
      </c>
      <c r="HJ313" t="s">
        <v>225</v>
      </c>
      <c r="HK313" t="s">
        <v>568</v>
      </c>
      <c r="HO313" t="s">
        <v>231</v>
      </c>
      <c r="HP313" t="s">
        <v>223</v>
      </c>
      <c r="HQ313" t="s">
        <v>231</v>
      </c>
      <c r="HR313" t="s">
        <v>223</v>
      </c>
      <c r="HU313" t="s">
        <v>231</v>
      </c>
      <c r="HV313" t="s">
        <v>223</v>
      </c>
      <c r="HW313" t="s">
        <v>563</v>
      </c>
      <c r="HX313" t="s">
        <v>236</v>
      </c>
      <c r="IA313" t="s">
        <v>231</v>
      </c>
      <c r="IB313" t="s">
        <v>250</v>
      </c>
      <c r="IC313">
        <v>1.042</v>
      </c>
      <c r="ID313">
        <v>1.954</v>
      </c>
      <c r="IE313">
        <v>3.1269999999999998</v>
      </c>
      <c r="IF313">
        <v>7.8170000000000002</v>
      </c>
      <c r="IG313" s="459" t="s">
        <v>451</v>
      </c>
      <c r="IH313" t="s">
        <v>267</v>
      </c>
    </row>
    <row r="314" spans="1:242" ht="159.5" x14ac:dyDescent="0.35">
      <c r="A314" s="310" t="s">
        <v>537</v>
      </c>
      <c r="B314" t="s">
        <v>1836</v>
      </c>
      <c r="C314" s="310" t="s">
        <v>1837</v>
      </c>
      <c r="D314" s="316"/>
      <c r="F314" t="s">
        <v>1838</v>
      </c>
      <c r="I314" s="310" t="s">
        <v>1839</v>
      </c>
      <c r="M314" s="313"/>
      <c r="O314"/>
      <c r="P314" s="381"/>
      <c r="Q314"/>
      <c r="T314" s="8"/>
      <c r="U314"/>
      <c r="V314" s="313"/>
      <c r="W314"/>
      <c r="X314"/>
      <c r="Z314"/>
      <c r="AB314"/>
      <c r="AD314" s="8" t="s">
        <v>230</v>
      </c>
      <c r="AF314" s="8" t="s">
        <v>230</v>
      </c>
      <c r="AG314"/>
      <c r="AH314"/>
      <c r="AI314"/>
      <c r="AJ314" t="s">
        <v>221</v>
      </c>
      <c r="AK314">
        <v>0</v>
      </c>
      <c r="AL314">
        <v>0.6</v>
      </c>
      <c r="AM314" t="s">
        <v>221</v>
      </c>
      <c r="AN314" t="s">
        <v>225</v>
      </c>
      <c r="AO314" t="s">
        <v>221</v>
      </c>
      <c r="AP314" t="s">
        <v>225</v>
      </c>
      <c r="AQ314" t="s">
        <v>221</v>
      </c>
      <c r="AR314" t="s">
        <v>225</v>
      </c>
      <c r="AS314" t="s">
        <v>221</v>
      </c>
      <c r="AT314" t="s">
        <v>225</v>
      </c>
      <c r="AU314" t="s">
        <v>220</v>
      </c>
      <c r="AV314"/>
      <c r="AW314" s="313" t="s">
        <v>220</v>
      </c>
      <c r="AX314" t="s">
        <v>226</v>
      </c>
      <c r="AY314" s="313" t="s">
        <v>220</v>
      </c>
      <c r="AZ314" s="313">
        <v>0.15</v>
      </c>
      <c r="BB314" s="313" t="s">
        <v>220</v>
      </c>
      <c r="BC314">
        <v>7.9100000000000004E-2</v>
      </c>
      <c r="BD314" t="s">
        <v>220</v>
      </c>
      <c r="BE314">
        <v>0.10100000000000001</v>
      </c>
      <c r="BF314" s="2" t="s">
        <v>220</v>
      </c>
      <c r="BG314" s="2" t="s">
        <v>273</v>
      </c>
      <c r="BH314" s="2" t="s">
        <v>274</v>
      </c>
      <c r="BI314" s="2" t="s">
        <v>275</v>
      </c>
      <c r="BM314"/>
      <c r="BP314" s="8"/>
      <c r="BQ314" t="s">
        <v>230</v>
      </c>
      <c r="BR314" t="s">
        <v>230</v>
      </c>
      <c r="BU314" t="s">
        <v>231</v>
      </c>
      <c r="BV314" t="s">
        <v>236</v>
      </c>
      <c r="BW314" t="s">
        <v>232</v>
      </c>
      <c r="BX314" t="s">
        <v>500</v>
      </c>
      <c r="BY314" t="s">
        <v>257</v>
      </c>
      <c r="BZ314">
        <v>0.51900000000000002</v>
      </c>
      <c r="CA314" t="s">
        <v>234</v>
      </c>
      <c r="CF314" t="s">
        <v>220</v>
      </c>
      <c r="CG314">
        <v>0.114</v>
      </c>
      <c r="CH314" t="s">
        <v>220</v>
      </c>
      <c r="CI314">
        <v>0.23499999999999999</v>
      </c>
      <c r="CK314"/>
      <c r="CL314"/>
      <c r="CM314"/>
      <c r="CS314" s="8"/>
      <c r="CW314" t="s">
        <v>220</v>
      </c>
      <c r="CX314" t="s">
        <v>257</v>
      </c>
      <c r="CY314" t="s">
        <v>317</v>
      </c>
      <c r="CZ314" t="s">
        <v>220</v>
      </c>
      <c r="DA314" t="s">
        <v>220</v>
      </c>
      <c r="DB314" t="s">
        <v>227</v>
      </c>
      <c r="DC314"/>
      <c r="DD314"/>
      <c r="DE314"/>
      <c r="DF314"/>
      <c r="DG314"/>
      <c r="DH314" s="323"/>
      <c r="DI314" s="323"/>
      <c r="DJ314" s="323"/>
      <c r="DL314" t="s">
        <v>220</v>
      </c>
      <c r="DM314" t="s">
        <v>220</v>
      </c>
      <c r="DN314" t="s">
        <v>227</v>
      </c>
      <c r="DO314" t="s">
        <v>257</v>
      </c>
      <c r="DP314" t="s">
        <v>257</v>
      </c>
      <c r="DS314" s="338">
        <v>123.31699999999999</v>
      </c>
      <c r="DT314" s="8" t="s">
        <v>394</v>
      </c>
      <c r="DU314" s="338">
        <v>2124.5030000000002</v>
      </c>
      <c r="DV314" s="8" t="s">
        <v>394</v>
      </c>
      <c r="DW314">
        <v>729</v>
      </c>
      <c r="DX314" t="s">
        <v>238</v>
      </c>
      <c r="DY314">
        <v>1100</v>
      </c>
      <c r="DZ314" t="s">
        <v>238</v>
      </c>
      <c r="EA314"/>
      <c r="EB314"/>
      <c r="ED314" s="410"/>
      <c r="EE314" s="1"/>
      <c r="EG314" s="410"/>
      <c r="EI314" s="410"/>
      <c r="EK314" s="1"/>
      <c r="EM314"/>
      <c r="EQ314" s="344"/>
      <c r="EU314" s="344"/>
      <c r="EW314" s="409"/>
      <c r="EY314" s="1"/>
      <c r="FA314">
        <v>3654.75</v>
      </c>
      <c r="FB314" t="s">
        <v>236</v>
      </c>
      <c r="FC314" s="7">
        <v>554.24272338339858</v>
      </c>
      <c r="FD314" s="357" t="s">
        <v>236</v>
      </c>
      <c r="FE314" s="8">
        <v>913061.4352931761</v>
      </c>
      <c r="FF314" t="s">
        <v>237</v>
      </c>
      <c r="FH314" s="9">
        <v>331131.12148259126</v>
      </c>
      <c r="FI314" s="9" t="s">
        <v>236</v>
      </c>
      <c r="FJ314">
        <v>3560</v>
      </c>
      <c r="FK314" t="s">
        <v>238</v>
      </c>
      <c r="FL314">
        <v>805</v>
      </c>
      <c r="FM314">
        <v>16177075.038368559</v>
      </c>
      <c r="FN314" s="5" t="s">
        <v>237</v>
      </c>
      <c r="FP314" s="6">
        <v>80.5</v>
      </c>
      <c r="FQ314" t="s">
        <v>239</v>
      </c>
      <c r="FS314" t="s">
        <v>240</v>
      </c>
      <c r="FT314" t="e">
        <f>FQ314=#REF!</f>
        <v>#REF!</v>
      </c>
      <c r="FU314" s="8">
        <v>1</v>
      </c>
      <c r="FV314" s="8">
        <v>10</v>
      </c>
      <c r="FW314" s="8">
        <v>10</v>
      </c>
      <c r="FX314" s="8">
        <v>10</v>
      </c>
      <c r="FY314" s="8">
        <v>3</v>
      </c>
      <c r="FZ314">
        <f t="shared" si="4"/>
        <v>3000</v>
      </c>
      <c r="GA314" s="7" t="s">
        <v>326</v>
      </c>
      <c r="GB314" s="7" t="s">
        <v>326</v>
      </c>
      <c r="GC314" s="6">
        <v>1.5</v>
      </c>
      <c r="GD314" s="348" t="s">
        <v>242</v>
      </c>
      <c r="GF314" s="6">
        <v>0.26833333333333331</v>
      </c>
      <c r="GH314" s="7"/>
      <c r="GI314" s="441" t="s">
        <v>395</v>
      </c>
      <c r="GJ314" s="441" t="s">
        <v>395</v>
      </c>
      <c r="GK314" s="441" t="s">
        <v>395</v>
      </c>
      <c r="GL314" s="441" t="s">
        <v>395</v>
      </c>
      <c r="GM314" s="461" t="s">
        <v>790</v>
      </c>
      <c r="GN314" s="6">
        <v>0.01</v>
      </c>
      <c r="GO314" s="6">
        <v>1.8749999999999999E-2</v>
      </c>
      <c r="GP314" s="6">
        <v>0.03</v>
      </c>
      <c r="GQ314" s="6">
        <v>7.4999999999999997E-2</v>
      </c>
      <c r="GR314" s="461" t="s">
        <v>790</v>
      </c>
      <c r="GU314" t="s">
        <v>243</v>
      </c>
      <c r="GV314" t="s">
        <v>236</v>
      </c>
      <c r="GW314" t="s">
        <v>244</v>
      </c>
      <c r="GX314" t="s">
        <v>236</v>
      </c>
      <c r="GY314" t="s">
        <v>245</v>
      </c>
      <c r="HE314" t="s">
        <v>247</v>
      </c>
      <c r="HF314" t="s">
        <v>223</v>
      </c>
      <c r="HG314" t="s">
        <v>231</v>
      </c>
      <c r="HH314" t="s">
        <v>225</v>
      </c>
      <c r="HI314" t="s">
        <v>247</v>
      </c>
      <c r="HJ314" t="s">
        <v>225</v>
      </c>
      <c r="HK314" t="s">
        <v>568</v>
      </c>
      <c r="HO314" t="s">
        <v>231</v>
      </c>
      <c r="HP314" t="s">
        <v>223</v>
      </c>
      <c r="HQ314" t="s">
        <v>231</v>
      </c>
      <c r="HR314" t="s">
        <v>223</v>
      </c>
      <c r="HU314" t="s">
        <v>231</v>
      </c>
      <c r="HV314" t="s">
        <v>223</v>
      </c>
      <c r="HW314" t="s">
        <v>563</v>
      </c>
      <c r="HX314" t="s">
        <v>236</v>
      </c>
      <c r="IA314" t="s">
        <v>231</v>
      </c>
      <c r="IB314" t="s">
        <v>250</v>
      </c>
      <c r="IC314" t="s">
        <v>395</v>
      </c>
      <c r="ID314" t="s">
        <v>395</v>
      </c>
      <c r="IE314" t="s">
        <v>395</v>
      </c>
      <c r="IF314" t="s">
        <v>395</v>
      </c>
      <c r="IG314" s="459" t="s">
        <v>451</v>
      </c>
      <c r="IH314" t="s">
        <v>235</v>
      </c>
    </row>
    <row r="315" spans="1:242" ht="159.5" x14ac:dyDescent="0.35">
      <c r="A315" s="310" t="s">
        <v>537</v>
      </c>
      <c r="B315" t="s">
        <v>1840</v>
      </c>
      <c r="C315" s="310" t="s">
        <v>1841</v>
      </c>
      <c r="D315" s="316"/>
      <c r="F315" t="s">
        <v>1842</v>
      </c>
      <c r="I315" s="310" t="s">
        <v>1839</v>
      </c>
      <c r="M315" s="313"/>
      <c r="O315"/>
      <c r="P315" s="382"/>
      <c r="Q315"/>
      <c r="U315"/>
      <c r="V315" s="313"/>
      <c r="W315"/>
      <c r="X315"/>
      <c r="Z315"/>
      <c r="AB315"/>
      <c r="AD315" s="8" t="s">
        <v>230</v>
      </c>
      <c r="AF315" s="8" t="s">
        <v>230</v>
      </c>
      <c r="AG315"/>
      <c r="AH315"/>
      <c r="AI315"/>
      <c r="AJ315" t="s">
        <v>221</v>
      </c>
      <c r="AK315">
        <v>0</v>
      </c>
      <c r="AL315">
        <v>0.6</v>
      </c>
      <c r="AM315" t="s">
        <v>221</v>
      </c>
      <c r="AN315" t="s">
        <v>225</v>
      </c>
      <c r="AO315" t="s">
        <v>221</v>
      </c>
      <c r="AP315" t="s">
        <v>225</v>
      </c>
      <c r="AQ315" t="s">
        <v>221</v>
      </c>
      <c r="AR315" t="s">
        <v>225</v>
      </c>
      <c r="AS315" t="s">
        <v>221</v>
      </c>
      <c r="AT315" t="s">
        <v>225</v>
      </c>
      <c r="AU315" t="s">
        <v>220</v>
      </c>
      <c r="AV315"/>
      <c r="AW315" s="313" t="s">
        <v>220</v>
      </c>
      <c r="AX315" t="s">
        <v>226</v>
      </c>
      <c r="AY315" s="313" t="s">
        <v>220</v>
      </c>
      <c r="AZ315" s="313">
        <v>0.15</v>
      </c>
      <c r="BB315" s="313" t="s">
        <v>220</v>
      </c>
      <c r="BC315">
        <v>7.9100000000000004E-2</v>
      </c>
      <c r="BD315" t="s">
        <v>220</v>
      </c>
      <c r="BE315">
        <v>0.10100000000000001</v>
      </c>
      <c r="BF315" s="2" t="s">
        <v>220</v>
      </c>
      <c r="BG315" s="2" t="s">
        <v>273</v>
      </c>
      <c r="BH315" s="2" t="s">
        <v>274</v>
      </c>
      <c r="BI315" s="2" t="s">
        <v>275</v>
      </c>
      <c r="BM315"/>
      <c r="BP315" s="8"/>
      <c r="BQ315" t="s">
        <v>230</v>
      </c>
      <c r="BR315" t="s">
        <v>230</v>
      </c>
      <c r="BU315" t="s">
        <v>231</v>
      </c>
      <c r="BV315" t="s">
        <v>236</v>
      </c>
      <c r="BW315" t="s">
        <v>232</v>
      </c>
      <c r="BX315" t="s">
        <v>500</v>
      </c>
      <c r="BY315" t="s">
        <v>257</v>
      </c>
      <c r="BZ315">
        <v>0.51900000000000002</v>
      </c>
      <c r="CA315" t="s">
        <v>234</v>
      </c>
      <c r="CF315" t="s">
        <v>220</v>
      </c>
      <c r="CG315">
        <v>0.114</v>
      </c>
      <c r="CH315" t="s">
        <v>220</v>
      </c>
      <c r="CI315">
        <v>0.23499999999999999</v>
      </c>
      <c r="CK315"/>
      <c r="CL315"/>
      <c r="CM315"/>
      <c r="CS315" s="8"/>
      <c r="CW315" t="s">
        <v>220</v>
      </c>
      <c r="CX315" t="s">
        <v>257</v>
      </c>
      <c r="CY315" t="s">
        <v>317</v>
      </c>
      <c r="CZ315" t="s">
        <v>220</v>
      </c>
      <c r="DA315" t="s">
        <v>220</v>
      </c>
      <c r="DB315" t="s">
        <v>227</v>
      </c>
      <c r="DC315"/>
      <c r="DD315"/>
      <c r="DE315"/>
      <c r="DF315"/>
      <c r="DG315"/>
      <c r="DH315" s="323"/>
      <c r="DI315" s="323"/>
      <c r="DJ315" s="323"/>
      <c r="DL315" t="s">
        <v>220</v>
      </c>
      <c r="DM315" t="s">
        <v>220</v>
      </c>
      <c r="DN315" t="s">
        <v>227</v>
      </c>
      <c r="DO315" t="s">
        <v>257</v>
      </c>
      <c r="DP315" t="s">
        <v>257</v>
      </c>
      <c r="DS315" s="338">
        <v>114.94799999999999</v>
      </c>
      <c r="DT315" s="8" t="s">
        <v>394</v>
      </c>
      <c r="DU315" s="338">
        <v>2110.277</v>
      </c>
      <c r="DV315" s="8" t="s">
        <v>394</v>
      </c>
      <c r="DW315">
        <v>779</v>
      </c>
      <c r="DX315" t="s">
        <v>238</v>
      </c>
      <c r="DY315">
        <v>451</v>
      </c>
      <c r="DZ315" t="s">
        <v>238</v>
      </c>
      <c r="EA315"/>
      <c r="EB315"/>
      <c r="ED315" s="410"/>
      <c r="EE315" s="1"/>
      <c r="EG315" s="410"/>
      <c r="EI315" s="410"/>
      <c r="EK315" s="1"/>
      <c r="EM315"/>
      <c r="EQ315" s="344"/>
      <c r="EU315" s="344"/>
      <c r="EW315" s="409"/>
      <c r="EY315" s="1"/>
      <c r="FA315">
        <v>3654.75</v>
      </c>
      <c r="FB315" t="s">
        <v>236</v>
      </c>
      <c r="FC315" s="7">
        <v>554.24272338339858</v>
      </c>
      <c r="FD315" s="357" t="s">
        <v>236</v>
      </c>
      <c r="FE315" s="8">
        <v>913061.4352931761</v>
      </c>
      <c r="FF315" t="s">
        <v>237</v>
      </c>
      <c r="FH315" s="9">
        <v>331131.12148259126</v>
      </c>
      <c r="FI315" s="9" t="s">
        <v>236</v>
      </c>
      <c r="FJ315">
        <v>3450</v>
      </c>
      <c r="FK315" t="s">
        <v>238</v>
      </c>
      <c r="FL315">
        <v>805</v>
      </c>
      <c r="FM315">
        <v>16177075.038368559</v>
      </c>
      <c r="FN315" s="5" t="s">
        <v>237</v>
      </c>
      <c r="FP315" s="6">
        <v>80.5</v>
      </c>
      <c r="FQ315" t="s">
        <v>239</v>
      </c>
      <c r="FS315" t="s">
        <v>240</v>
      </c>
      <c r="FT315" t="e">
        <f>FQ315=#REF!</f>
        <v>#REF!</v>
      </c>
      <c r="FU315" s="8">
        <v>1</v>
      </c>
      <c r="FV315" s="8">
        <v>10</v>
      </c>
      <c r="FW315" s="8">
        <v>10</v>
      </c>
      <c r="FX315" s="8">
        <v>10</v>
      </c>
      <c r="FY315" s="8">
        <v>3</v>
      </c>
      <c r="FZ315">
        <f t="shared" ref="FZ315:FZ378" si="5">FU315*FV315*FW315*FX315*FY315</f>
        <v>3000</v>
      </c>
      <c r="GA315" s="7" t="s">
        <v>326</v>
      </c>
      <c r="GB315" s="7" t="s">
        <v>326</v>
      </c>
      <c r="GC315" s="6">
        <v>1.5</v>
      </c>
      <c r="GD315" s="348" t="s">
        <v>242</v>
      </c>
      <c r="GF315" s="6">
        <v>0.26833333333333331</v>
      </c>
      <c r="GH315" s="7"/>
      <c r="GI315" s="441" t="s">
        <v>395</v>
      </c>
      <c r="GJ315" s="441" t="s">
        <v>395</v>
      </c>
      <c r="GK315" s="441" t="s">
        <v>395</v>
      </c>
      <c r="GL315" s="441" t="s">
        <v>395</v>
      </c>
      <c r="GM315" s="461" t="s">
        <v>790</v>
      </c>
      <c r="GN315" s="6">
        <v>0.01</v>
      </c>
      <c r="GO315" s="6">
        <v>1.8749999999999999E-2</v>
      </c>
      <c r="GP315" s="6">
        <v>0.03</v>
      </c>
      <c r="GQ315" s="6">
        <v>7.4999999999999997E-2</v>
      </c>
      <c r="GR315" s="461" t="s">
        <v>790</v>
      </c>
      <c r="GU315" t="s">
        <v>243</v>
      </c>
      <c r="GV315" t="s">
        <v>236</v>
      </c>
      <c r="GW315" t="s">
        <v>244</v>
      </c>
      <c r="GX315" t="s">
        <v>236</v>
      </c>
      <c r="GY315" t="s">
        <v>245</v>
      </c>
      <c r="HE315" t="s">
        <v>247</v>
      </c>
      <c r="HF315" t="s">
        <v>223</v>
      </c>
      <c r="HG315" t="s">
        <v>231</v>
      </c>
      <c r="HH315" t="s">
        <v>225</v>
      </c>
      <c r="HI315" t="s">
        <v>247</v>
      </c>
      <c r="HJ315" t="s">
        <v>225</v>
      </c>
      <c r="HK315" t="s">
        <v>568</v>
      </c>
      <c r="HO315" t="s">
        <v>231</v>
      </c>
      <c r="HP315" t="s">
        <v>223</v>
      </c>
      <c r="HQ315" t="s">
        <v>231</v>
      </c>
      <c r="HR315" t="s">
        <v>223</v>
      </c>
      <c r="HU315" t="s">
        <v>231</v>
      </c>
      <c r="HV315" t="s">
        <v>223</v>
      </c>
      <c r="HW315" t="s">
        <v>563</v>
      </c>
      <c r="HX315" t="s">
        <v>236</v>
      </c>
      <c r="IA315" t="s">
        <v>231</v>
      </c>
      <c r="IB315" t="s">
        <v>250</v>
      </c>
      <c r="IC315" t="s">
        <v>395</v>
      </c>
      <c r="ID315" t="s">
        <v>395</v>
      </c>
      <c r="IE315" t="s">
        <v>395</v>
      </c>
      <c r="IF315" t="s">
        <v>395</v>
      </c>
      <c r="IG315" s="459" t="s">
        <v>451</v>
      </c>
      <c r="IH315" t="s">
        <v>235</v>
      </c>
    </row>
    <row r="316" spans="1:242" x14ac:dyDescent="0.35">
      <c r="A316" s="310" t="s">
        <v>1843</v>
      </c>
      <c r="B316" t="s">
        <v>1844</v>
      </c>
      <c r="C316" s="310" t="s">
        <v>1845</v>
      </c>
      <c r="D316" s="316"/>
      <c r="F316" t="s">
        <v>1846</v>
      </c>
      <c r="I316" s="310" t="s">
        <v>1847</v>
      </c>
      <c r="M316" s="313" t="s">
        <v>1848</v>
      </c>
      <c r="O316"/>
      <c r="P316" s="381"/>
      <c r="Q316"/>
      <c r="T316" s="8"/>
      <c r="U316" t="s">
        <v>221</v>
      </c>
      <c r="V316" s="313"/>
      <c r="W316" t="s">
        <v>220</v>
      </c>
      <c r="X316" t="s">
        <v>220</v>
      </c>
      <c r="Z316" t="s">
        <v>220</v>
      </c>
      <c r="AB316"/>
      <c r="AD316" s="8" t="s">
        <v>222</v>
      </c>
      <c r="AF316" s="8" t="s">
        <v>222</v>
      </c>
      <c r="AG316"/>
      <c r="AH316"/>
      <c r="AI316"/>
      <c r="AJ316" t="s">
        <v>221</v>
      </c>
      <c r="AK316">
        <v>0</v>
      </c>
      <c r="AL316">
        <v>1</v>
      </c>
      <c r="AM316" t="s">
        <v>221</v>
      </c>
      <c r="AN316" t="s">
        <v>225</v>
      </c>
      <c r="AO316" t="s">
        <v>221</v>
      </c>
      <c r="AP316" t="s">
        <v>225</v>
      </c>
      <c r="AQ316" t="s">
        <v>221</v>
      </c>
      <c r="AR316" t="s">
        <v>236</v>
      </c>
      <c r="AS316" t="s">
        <v>221</v>
      </c>
      <c r="AT316"/>
      <c r="AU316" t="s">
        <v>220</v>
      </c>
      <c r="AV316"/>
      <c r="AW316" s="313" t="s">
        <v>220</v>
      </c>
      <c r="AX316" t="s">
        <v>226</v>
      </c>
      <c r="AY316" s="313" t="s">
        <v>220</v>
      </c>
      <c r="AZ316" s="313">
        <v>0.48499999999999999</v>
      </c>
      <c r="BB316" s="313" t="s">
        <v>220</v>
      </c>
      <c r="BC316">
        <v>0.53200000000000003</v>
      </c>
      <c r="BD316" t="s">
        <v>220</v>
      </c>
      <c r="BE316">
        <v>0.29699999999999999</v>
      </c>
      <c r="BF316" s="2" t="s">
        <v>220</v>
      </c>
      <c r="BH316" s="2" t="s">
        <v>228</v>
      </c>
      <c r="BI316" s="2" t="s">
        <v>229</v>
      </c>
      <c r="BM316"/>
      <c r="BP316" s="8"/>
      <c r="BQ316" t="s">
        <v>230</v>
      </c>
      <c r="BR316" t="s">
        <v>230</v>
      </c>
      <c r="BU316" t="s">
        <v>293</v>
      </c>
      <c r="BV316" t="s">
        <v>236</v>
      </c>
      <c r="BW316" t="s">
        <v>293</v>
      </c>
      <c r="BX316" t="s">
        <v>458</v>
      </c>
      <c r="BY316" t="s">
        <v>220</v>
      </c>
      <c r="BZ316">
        <v>0.33</v>
      </c>
      <c r="CA316" t="s">
        <v>234</v>
      </c>
      <c r="CC316" t="s">
        <v>220</v>
      </c>
      <c r="CD316" t="s">
        <v>220</v>
      </c>
      <c r="CF316" t="s">
        <v>220</v>
      </c>
      <c r="CG316">
        <v>0.53200000000000003</v>
      </c>
      <c r="CH316" t="s">
        <v>220</v>
      </c>
      <c r="CI316">
        <v>0.27700000000000002</v>
      </c>
      <c r="CK316"/>
      <c r="CL316"/>
      <c r="CM316"/>
      <c r="CS316" s="8"/>
      <c r="CW316" t="s">
        <v>220</v>
      </c>
      <c r="CX316" t="s">
        <v>227</v>
      </c>
      <c r="CY316" t="s">
        <v>231</v>
      </c>
      <c r="CZ316" t="s">
        <v>227</v>
      </c>
      <c r="DA316" t="s">
        <v>227</v>
      </c>
      <c r="DB316" t="s">
        <v>227</v>
      </c>
      <c r="DC316"/>
      <c r="DD316"/>
      <c r="DE316"/>
      <c r="DF316"/>
      <c r="DG316"/>
      <c r="DH316" s="323"/>
      <c r="DI316" s="323"/>
      <c r="DJ316" s="323"/>
      <c r="DL316" t="s">
        <v>257</v>
      </c>
      <c r="DM316" t="s">
        <v>257</v>
      </c>
      <c r="DN316" t="s">
        <v>227</v>
      </c>
      <c r="DO316" t="s">
        <v>220</v>
      </c>
      <c r="DP316" t="s">
        <v>220</v>
      </c>
      <c r="DS316" s="309">
        <v>23.372</v>
      </c>
      <c r="DU316" s="309">
        <v>12.763999999999999</v>
      </c>
      <c r="DW316">
        <v>24.6</v>
      </c>
      <c r="DX316" t="s">
        <v>238</v>
      </c>
      <c r="DY316"/>
      <c r="DZ316" t="s">
        <v>235</v>
      </c>
      <c r="EA316"/>
      <c r="EB316"/>
      <c r="ED316" s="410"/>
      <c r="EE316" s="1"/>
      <c r="EG316" s="410"/>
      <c r="EI316" s="410"/>
      <c r="EK316" s="1"/>
      <c r="EM316"/>
      <c r="EQ316" s="344"/>
      <c r="EU316" s="344"/>
      <c r="EW316" s="409"/>
      <c r="EY316" s="1"/>
      <c r="FA316">
        <v>6.25</v>
      </c>
      <c r="FB316" t="s">
        <v>236</v>
      </c>
      <c r="FC316" s="7">
        <v>57.213695465232647</v>
      </c>
      <c r="FD316" s="357" t="s">
        <v>236</v>
      </c>
      <c r="FE316" s="8">
        <v>12.491080292324851</v>
      </c>
      <c r="FF316" t="s">
        <v>337</v>
      </c>
      <c r="FH316" s="9">
        <v>69.791093019993454</v>
      </c>
      <c r="FI316" s="9" t="s">
        <v>236</v>
      </c>
      <c r="FJ316">
        <v>54.6</v>
      </c>
      <c r="FK316" t="s">
        <v>238</v>
      </c>
      <c r="FL316">
        <v>22</v>
      </c>
      <c r="FM316">
        <v>124.2796438440915</v>
      </c>
      <c r="FN316" s="5" t="s">
        <v>337</v>
      </c>
      <c r="FP316" s="6">
        <v>2.2000000000000002</v>
      </c>
      <c r="FQ316" t="s">
        <v>239</v>
      </c>
      <c r="FS316" t="s">
        <v>240</v>
      </c>
      <c r="FT316" t="e">
        <f>FQ316=#REF!</f>
        <v>#REF!</v>
      </c>
      <c r="FU316" s="8">
        <v>1</v>
      </c>
      <c r="FV316" s="8">
        <v>10</v>
      </c>
      <c r="FW316" s="8">
        <v>10</v>
      </c>
      <c r="FX316" s="8">
        <v>10</v>
      </c>
      <c r="FY316" s="8">
        <v>3</v>
      </c>
      <c r="FZ316">
        <f t="shared" si="5"/>
        <v>3000</v>
      </c>
      <c r="GA316" s="7" t="s">
        <v>326</v>
      </c>
      <c r="GB316" s="7" t="s">
        <v>326</v>
      </c>
      <c r="GC316" s="6">
        <v>1.5</v>
      </c>
      <c r="GD316" s="348" t="s">
        <v>242</v>
      </c>
      <c r="GF316" s="6">
        <v>7.3333333333333341E-3</v>
      </c>
      <c r="GH316" s="7"/>
      <c r="GI316" s="441">
        <v>4.9000000000000002E-2</v>
      </c>
      <c r="GJ316" s="441">
        <v>9.1999999999999998E-2</v>
      </c>
      <c r="GK316" s="441">
        <v>0.14699999999999999</v>
      </c>
      <c r="GL316" s="441">
        <v>0.36699999999999999</v>
      </c>
      <c r="GM316" s="452" t="s">
        <v>262</v>
      </c>
      <c r="GN316" s="6">
        <v>0.01</v>
      </c>
      <c r="GO316" s="6">
        <v>1.8749999999999999E-2</v>
      </c>
      <c r="GP316" s="6">
        <v>0.03</v>
      </c>
      <c r="GQ316" s="6">
        <v>7.4999999999999997E-2</v>
      </c>
      <c r="GR316" s="6" t="s">
        <v>230</v>
      </c>
      <c r="GU316" t="s">
        <v>243</v>
      </c>
      <c r="GV316" t="s">
        <v>236</v>
      </c>
      <c r="GW316" t="s">
        <v>244</v>
      </c>
      <c r="GX316" t="s">
        <v>236</v>
      </c>
      <c r="GY316" t="s">
        <v>245</v>
      </c>
      <c r="GZ316" t="s">
        <v>376</v>
      </c>
      <c r="HB316" t="s">
        <v>376</v>
      </c>
      <c r="HE316" t="s">
        <v>247</v>
      </c>
      <c r="HF316" t="s">
        <v>249</v>
      </c>
      <c r="HG316" t="s">
        <v>231</v>
      </c>
      <c r="HH316" t="s">
        <v>236</v>
      </c>
      <c r="HI316" t="s">
        <v>247</v>
      </c>
      <c r="HJ316" t="s">
        <v>249</v>
      </c>
      <c r="HK316" t="s">
        <v>248</v>
      </c>
      <c r="HL316" t="s">
        <v>231</v>
      </c>
      <c r="HM316" t="s">
        <v>231</v>
      </c>
      <c r="HO316" t="s">
        <v>231</v>
      </c>
      <c r="HP316" t="s">
        <v>249</v>
      </c>
      <c r="HQ316" t="s">
        <v>231</v>
      </c>
      <c r="HR316" t="s">
        <v>249</v>
      </c>
      <c r="HS316" t="s">
        <v>231</v>
      </c>
      <c r="HT316" t="s">
        <v>231</v>
      </c>
      <c r="HU316" t="s">
        <v>231</v>
      </c>
      <c r="HV316" t="s">
        <v>249</v>
      </c>
      <c r="HW316" t="s">
        <v>506</v>
      </c>
      <c r="HX316" t="s">
        <v>249</v>
      </c>
      <c r="IA316" t="s">
        <v>231</v>
      </c>
      <c r="IB316" t="s">
        <v>250</v>
      </c>
      <c r="IC316">
        <v>4.9000000000000002E-2</v>
      </c>
      <c r="ID316">
        <v>9.1999999999999998E-2</v>
      </c>
      <c r="IE316">
        <v>0.14699999999999999</v>
      </c>
      <c r="IF316">
        <v>0.36699999999999999</v>
      </c>
      <c r="IH316" t="s">
        <v>267</v>
      </c>
    </row>
    <row r="317" spans="1:242" x14ac:dyDescent="0.35">
      <c r="A317" s="310" t="s">
        <v>1849</v>
      </c>
      <c r="B317" t="s">
        <v>1850</v>
      </c>
      <c r="C317" s="310" t="s">
        <v>1851</v>
      </c>
      <c r="D317" s="316"/>
      <c r="F317" t="s">
        <v>1852</v>
      </c>
      <c r="I317" s="310" t="s">
        <v>1853</v>
      </c>
      <c r="J317" t="s">
        <v>390</v>
      </c>
      <c r="K317" t="s">
        <v>391</v>
      </c>
      <c r="M317" s="313"/>
      <c r="O317"/>
      <c r="P317" s="381"/>
      <c r="Q317"/>
      <c r="T317" s="8"/>
      <c r="U317"/>
      <c r="V317" s="313"/>
      <c r="W317" t="s">
        <v>301</v>
      </c>
      <c r="X317"/>
      <c r="Z317"/>
      <c r="AB317"/>
      <c r="AD317" s="8" t="s">
        <v>222</v>
      </c>
      <c r="AF317" s="8" t="s">
        <v>230</v>
      </c>
      <c r="AG317"/>
      <c r="AH317"/>
      <c r="AI317"/>
      <c r="AJ317" t="s">
        <v>221</v>
      </c>
      <c r="AK317">
        <v>0</v>
      </c>
      <c r="AL317">
        <v>0.3</v>
      </c>
      <c r="AM317" t="s">
        <v>221</v>
      </c>
      <c r="AN317" t="s">
        <v>236</v>
      </c>
      <c r="AO317" t="s">
        <v>224</v>
      </c>
      <c r="AP317" t="s">
        <v>236</v>
      </c>
      <c r="AQ317" t="s">
        <v>221</v>
      </c>
      <c r="AR317" t="s">
        <v>236</v>
      </c>
      <c r="AS317" t="s">
        <v>221</v>
      </c>
      <c r="AT317" t="s">
        <v>225</v>
      </c>
      <c r="AU317" t="s">
        <v>220</v>
      </c>
      <c r="AV317"/>
      <c r="AW317" s="313" t="s">
        <v>220</v>
      </c>
      <c r="AX317" t="s">
        <v>226</v>
      </c>
      <c r="AY317" s="313" t="s">
        <v>220</v>
      </c>
      <c r="AZ317" s="313">
        <v>9.0499999999999997E-2</v>
      </c>
      <c r="BB317" s="313" t="s">
        <v>220</v>
      </c>
      <c r="BC317">
        <v>5.7299999999999997E-2</v>
      </c>
      <c r="BD317" t="s">
        <v>220</v>
      </c>
      <c r="BE317">
        <v>2.29E-2</v>
      </c>
      <c r="BF317" s="2" t="s">
        <v>220</v>
      </c>
      <c r="BG317" s="2" t="s">
        <v>230</v>
      </c>
      <c r="BH317" s="2" t="s">
        <v>228</v>
      </c>
      <c r="BI317" s="2" t="s">
        <v>302</v>
      </c>
      <c r="BM317"/>
      <c r="BP317" s="8"/>
      <c r="BQ317" t="s">
        <v>230</v>
      </c>
      <c r="BR317" t="s">
        <v>222</v>
      </c>
      <c r="BU317" t="s">
        <v>293</v>
      </c>
      <c r="BV317" t="s">
        <v>236</v>
      </c>
      <c r="BW317" t="s">
        <v>293</v>
      </c>
      <c r="BX317" t="s">
        <v>393</v>
      </c>
      <c r="BY317" t="s">
        <v>227</v>
      </c>
      <c r="BZ317">
        <v>0.6</v>
      </c>
      <c r="CA317" t="s">
        <v>234</v>
      </c>
      <c r="CF317" t="s">
        <v>227</v>
      </c>
      <c r="CG317">
        <v>0.39500000000000002</v>
      </c>
      <c r="CH317" t="s">
        <v>227</v>
      </c>
      <c r="CI317">
        <v>0.47899999999999998</v>
      </c>
      <c r="CK317"/>
      <c r="CL317"/>
      <c r="CM317"/>
      <c r="CS317" s="8"/>
      <c r="CW317" t="s">
        <v>227</v>
      </c>
      <c r="CX317" t="s">
        <v>227</v>
      </c>
      <c r="CY317" t="s">
        <v>231</v>
      </c>
      <c r="CZ317" t="s">
        <v>227</v>
      </c>
      <c r="DA317" t="s">
        <v>227</v>
      </c>
      <c r="DB317" t="s">
        <v>227</v>
      </c>
      <c r="DC317"/>
      <c r="DD317"/>
      <c r="DE317"/>
      <c r="DF317"/>
      <c r="DG317"/>
      <c r="DH317" s="323"/>
      <c r="DI317" s="323"/>
      <c r="DJ317" s="323"/>
      <c r="DL317" t="s">
        <v>227</v>
      </c>
      <c r="DM317" t="s">
        <v>227</v>
      </c>
      <c r="DN317" t="s">
        <v>227</v>
      </c>
      <c r="DO317" t="s">
        <v>227</v>
      </c>
      <c r="DP317" t="s">
        <v>227</v>
      </c>
      <c r="DS317" s="338">
        <v>22307.307000000001</v>
      </c>
      <c r="DT317" s="8" t="s">
        <v>394</v>
      </c>
      <c r="DU317" s="338">
        <v>18162.678</v>
      </c>
      <c r="DV317" s="8" t="s">
        <v>394</v>
      </c>
      <c r="DW317"/>
      <c r="DX317" t="s">
        <v>235</v>
      </c>
      <c r="DY317"/>
      <c r="DZ317" t="s">
        <v>235</v>
      </c>
      <c r="EA317"/>
      <c r="EB317"/>
      <c r="ED317" s="410"/>
      <c r="EE317" s="1"/>
      <c r="EG317" s="410"/>
      <c r="EI317" s="410"/>
      <c r="EK317" s="1"/>
      <c r="EM317"/>
      <c r="EQ317" s="344"/>
      <c r="EU317" s="344"/>
      <c r="EW317" s="409"/>
      <c r="EY317" s="1"/>
      <c r="FA317">
        <v>9.9999999999999995E-7</v>
      </c>
      <c r="FB317" t="s">
        <v>236</v>
      </c>
      <c r="FC317" s="7">
        <v>139.18742488392974</v>
      </c>
      <c r="FD317" s="357" t="s">
        <v>236</v>
      </c>
      <c r="FE317" s="8">
        <v>4.7054373995317985E-5</v>
      </c>
      <c r="FF317" t="s">
        <v>237</v>
      </c>
      <c r="FH317" s="9">
        <v>305.70321069876599</v>
      </c>
      <c r="FI317" s="9" t="s">
        <v>236</v>
      </c>
      <c r="FK317" t="s">
        <v>235</v>
      </c>
      <c r="FL317">
        <v>1.3200000000000001E-4</v>
      </c>
      <c r="FM317">
        <v>1.7108029875993274E-3</v>
      </c>
      <c r="FN317" s="5" t="s">
        <v>237</v>
      </c>
      <c r="FP317" s="6">
        <v>4.9999999999999998E-7</v>
      </c>
      <c r="FQ317" t="s">
        <v>275</v>
      </c>
      <c r="FS317" t="s">
        <v>240</v>
      </c>
      <c r="FT317" t="e">
        <f>FQ317=#REF!</f>
        <v>#REF!</v>
      </c>
      <c r="FU317" s="8">
        <v>2</v>
      </c>
      <c r="FV317" s="8">
        <v>10</v>
      </c>
      <c r="FW317" s="8">
        <v>10</v>
      </c>
      <c r="FX317" s="8">
        <v>1</v>
      </c>
      <c r="FY317" s="8">
        <v>1</v>
      </c>
      <c r="FZ317">
        <f t="shared" si="5"/>
        <v>200</v>
      </c>
      <c r="GA317" s="7" t="s">
        <v>326</v>
      </c>
      <c r="GB317" s="7" t="s">
        <v>326</v>
      </c>
      <c r="GC317" s="6">
        <v>1.5</v>
      </c>
      <c r="GD317" s="348" t="s">
        <v>242</v>
      </c>
      <c r="GF317" s="6">
        <v>4.4000000000000004E-8</v>
      </c>
      <c r="GH317" s="7"/>
      <c r="GI317" s="441">
        <v>11.33</v>
      </c>
      <c r="GJ317" s="441"/>
      <c r="GK317" s="441"/>
      <c r="GL317" s="441"/>
      <c r="GM317" s="452"/>
      <c r="GN317" s="6" t="s">
        <v>395</v>
      </c>
      <c r="GO317" s="6" t="s">
        <v>395</v>
      </c>
      <c r="GP317" s="6" t="s">
        <v>395</v>
      </c>
      <c r="GQ317" s="6" t="s">
        <v>395</v>
      </c>
      <c r="GR317" s="6" t="s">
        <v>396</v>
      </c>
      <c r="GU317" t="s">
        <v>365</v>
      </c>
      <c r="GV317" t="s">
        <v>236</v>
      </c>
      <c r="GW317" t="s">
        <v>359</v>
      </c>
      <c r="GX317" t="s">
        <v>225</v>
      </c>
      <c r="GY317" t="s">
        <v>245</v>
      </c>
      <c r="HE317" t="s">
        <v>247</v>
      </c>
      <c r="HF317" t="s">
        <v>223</v>
      </c>
      <c r="HG317" t="s">
        <v>231</v>
      </c>
      <c r="HH317" t="s">
        <v>236</v>
      </c>
      <c r="HI317" t="s">
        <v>247</v>
      </c>
      <c r="HJ317" t="s">
        <v>223</v>
      </c>
      <c r="HK317" t="s">
        <v>266</v>
      </c>
      <c r="HO317" t="s">
        <v>231</v>
      </c>
      <c r="HP317" t="s">
        <v>223</v>
      </c>
      <c r="HQ317" t="s">
        <v>231</v>
      </c>
      <c r="HR317" t="s">
        <v>223</v>
      </c>
      <c r="HU317" t="s">
        <v>231</v>
      </c>
      <c r="HV317" t="s">
        <v>236</v>
      </c>
      <c r="HW317" t="s">
        <v>246</v>
      </c>
      <c r="HX317" t="s">
        <v>236</v>
      </c>
      <c r="IA317" t="s">
        <v>231</v>
      </c>
      <c r="IB317" t="s">
        <v>250</v>
      </c>
      <c r="IC317">
        <v>11.33</v>
      </c>
      <c r="IH317" t="s">
        <v>267</v>
      </c>
    </row>
    <row r="318" spans="1:242" ht="159.5" x14ac:dyDescent="0.35">
      <c r="A318" s="310" t="s">
        <v>537</v>
      </c>
      <c r="B318" t="s">
        <v>1854</v>
      </c>
      <c r="C318" s="310" t="s">
        <v>1855</v>
      </c>
      <c r="D318" s="316"/>
      <c r="F318" t="s">
        <v>1856</v>
      </c>
      <c r="I318" s="310" t="s">
        <v>1857</v>
      </c>
      <c r="M318" s="313"/>
      <c r="O318"/>
      <c r="P318" s="381"/>
      <c r="Q318"/>
      <c r="T318" s="8"/>
      <c r="U318"/>
      <c r="V318" s="313"/>
      <c r="W318"/>
      <c r="X318"/>
      <c r="Z318"/>
      <c r="AB318"/>
      <c r="AD318" s="8" t="s">
        <v>230</v>
      </c>
      <c r="AF318" s="8" t="s">
        <v>230</v>
      </c>
      <c r="AG318"/>
      <c r="AH318"/>
      <c r="AI318"/>
      <c r="AJ318" t="s">
        <v>221</v>
      </c>
      <c r="AK318">
        <v>0</v>
      </c>
      <c r="AL318">
        <v>0.82499999999999996</v>
      </c>
      <c r="AM318" t="s">
        <v>221</v>
      </c>
      <c r="AN318" t="s">
        <v>223</v>
      </c>
      <c r="AO318" t="s">
        <v>221</v>
      </c>
      <c r="AP318" t="s">
        <v>223</v>
      </c>
      <c r="AQ318" t="s">
        <v>221</v>
      </c>
      <c r="AR318" t="s">
        <v>225</v>
      </c>
      <c r="AS318" t="s">
        <v>221</v>
      </c>
      <c r="AT318" t="s">
        <v>223</v>
      </c>
      <c r="AU318" t="s">
        <v>220</v>
      </c>
      <c r="AV318"/>
      <c r="AW318" s="313" t="s">
        <v>220</v>
      </c>
      <c r="AX318" t="s">
        <v>226</v>
      </c>
      <c r="AY318" s="313" t="s">
        <v>220</v>
      </c>
      <c r="AZ318" s="313">
        <v>8.6099999999999996E-2</v>
      </c>
      <c r="BB318" s="313" t="s">
        <v>220</v>
      </c>
      <c r="BC318">
        <v>5.33E-2</v>
      </c>
      <c r="BD318" t="s">
        <v>220</v>
      </c>
      <c r="BE318">
        <v>2.7300000000000001E-2</v>
      </c>
      <c r="BF318" s="2" t="s">
        <v>220</v>
      </c>
      <c r="BG318" s="2" t="s">
        <v>273</v>
      </c>
      <c r="BH318" s="2" t="s">
        <v>274</v>
      </c>
      <c r="BI318" s="2" t="s">
        <v>275</v>
      </c>
      <c r="BM318"/>
      <c r="BP318" s="8"/>
      <c r="BQ318" t="s">
        <v>230</v>
      </c>
      <c r="BR318" t="s">
        <v>230</v>
      </c>
      <c r="BU318" t="s">
        <v>231</v>
      </c>
      <c r="BV318" t="s">
        <v>223</v>
      </c>
      <c r="BW318" t="s">
        <v>232</v>
      </c>
      <c r="BX318" t="s">
        <v>276</v>
      </c>
      <c r="BY318" t="s">
        <v>220</v>
      </c>
      <c r="BZ318">
        <v>0.315</v>
      </c>
      <c r="CA318" t="s">
        <v>234</v>
      </c>
      <c r="CF318" t="s">
        <v>220</v>
      </c>
      <c r="CG318">
        <v>2.5899999999999999E-2</v>
      </c>
      <c r="CH318" t="s">
        <v>220</v>
      </c>
      <c r="CI318">
        <v>2.69E-2</v>
      </c>
      <c r="CK318"/>
      <c r="CL318"/>
      <c r="CM318"/>
      <c r="CS318" s="8"/>
      <c r="CW318" t="s">
        <v>220</v>
      </c>
      <c r="CX318" t="s">
        <v>220</v>
      </c>
      <c r="CY318" t="s">
        <v>231</v>
      </c>
      <c r="CZ318" t="s">
        <v>220</v>
      </c>
      <c r="DA318" t="s">
        <v>220</v>
      </c>
      <c r="DB318" t="s">
        <v>227</v>
      </c>
      <c r="DC318"/>
      <c r="DD318"/>
      <c r="DE318"/>
      <c r="DF318"/>
      <c r="DG318"/>
      <c r="DH318" s="323"/>
      <c r="DI318" s="323"/>
      <c r="DJ318" s="323"/>
      <c r="DL318" t="s">
        <v>220</v>
      </c>
      <c r="DM318" t="s">
        <v>220</v>
      </c>
      <c r="DN318" t="s">
        <v>227</v>
      </c>
      <c r="DO318" t="s">
        <v>257</v>
      </c>
      <c r="DP318" t="s">
        <v>257</v>
      </c>
      <c r="DS318" s="309">
        <v>41.13</v>
      </c>
      <c r="DU318" s="309">
        <v>677.32100000000003</v>
      </c>
      <c r="DW318">
        <v>3100</v>
      </c>
      <c r="DX318" t="s">
        <v>238</v>
      </c>
      <c r="DY318"/>
      <c r="DZ318" t="s">
        <v>235</v>
      </c>
      <c r="EA318"/>
      <c r="EB318"/>
      <c r="ED318" s="410"/>
      <c r="EE318" s="1"/>
      <c r="EG318" s="410"/>
      <c r="EI318" s="410"/>
      <c r="EK318" s="1"/>
      <c r="EM318"/>
      <c r="EQ318" s="344"/>
      <c r="EU318" s="344"/>
      <c r="EW318" s="409"/>
      <c r="EY318" s="1"/>
      <c r="FA318">
        <v>629.9</v>
      </c>
      <c r="FB318" t="s">
        <v>225</v>
      </c>
      <c r="FC318" s="7">
        <v>325.9867889044686</v>
      </c>
      <c r="FD318" s="357" t="s">
        <v>225</v>
      </c>
      <c r="FE318" s="8">
        <v>6293.612503885468</v>
      </c>
      <c r="FF318" t="s">
        <v>237</v>
      </c>
      <c r="FH318" s="9">
        <v>5357.9665751334214</v>
      </c>
      <c r="FI318" s="9" t="s">
        <v>225</v>
      </c>
      <c r="FJ318">
        <v>2450</v>
      </c>
      <c r="FK318" t="s">
        <v>238</v>
      </c>
      <c r="FL318">
        <v>28400</v>
      </c>
      <c r="FM318">
        <v>35571.321513458788</v>
      </c>
      <c r="FN318" s="5" t="s">
        <v>237</v>
      </c>
      <c r="FP318" s="6">
        <v>245</v>
      </c>
      <c r="FQ318" t="s">
        <v>450</v>
      </c>
      <c r="FS318" t="s">
        <v>240</v>
      </c>
      <c r="FT318" t="e">
        <f>FQ318=#REF!</f>
        <v>#REF!</v>
      </c>
      <c r="FU318" s="8">
        <v>1</v>
      </c>
      <c r="FV318" s="8">
        <v>10</v>
      </c>
      <c r="FW318" s="8">
        <v>10</v>
      </c>
      <c r="FX318" s="8">
        <v>10</v>
      </c>
      <c r="FY318" s="8">
        <v>3</v>
      </c>
      <c r="FZ318">
        <f t="shared" si="5"/>
        <v>3000</v>
      </c>
      <c r="GA318" s="7" t="s">
        <v>241</v>
      </c>
      <c r="GB318" s="7" t="s">
        <v>241</v>
      </c>
      <c r="GC318" s="6">
        <v>30</v>
      </c>
      <c r="GD318" s="348" t="s">
        <v>242</v>
      </c>
      <c r="GF318" s="6">
        <v>0.81666666666666676</v>
      </c>
      <c r="GH318" s="7"/>
      <c r="GI318" s="441">
        <v>5.444</v>
      </c>
      <c r="GJ318" s="441">
        <v>10.208</v>
      </c>
      <c r="GK318" s="441">
        <v>16.332999999999998</v>
      </c>
      <c r="GL318" s="441">
        <v>40.832999999999998</v>
      </c>
      <c r="GM318" s="461" t="s">
        <v>790</v>
      </c>
      <c r="GN318" s="6">
        <v>0.2</v>
      </c>
      <c r="GO318" s="6">
        <v>0.375</v>
      </c>
      <c r="GP318" s="6">
        <v>0.6</v>
      </c>
      <c r="GQ318" s="6">
        <v>1.5</v>
      </c>
      <c r="GR318" s="461" t="s">
        <v>790</v>
      </c>
      <c r="GU318" t="s">
        <v>243</v>
      </c>
      <c r="GV318" t="s">
        <v>236</v>
      </c>
      <c r="GW318" t="s">
        <v>244</v>
      </c>
      <c r="GX318" t="s">
        <v>236</v>
      </c>
      <c r="GY318" t="s">
        <v>245</v>
      </c>
      <c r="HE318" t="s">
        <v>247</v>
      </c>
      <c r="HF318" t="s">
        <v>225</v>
      </c>
      <c r="HG318" t="s">
        <v>231</v>
      </c>
      <c r="HH318" t="s">
        <v>223</v>
      </c>
      <c r="HI318" t="s">
        <v>247</v>
      </c>
      <c r="HJ318" t="s">
        <v>223</v>
      </c>
      <c r="HK318" t="s">
        <v>568</v>
      </c>
      <c r="HO318" t="s">
        <v>231</v>
      </c>
      <c r="HP318" t="s">
        <v>223</v>
      </c>
      <c r="HQ318" t="s">
        <v>231</v>
      </c>
      <c r="HR318" t="s">
        <v>223</v>
      </c>
      <c r="HU318" t="s">
        <v>231</v>
      </c>
      <c r="HV318" t="s">
        <v>223</v>
      </c>
      <c r="HW318" t="s">
        <v>563</v>
      </c>
      <c r="HX318" t="s">
        <v>236</v>
      </c>
      <c r="IA318" t="s">
        <v>231</v>
      </c>
      <c r="IB318" t="s">
        <v>250</v>
      </c>
      <c r="IC318">
        <v>5.444</v>
      </c>
      <c r="ID318">
        <v>10.208</v>
      </c>
      <c r="IE318">
        <v>16.332999999999998</v>
      </c>
      <c r="IF318">
        <v>40.832999999999998</v>
      </c>
      <c r="IG318" s="459" t="s">
        <v>451</v>
      </c>
      <c r="IH318" t="s">
        <v>267</v>
      </c>
    </row>
    <row r="319" spans="1:242" ht="159.5" x14ac:dyDescent="0.35">
      <c r="A319" s="310" t="s">
        <v>537</v>
      </c>
      <c r="B319" t="s">
        <v>1858</v>
      </c>
      <c r="C319" s="310" t="s">
        <v>1859</v>
      </c>
      <c r="D319" s="316"/>
      <c r="F319" t="s">
        <v>1860</v>
      </c>
      <c r="I319" s="310" t="s">
        <v>1861</v>
      </c>
      <c r="M319" s="313"/>
      <c r="O319"/>
      <c r="P319" s="381"/>
      <c r="Q319"/>
      <c r="T319" s="8"/>
      <c r="U319"/>
      <c r="V319" s="313"/>
      <c r="W319"/>
      <c r="X319"/>
      <c r="Z319"/>
      <c r="AB319"/>
      <c r="AD319" s="8" t="s">
        <v>230</v>
      </c>
      <c r="AF319" s="8" t="s">
        <v>230</v>
      </c>
      <c r="AG319"/>
      <c r="AH319"/>
      <c r="AI319"/>
      <c r="AJ319" t="s">
        <v>221</v>
      </c>
      <c r="AK319">
        <v>0</v>
      </c>
      <c r="AL319">
        <v>0.5</v>
      </c>
      <c r="AM319" t="s">
        <v>221</v>
      </c>
      <c r="AN319" t="s">
        <v>236</v>
      </c>
      <c r="AO319" t="s">
        <v>221</v>
      </c>
      <c r="AP319" t="s">
        <v>225</v>
      </c>
      <c r="AQ319" t="s">
        <v>221</v>
      </c>
      <c r="AR319" t="s">
        <v>225</v>
      </c>
      <c r="AS319" t="s">
        <v>221</v>
      </c>
      <c r="AT319" t="s">
        <v>225</v>
      </c>
      <c r="AU319" t="s">
        <v>220</v>
      </c>
      <c r="AV319"/>
      <c r="AW319" s="313" t="s">
        <v>220</v>
      </c>
      <c r="AX319" t="s">
        <v>226</v>
      </c>
      <c r="AY319" s="313" t="s">
        <v>220</v>
      </c>
      <c r="AZ319" s="313">
        <v>0.27600000000000002</v>
      </c>
      <c r="BB319" s="313" t="s">
        <v>220</v>
      </c>
      <c r="BC319">
        <v>0.14699999999999999</v>
      </c>
      <c r="BD319" t="s">
        <v>220</v>
      </c>
      <c r="BE319">
        <v>0.14299999999999999</v>
      </c>
      <c r="BF319" s="2" t="s">
        <v>220</v>
      </c>
      <c r="BG319" s="2" t="s">
        <v>273</v>
      </c>
      <c r="BH319" s="2" t="s">
        <v>274</v>
      </c>
      <c r="BI319" s="2" t="s">
        <v>275</v>
      </c>
      <c r="BM319"/>
      <c r="BP319" s="8"/>
      <c r="BQ319" t="s">
        <v>230</v>
      </c>
      <c r="BR319" t="s">
        <v>230</v>
      </c>
      <c r="BU319" t="s">
        <v>231</v>
      </c>
      <c r="BV319" t="s">
        <v>236</v>
      </c>
      <c r="BW319" t="s">
        <v>232</v>
      </c>
      <c r="BX319" t="s">
        <v>276</v>
      </c>
      <c r="BY319" t="s">
        <v>257</v>
      </c>
      <c r="BZ319">
        <v>0.52900000000000003</v>
      </c>
      <c r="CA319" t="s">
        <v>234</v>
      </c>
      <c r="CF319" t="s">
        <v>220</v>
      </c>
      <c r="CG319">
        <v>0.128</v>
      </c>
      <c r="CH319" t="s">
        <v>220</v>
      </c>
      <c r="CI319">
        <v>0.30099999999999999</v>
      </c>
      <c r="CK319"/>
      <c r="CL319"/>
      <c r="CM319"/>
      <c r="CS319" s="8"/>
      <c r="CW319" t="s">
        <v>227</v>
      </c>
      <c r="CX319" t="s">
        <v>257</v>
      </c>
      <c r="CY319" t="s">
        <v>231</v>
      </c>
      <c r="CZ319" t="s">
        <v>220</v>
      </c>
      <c r="DA319" t="s">
        <v>220</v>
      </c>
      <c r="DB319" t="s">
        <v>227</v>
      </c>
      <c r="DC319"/>
      <c r="DD319"/>
      <c r="DE319"/>
      <c r="DF319"/>
      <c r="DG319"/>
      <c r="DH319" s="323"/>
      <c r="DI319" s="323"/>
      <c r="DJ319" s="323"/>
      <c r="DL319" t="s">
        <v>257</v>
      </c>
      <c r="DM319" t="s">
        <v>220</v>
      </c>
      <c r="DN319" t="s">
        <v>227</v>
      </c>
      <c r="DO319" t="s">
        <v>220</v>
      </c>
      <c r="DP319" t="s">
        <v>257</v>
      </c>
      <c r="DS319" s="338">
        <v>82.620999999999995</v>
      </c>
      <c r="DT319" s="8" t="s">
        <v>394</v>
      </c>
      <c r="DU319" s="338">
        <v>1848.4390000000001</v>
      </c>
      <c r="DV319" s="8" t="s">
        <v>394</v>
      </c>
      <c r="DW319">
        <v>612</v>
      </c>
      <c r="DX319" t="s">
        <v>238</v>
      </c>
      <c r="DY319">
        <v>535</v>
      </c>
      <c r="DZ319" t="s">
        <v>238</v>
      </c>
      <c r="EA319"/>
      <c r="EB319"/>
      <c r="ED319" s="410"/>
      <c r="EE319" s="1"/>
      <c r="EG319" s="410"/>
      <c r="EI319" s="410"/>
      <c r="EK319" s="1"/>
      <c r="EM319"/>
      <c r="EQ319" s="344"/>
      <c r="EU319" s="344"/>
      <c r="EW319" s="409"/>
      <c r="EY319" s="1"/>
      <c r="FA319">
        <v>43965.89</v>
      </c>
      <c r="FB319" t="s">
        <v>236</v>
      </c>
      <c r="FC319" s="7">
        <v>1990.2150222793382</v>
      </c>
      <c r="FD319" s="357" t="s">
        <v>236</v>
      </c>
      <c r="FE319" s="8">
        <v>1040399.1770513529</v>
      </c>
      <c r="FF319" t="s">
        <v>237</v>
      </c>
      <c r="FH319" s="9">
        <v>2393.3157564053895</v>
      </c>
      <c r="FI319" s="9" t="s">
        <v>225</v>
      </c>
      <c r="FJ319">
        <v>2710</v>
      </c>
      <c r="FK319" t="s">
        <v>238</v>
      </c>
      <c r="FL319">
        <v>925</v>
      </c>
      <c r="FM319">
        <v>10512354.552294867</v>
      </c>
      <c r="FN319" s="5" t="s">
        <v>237</v>
      </c>
      <c r="FP319" s="6">
        <v>92.5</v>
      </c>
      <c r="FQ319" t="s">
        <v>239</v>
      </c>
      <c r="FS319" t="s">
        <v>240</v>
      </c>
      <c r="FT319" t="e">
        <f>FQ319=#REF!</f>
        <v>#REF!</v>
      </c>
      <c r="FU319" s="8">
        <v>1</v>
      </c>
      <c r="FV319" s="8">
        <v>10</v>
      </c>
      <c r="FW319" s="8">
        <v>10</v>
      </c>
      <c r="FX319" s="8">
        <v>10</v>
      </c>
      <c r="FY319" s="8">
        <v>3</v>
      </c>
      <c r="FZ319">
        <f t="shared" si="5"/>
        <v>3000</v>
      </c>
      <c r="GA319" s="7" t="s">
        <v>241</v>
      </c>
      <c r="GB319" s="7" t="s">
        <v>241</v>
      </c>
      <c r="GC319" s="6">
        <v>30</v>
      </c>
      <c r="GD319" s="348" t="s">
        <v>242</v>
      </c>
      <c r="GF319" s="6">
        <v>0.30833333333333335</v>
      </c>
      <c r="GH319" s="7"/>
      <c r="GI319" s="441" t="s">
        <v>395</v>
      </c>
      <c r="GJ319" s="441" t="s">
        <v>395</v>
      </c>
      <c r="GK319" s="441" t="s">
        <v>395</v>
      </c>
      <c r="GL319" s="441" t="s">
        <v>395</v>
      </c>
      <c r="GM319" s="461" t="s">
        <v>790</v>
      </c>
      <c r="GN319" s="6">
        <v>0.2</v>
      </c>
      <c r="GO319" s="6">
        <v>0.375</v>
      </c>
      <c r="GP319" s="6">
        <v>0.6</v>
      </c>
      <c r="GQ319" s="6">
        <v>1.5</v>
      </c>
      <c r="GR319" s="461" t="s">
        <v>790</v>
      </c>
      <c r="GU319" t="s">
        <v>365</v>
      </c>
      <c r="GV319" t="s">
        <v>236</v>
      </c>
      <c r="GW319" t="s">
        <v>244</v>
      </c>
      <c r="GX319" t="s">
        <v>236</v>
      </c>
      <c r="GY319" t="s">
        <v>245</v>
      </c>
      <c r="HE319" t="s">
        <v>247</v>
      </c>
      <c r="HF319" t="s">
        <v>223</v>
      </c>
      <c r="HG319" t="s">
        <v>231</v>
      </c>
      <c r="HH319" t="s">
        <v>225</v>
      </c>
      <c r="HI319" t="s">
        <v>247</v>
      </c>
      <c r="HJ319" t="s">
        <v>225</v>
      </c>
      <c r="HK319" t="s">
        <v>568</v>
      </c>
      <c r="HO319" t="s">
        <v>231</v>
      </c>
      <c r="HP319" t="s">
        <v>223</v>
      </c>
      <c r="HQ319" t="s">
        <v>231</v>
      </c>
      <c r="HR319" t="s">
        <v>223</v>
      </c>
      <c r="HU319" t="s">
        <v>231</v>
      </c>
      <c r="HV319" t="s">
        <v>223</v>
      </c>
      <c r="HW319" t="s">
        <v>563</v>
      </c>
      <c r="HX319" t="s">
        <v>236</v>
      </c>
      <c r="IA319" t="s">
        <v>231</v>
      </c>
      <c r="IB319" t="s">
        <v>250</v>
      </c>
      <c r="IC319" t="s">
        <v>395</v>
      </c>
      <c r="ID319" t="s">
        <v>395</v>
      </c>
      <c r="IE319" t="s">
        <v>395</v>
      </c>
      <c r="IF319" t="s">
        <v>395</v>
      </c>
      <c r="IG319" s="459" t="s">
        <v>451</v>
      </c>
      <c r="IH319" t="s">
        <v>235</v>
      </c>
    </row>
    <row r="320" spans="1:242" ht="159.5" x14ac:dyDescent="0.35">
      <c r="A320" s="310" t="s">
        <v>537</v>
      </c>
      <c r="B320" t="s">
        <v>1862</v>
      </c>
      <c r="C320" s="310" t="s">
        <v>1863</v>
      </c>
      <c r="D320" s="316"/>
      <c r="F320" t="s">
        <v>1864</v>
      </c>
      <c r="I320" s="310" t="s">
        <v>1865</v>
      </c>
      <c r="M320" s="313"/>
      <c r="O320"/>
      <c r="P320" s="381"/>
      <c r="Q320"/>
      <c r="T320" s="8"/>
      <c r="U320"/>
      <c r="V320" s="313"/>
      <c r="W320"/>
      <c r="X320"/>
      <c r="Z320"/>
      <c r="AB320"/>
      <c r="AD320" s="8" t="s">
        <v>230</v>
      </c>
      <c r="AF320" s="8" t="s">
        <v>230</v>
      </c>
      <c r="AG320"/>
      <c r="AH320"/>
      <c r="AI320"/>
      <c r="AJ320" t="s">
        <v>221</v>
      </c>
      <c r="AK320">
        <v>0</v>
      </c>
      <c r="AL320">
        <v>0.6</v>
      </c>
      <c r="AM320" t="s">
        <v>221</v>
      </c>
      <c r="AN320" t="s">
        <v>225</v>
      </c>
      <c r="AO320" t="s">
        <v>221</v>
      </c>
      <c r="AP320" t="s">
        <v>225</v>
      </c>
      <c r="AQ320" t="s">
        <v>221</v>
      </c>
      <c r="AR320" t="s">
        <v>225</v>
      </c>
      <c r="AS320" t="s">
        <v>221</v>
      </c>
      <c r="AT320" t="s">
        <v>225</v>
      </c>
      <c r="AU320" t="s">
        <v>220</v>
      </c>
      <c r="AV320"/>
      <c r="AW320" s="313" t="s">
        <v>220</v>
      </c>
      <c r="AX320" t="s">
        <v>226</v>
      </c>
      <c r="AY320" s="313" t="s">
        <v>220</v>
      </c>
      <c r="AZ320" s="313">
        <v>7.5700000000000003E-2</v>
      </c>
      <c r="BB320" s="313" t="s">
        <v>220</v>
      </c>
      <c r="BC320">
        <v>4.9799999999999997E-2</v>
      </c>
      <c r="BD320" t="s">
        <v>220</v>
      </c>
      <c r="BE320">
        <v>2.8000000000000001E-2</v>
      </c>
      <c r="BF320" s="2" t="s">
        <v>220</v>
      </c>
      <c r="BG320" s="2" t="s">
        <v>273</v>
      </c>
      <c r="BH320" s="2" t="s">
        <v>274</v>
      </c>
      <c r="BI320" s="2" t="s">
        <v>275</v>
      </c>
      <c r="BM320"/>
      <c r="BP320" s="8"/>
      <c r="BQ320" t="s">
        <v>230</v>
      </c>
      <c r="BR320" t="s">
        <v>230</v>
      </c>
      <c r="BU320" t="s">
        <v>231</v>
      </c>
      <c r="BV320" t="s">
        <v>223</v>
      </c>
      <c r="BW320" t="s">
        <v>232</v>
      </c>
      <c r="BX320" t="s">
        <v>276</v>
      </c>
      <c r="BY320" t="s">
        <v>220</v>
      </c>
      <c r="BZ320">
        <v>0.255</v>
      </c>
      <c r="CA320" t="s">
        <v>372</v>
      </c>
      <c r="CF320" t="s">
        <v>220</v>
      </c>
      <c r="CG320">
        <v>0.311</v>
      </c>
      <c r="CH320" t="s">
        <v>257</v>
      </c>
      <c r="CI320">
        <v>0.64700000000000002</v>
      </c>
      <c r="CK320"/>
      <c r="CL320"/>
      <c r="CM320"/>
      <c r="CS320" s="8"/>
      <c r="CW320" t="s">
        <v>220</v>
      </c>
      <c r="CX320" t="s">
        <v>220</v>
      </c>
      <c r="CY320" t="s">
        <v>231</v>
      </c>
      <c r="CZ320" t="s">
        <v>220</v>
      </c>
      <c r="DA320" t="s">
        <v>220</v>
      </c>
      <c r="DB320" t="s">
        <v>227</v>
      </c>
      <c r="DC320"/>
      <c r="DD320"/>
      <c r="DE320"/>
      <c r="DF320"/>
      <c r="DG320"/>
      <c r="DH320" s="323"/>
      <c r="DI320" s="323"/>
      <c r="DJ320" s="323"/>
      <c r="DL320" t="s">
        <v>257</v>
      </c>
      <c r="DM320" t="s">
        <v>220</v>
      </c>
      <c r="DN320" t="s">
        <v>227</v>
      </c>
      <c r="DO320" t="s">
        <v>257</v>
      </c>
      <c r="DP320" t="s">
        <v>257</v>
      </c>
      <c r="DS320" s="309">
        <v>46.14</v>
      </c>
      <c r="DU320" s="309">
        <v>1257.0989999999999</v>
      </c>
      <c r="DW320"/>
      <c r="DX320" t="s">
        <v>235</v>
      </c>
      <c r="DY320"/>
      <c r="DZ320" t="s">
        <v>235</v>
      </c>
      <c r="EA320"/>
      <c r="EB320"/>
      <c r="ED320" s="410"/>
      <c r="EE320" s="1"/>
      <c r="EG320" s="410"/>
      <c r="EI320" s="410"/>
      <c r="EK320" s="1"/>
      <c r="EM320"/>
      <c r="EQ320" s="344"/>
      <c r="EU320" s="344"/>
      <c r="EW320" s="409"/>
      <c r="EY320" s="1"/>
      <c r="FA320">
        <v>1507.19</v>
      </c>
      <c r="FB320" t="s">
        <v>225</v>
      </c>
      <c r="FC320" s="7">
        <v>426.77601117035374</v>
      </c>
      <c r="FD320" s="357" t="s">
        <v>225</v>
      </c>
      <c r="FE320" s="8">
        <v>2442.8679967864618</v>
      </c>
      <c r="FF320" t="s">
        <v>237</v>
      </c>
      <c r="FH320" s="9">
        <v>1633.428015296163</v>
      </c>
      <c r="FI320" s="9" t="s">
        <v>225</v>
      </c>
      <c r="FK320" t="s">
        <v>235</v>
      </c>
      <c r="FL320">
        <v>6540</v>
      </c>
      <c r="FM320">
        <v>9204.4957175317177</v>
      </c>
      <c r="FN320" s="5" t="s">
        <v>237</v>
      </c>
      <c r="FP320" s="6">
        <v>460.22478587658588</v>
      </c>
      <c r="FQ320" t="s">
        <v>277</v>
      </c>
      <c r="FS320" t="s">
        <v>240</v>
      </c>
      <c r="FT320" t="e">
        <f>FQ320=#REF!</f>
        <v>#REF!</v>
      </c>
      <c r="FU320" s="8">
        <v>2</v>
      </c>
      <c r="FV320" s="8">
        <v>10</v>
      </c>
      <c r="FW320" s="8">
        <v>10</v>
      </c>
      <c r="FX320" s="8">
        <v>10</v>
      </c>
      <c r="FY320" s="8">
        <v>3</v>
      </c>
      <c r="FZ320">
        <f t="shared" si="5"/>
        <v>6000</v>
      </c>
      <c r="GA320" s="7" t="s">
        <v>241</v>
      </c>
      <c r="GB320" s="7" t="s">
        <v>241</v>
      </c>
      <c r="GC320" s="6">
        <v>30</v>
      </c>
      <c r="GD320" s="348" t="s">
        <v>242</v>
      </c>
      <c r="GF320" s="6">
        <v>2.1800000000000002</v>
      </c>
      <c r="GH320" s="7"/>
      <c r="GI320" s="441">
        <v>10.227</v>
      </c>
      <c r="GJ320" s="441">
        <v>19.175999999999998</v>
      </c>
      <c r="GK320" s="441">
        <v>30.681999999999999</v>
      </c>
      <c r="GL320" s="441">
        <v>76.703999999999994</v>
      </c>
      <c r="GM320" s="461" t="s">
        <v>790</v>
      </c>
      <c r="GN320" s="6">
        <v>0.2</v>
      </c>
      <c r="GO320" s="6">
        <v>0.375</v>
      </c>
      <c r="GP320" s="6">
        <v>0.6</v>
      </c>
      <c r="GQ320" s="6">
        <v>1.5</v>
      </c>
      <c r="GR320" s="461" t="s">
        <v>790</v>
      </c>
      <c r="GU320" t="s">
        <v>243</v>
      </c>
      <c r="GV320" t="s">
        <v>225</v>
      </c>
      <c r="GW320" t="s">
        <v>244</v>
      </c>
      <c r="GX320" t="s">
        <v>236</v>
      </c>
      <c r="GY320" t="s">
        <v>245</v>
      </c>
      <c r="HE320" t="s">
        <v>384</v>
      </c>
      <c r="HF320" t="s">
        <v>223</v>
      </c>
      <c r="HG320" t="s">
        <v>231</v>
      </c>
      <c r="HH320" t="s">
        <v>223</v>
      </c>
      <c r="HI320" t="s">
        <v>247</v>
      </c>
      <c r="HJ320" t="s">
        <v>223</v>
      </c>
      <c r="HK320" t="s">
        <v>266</v>
      </c>
      <c r="HO320" t="s">
        <v>231</v>
      </c>
      <c r="HP320" t="s">
        <v>223</v>
      </c>
      <c r="HQ320" t="s">
        <v>231</v>
      </c>
      <c r="HR320" t="s">
        <v>223</v>
      </c>
      <c r="HU320" t="s">
        <v>231</v>
      </c>
      <c r="HV320" t="s">
        <v>223</v>
      </c>
      <c r="HW320" t="s">
        <v>563</v>
      </c>
      <c r="HX320" t="s">
        <v>236</v>
      </c>
      <c r="IA320" t="s">
        <v>231</v>
      </c>
      <c r="IB320" t="s">
        <v>250</v>
      </c>
      <c r="IC320">
        <v>10.227</v>
      </c>
      <c r="ID320">
        <v>19.175999999999998</v>
      </c>
      <c r="IE320">
        <v>30.681999999999999</v>
      </c>
      <c r="IF320">
        <v>76.703999999999994</v>
      </c>
      <c r="IG320" s="459" t="s">
        <v>451</v>
      </c>
      <c r="IH320" t="s">
        <v>267</v>
      </c>
    </row>
    <row r="321" spans="1:242" ht="159.5" x14ac:dyDescent="0.35">
      <c r="A321" s="310" t="s">
        <v>537</v>
      </c>
      <c r="B321" t="s">
        <v>1866</v>
      </c>
      <c r="C321" s="310" t="s">
        <v>1867</v>
      </c>
      <c r="D321" s="316"/>
      <c r="F321" t="s">
        <v>1868</v>
      </c>
      <c r="I321" s="310" t="s">
        <v>1869</v>
      </c>
      <c r="M321" s="313"/>
      <c r="O321"/>
      <c r="P321" s="381"/>
      <c r="Q321"/>
      <c r="T321" s="8"/>
      <c r="U321"/>
      <c r="V321" s="313"/>
      <c r="W321"/>
      <c r="X321"/>
      <c r="Z321"/>
      <c r="AB321"/>
      <c r="AD321" s="8" t="s">
        <v>230</v>
      </c>
      <c r="AF321" s="8" t="s">
        <v>230</v>
      </c>
      <c r="AG321"/>
      <c r="AH321"/>
      <c r="AI321"/>
      <c r="AJ321" t="s">
        <v>221</v>
      </c>
      <c r="AK321">
        <v>0</v>
      </c>
      <c r="AL321">
        <v>0.9</v>
      </c>
      <c r="AM321" t="s">
        <v>221</v>
      </c>
      <c r="AN321" t="s">
        <v>223</v>
      </c>
      <c r="AO321" t="s">
        <v>221</v>
      </c>
      <c r="AP321" t="s">
        <v>223</v>
      </c>
      <c r="AQ321" t="s">
        <v>221</v>
      </c>
      <c r="AR321" t="s">
        <v>223</v>
      </c>
      <c r="AS321" t="s">
        <v>221</v>
      </c>
      <c r="AT321" t="s">
        <v>223</v>
      </c>
      <c r="AU321" t="s">
        <v>220</v>
      </c>
      <c r="AV321"/>
      <c r="AW321" s="313" t="s">
        <v>220</v>
      </c>
      <c r="AX321" t="s">
        <v>226</v>
      </c>
      <c r="AY321" s="313" t="s">
        <v>220</v>
      </c>
      <c r="AZ321" s="313">
        <v>7.4099999999999999E-2</v>
      </c>
      <c r="BB321" s="313" t="s">
        <v>220</v>
      </c>
      <c r="BC321">
        <v>3.2199999999999999E-2</v>
      </c>
      <c r="BD321" t="s">
        <v>220</v>
      </c>
      <c r="BE321">
        <v>0.128</v>
      </c>
      <c r="BF321" s="2" t="s">
        <v>220</v>
      </c>
      <c r="BG321" s="2" t="s">
        <v>273</v>
      </c>
      <c r="BH321" s="2" t="s">
        <v>274</v>
      </c>
      <c r="BI321" s="2" t="s">
        <v>275</v>
      </c>
      <c r="BM321"/>
      <c r="BP321" s="8"/>
      <c r="BQ321" t="s">
        <v>230</v>
      </c>
      <c r="BR321" t="s">
        <v>230</v>
      </c>
      <c r="BU321" t="s">
        <v>317</v>
      </c>
      <c r="BV321" t="s">
        <v>236</v>
      </c>
      <c r="BW321" t="s">
        <v>232</v>
      </c>
      <c r="BX321" t="s">
        <v>284</v>
      </c>
      <c r="BY321" t="s">
        <v>220</v>
      </c>
      <c r="BZ321">
        <v>0.34</v>
      </c>
      <c r="CA321" t="s">
        <v>234</v>
      </c>
      <c r="CF321" t="s">
        <v>220</v>
      </c>
      <c r="CG321">
        <v>0.11</v>
      </c>
      <c r="CH321" t="s">
        <v>220</v>
      </c>
      <c r="CI321">
        <v>0.191</v>
      </c>
      <c r="CK321"/>
      <c r="CL321"/>
      <c r="CM321"/>
      <c r="CS321" s="8"/>
      <c r="CW321" t="s">
        <v>220</v>
      </c>
      <c r="CX321" t="s">
        <v>220</v>
      </c>
      <c r="CY321" t="s">
        <v>231</v>
      </c>
      <c r="CZ321" t="s">
        <v>220</v>
      </c>
      <c r="DA321" t="s">
        <v>257</v>
      </c>
      <c r="DB321" t="s">
        <v>227</v>
      </c>
      <c r="DC321"/>
      <c r="DD321"/>
      <c r="DE321"/>
      <c r="DF321"/>
      <c r="DG321"/>
      <c r="DH321" s="323"/>
      <c r="DI321" s="323"/>
      <c r="DJ321" s="323"/>
      <c r="DL321" t="s">
        <v>220</v>
      </c>
      <c r="DM321" t="s">
        <v>220</v>
      </c>
      <c r="DN321" t="s">
        <v>227</v>
      </c>
      <c r="DO321" t="s">
        <v>257</v>
      </c>
      <c r="DP321" t="s">
        <v>257</v>
      </c>
      <c r="DS321" s="309">
        <v>55.731999999999999</v>
      </c>
      <c r="DU321" s="309">
        <v>428.09899999999999</v>
      </c>
      <c r="DW321">
        <v>813</v>
      </c>
      <c r="DX321" t="s">
        <v>238</v>
      </c>
      <c r="DY321"/>
      <c r="DZ321" t="s">
        <v>235</v>
      </c>
      <c r="EA321"/>
      <c r="EB321"/>
      <c r="ED321" s="410"/>
      <c r="EE321" s="1"/>
      <c r="EG321" s="410"/>
      <c r="EI321" s="410"/>
      <c r="EK321" s="1"/>
      <c r="EM321"/>
      <c r="EQ321" s="344"/>
      <c r="EU321" s="344"/>
      <c r="EW321" s="409"/>
      <c r="EY321" s="1"/>
      <c r="FA321">
        <v>150.65</v>
      </c>
      <c r="FB321" t="s">
        <v>225</v>
      </c>
      <c r="FC321" s="7">
        <v>159.58791472367324</v>
      </c>
      <c r="FD321" s="357" t="s">
        <v>225</v>
      </c>
      <c r="FE321" s="8">
        <v>872.56944277011621</v>
      </c>
      <c r="FF321" t="s">
        <v>237</v>
      </c>
      <c r="FH321" s="9">
        <v>2258.9155758005631</v>
      </c>
      <c r="FI321" s="9" t="s">
        <v>225</v>
      </c>
      <c r="FJ321">
        <v>975</v>
      </c>
      <c r="FK321" t="s">
        <v>238</v>
      </c>
      <c r="FL321">
        <v>4170</v>
      </c>
      <c r="FM321">
        <v>3318.9445755261067</v>
      </c>
      <c r="FN321" s="5" t="s">
        <v>237</v>
      </c>
      <c r="FP321" s="6">
        <v>75.325000000000003</v>
      </c>
      <c r="FQ321" t="s">
        <v>275</v>
      </c>
      <c r="FS321" t="s">
        <v>240</v>
      </c>
      <c r="FT321" t="e">
        <f>FQ321=#REF!</f>
        <v>#REF!</v>
      </c>
      <c r="FU321" s="8">
        <v>2</v>
      </c>
      <c r="FV321" s="8">
        <v>10</v>
      </c>
      <c r="FW321" s="8">
        <v>10</v>
      </c>
      <c r="FX321" s="8">
        <v>1</v>
      </c>
      <c r="FY321" s="8">
        <v>3</v>
      </c>
      <c r="FZ321">
        <f t="shared" si="5"/>
        <v>600</v>
      </c>
      <c r="GA321" s="7" t="s">
        <v>241</v>
      </c>
      <c r="GB321" s="7" t="s">
        <v>241</v>
      </c>
      <c r="GC321" s="6">
        <v>30</v>
      </c>
      <c r="GD321" s="348" t="s">
        <v>242</v>
      </c>
      <c r="GF321" s="6">
        <v>0.25108333333333333</v>
      </c>
      <c r="GH321" s="7"/>
      <c r="GI321" s="441">
        <v>1.6739999999999999</v>
      </c>
      <c r="GJ321" s="441">
        <v>3.1389999999999998</v>
      </c>
      <c r="GK321" s="441">
        <v>5.0220000000000002</v>
      </c>
      <c r="GL321" s="441">
        <v>12.554</v>
      </c>
      <c r="GM321" s="461" t="s">
        <v>790</v>
      </c>
      <c r="GN321" s="6">
        <v>0.2</v>
      </c>
      <c r="GO321" s="6">
        <v>0.375</v>
      </c>
      <c r="GP321" s="6">
        <v>0.6</v>
      </c>
      <c r="GQ321" s="6">
        <v>1.5</v>
      </c>
      <c r="GR321" s="461" t="s">
        <v>790</v>
      </c>
      <c r="GU321" t="s">
        <v>243</v>
      </c>
      <c r="GV321" t="s">
        <v>225</v>
      </c>
      <c r="GW321" t="s">
        <v>244</v>
      </c>
      <c r="GX321" t="s">
        <v>236</v>
      </c>
      <c r="GY321" t="s">
        <v>245</v>
      </c>
      <c r="HE321" t="s">
        <v>384</v>
      </c>
      <c r="HF321" t="s">
        <v>223</v>
      </c>
      <c r="HG321" t="s">
        <v>231</v>
      </c>
      <c r="HH321" t="s">
        <v>225</v>
      </c>
      <c r="HI321" t="s">
        <v>247</v>
      </c>
      <c r="HJ321" t="s">
        <v>223</v>
      </c>
      <c r="HK321" t="s">
        <v>248</v>
      </c>
      <c r="HO321" t="s">
        <v>231</v>
      </c>
      <c r="HP321" t="s">
        <v>223</v>
      </c>
      <c r="HQ321" t="s">
        <v>231</v>
      </c>
      <c r="HR321" t="s">
        <v>223</v>
      </c>
      <c r="HU321" t="s">
        <v>231</v>
      </c>
      <c r="HV321" t="s">
        <v>223</v>
      </c>
      <c r="HW321" t="s">
        <v>246</v>
      </c>
      <c r="HX321" t="s">
        <v>236</v>
      </c>
      <c r="IA321" t="s">
        <v>231</v>
      </c>
      <c r="IB321" t="s">
        <v>250</v>
      </c>
      <c r="IC321">
        <v>1.6739999999999999</v>
      </c>
      <c r="ID321">
        <v>3.1389999999999998</v>
      </c>
      <c r="IE321">
        <v>5.0220000000000002</v>
      </c>
      <c r="IF321">
        <v>12.554</v>
      </c>
      <c r="IG321" s="459" t="s">
        <v>451</v>
      </c>
      <c r="IH321" t="s">
        <v>267</v>
      </c>
    </row>
    <row r="322" spans="1:242" ht="159.5" x14ac:dyDescent="0.35">
      <c r="A322" s="310" t="s">
        <v>537</v>
      </c>
      <c r="B322" t="s">
        <v>1870</v>
      </c>
      <c r="C322" s="310" t="s">
        <v>1871</v>
      </c>
      <c r="D322" s="316"/>
      <c r="F322" t="s">
        <v>1872</v>
      </c>
      <c r="I322" s="310" t="s">
        <v>1873</v>
      </c>
      <c r="M322" s="313"/>
      <c r="O322"/>
      <c r="P322" s="381"/>
      <c r="Q322"/>
      <c r="T322" s="8"/>
      <c r="U322"/>
      <c r="V322" s="313"/>
      <c r="W322"/>
      <c r="X322"/>
      <c r="Z322"/>
      <c r="AB322"/>
      <c r="AD322" s="8" t="s">
        <v>230</v>
      </c>
      <c r="AF322" s="8" t="s">
        <v>230</v>
      </c>
      <c r="AG322"/>
      <c r="AH322"/>
      <c r="AI322"/>
      <c r="AJ322" t="s">
        <v>221</v>
      </c>
      <c r="AK322">
        <v>0</v>
      </c>
      <c r="AL322">
        <v>0.75</v>
      </c>
      <c r="AM322" t="s">
        <v>221</v>
      </c>
      <c r="AN322" t="s">
        <v>223</v>
      </c>
      <c r="AO322" t="s">
        <v>221</v>
      </c>
      <c r="AP322" t="s">
        <v>223</v>
      </c>
      <c r="AQ322" t="s">
        <v>221</v>
      </c>
      <c r="AR322" t="s">
        <v>225</v>
      </c>
      <c r="AS322" t="s">
        <v>221</v>
      </c>
      <c r="AT322" t="s">
        <v>225</v>
      </c>
      <c r="AU322" t="s">
        <v>220</v>
      </c>
      <c r="AV322"/>
      <c r="AW322" s="313" t="s">
        <v>220</v>
      </c>
      <c r="AX322" t="s">
        <v>226</v>
      </c>
      <c r="AY322" s="313" t="s">
        <v>220</v>
      </c>
      <c r="AZ322" s="313">
        <v>0.16</v>
      </c>
      <c r="BB322" s="313" t="s">
        <v>220</v>
      </c>
      <c r="BC322">
        <v>0.11</v>
      </c>
      <c r="BD322" t="s">
        <v>220</v>
      </c>
      <c r="BE322">
        <v>3.5799999999999998E-2</v>
      </c>
      <c r="BF322" s="2" t="s">
        <v>220</v>
      </c>
      <c r="BG322" s="2" t="s">
        <v>273</v>
      </c>
      <c r="BH322" s="2" t="s">
        <v>274</v>
      </c>
      <c r="BI322" s="2" t="s">
        <v>275</v>
      </c>
      <c r="BM322"/>
      <c r="BP322" s="8"/>
      <c r="BQ322" t="s">
        <v>230</v>
      </c>
      <c r="BR322" t="s">
        <v>230</v>
      </c>
      <c r="BU322" t="s">
        <v>231</v>
      </c>
      <c r="BV322" t="s">
        <v>225</v>
      </c>
      <c r="BW322" t="s">
        <v>232</v>
      </c>
      <c r="BX322" t="s">
        <v>276</v>
      </c>
      <c r="BY322" t="s">
        <v>220</v>
      </c>
      <c r="BZ322">
        <v>0.29599999999999999</v>
      </c>
      <c r="CA322" t="s">
        <v>234</v>
      </c>
      <c r="CF322" t="s">
        <v>220</v>
      </c>
      <c r="CG322">
        <v>5.0900000000000001E-2</v>
      </c>
      <c r="CH322" t="s">
        <v>220</v>
      </c>
      <c r="CI322">
        <v>9.9699999999999997E-2</v>
      </c>
      <c r="CK322"/>
      <c r="CL322"/>
      <c r="CM322"/>
      <c r="CS322" s="8"/>
      <c r="CW322" t="s">
        <v>220</v>
      </c>
      <c r="CX322" t="s">
        <v>220</v>
      </c>
      <c r="CY322" t="s">
        <v>231</v>
      </c>
      <c r="CZ322" t="s">
        <v>220</v>
      </c>
      <c r="DA322" t="s">
        <v>220</v>
      </c>
      <c r="DB322" t="s">
        <v>220</v>
      </c>
      <c r="DC322"/>
      <c r="DD322"/>
      <c r="DE322"/>
      <c r="DF322"/>
      <c r="DG322"/>
      <c r="DH322" s="323"/>
      <c r="DI322" s="323"/>
      <c r="DJ322" s="323"/>
      <c r="DL322" t="s">
        <v>220</v>
      </c>
      <c r="DM322" t="s">
        <v>220</v>
      </c>
      <c r="DN322" t="s">
        <v>257</v>
      </c>
      <c r="DO322" t="s">
        <v>257</v>
      </c>
      <c r="DP322" t="s">
        <v>257</v>
      </c>
      <c r="DS322" s="309">
        <v>31.201000000000001</v>
      </c>
      <c r="DU322" s="338">
        <v>786.73800000000006</v>
      </c>
      <c r="DV322" s="8" t="s">
        <v>394</v>
      </c>
      <c r="DW322">
        <v>463</v>
      </c>
      <c r="DX322" t="s">
        <v>238</v>
      </c>
      <c r="DY322">
        <v>405</v>
      </c>
      <c r="DZ322" t="s">
        <v>238</v>
      </c>
      <c r="EA322"/>
      <c r="EB322"/>
      <c r="ED322" s="410"/>
      <c r="EE322" s="1"/>
      <c r="EG322" s="410"/>
      <c r="EI322" s="410"/>
      <c r="EK322" s="1"/>
      <c r="EM322"/>
      <c r="EQ322" s="344"/>
      <c r="EU322" s="344"/>
      <c r="EW322" s="409"/>
      <c r="EY322" s="1"/>
      <c r="FA322">
        <v>9135.17</v>
      </c>
      <c r="FB322" t="s">
        <v>236</v>
      </c>
      <c r="FC322" s="7">
        <v>1136.5799747501528</v>
      </c>
      <c r="FD322" s="357" t="s">
        <v>236</v>
      </c>
      <c r="FE322" s="8">
        <v>22840.205128404632</v>
      </c>
      <c r="FF322" t="s">
        <v>237</v>
      </c>
      <c r="FH322" s="9">
        <v>1181.6803125447836</v>
      </c>
      <c r="FI322" s="9" t="s">
        <v>225</v>
      </c>
      <c r="FJ322">
        <v>1720</v>
      </c>
      <c r="FK322" t="s">
        <v>238</v>
      </c>
      <c r="FL322">
        <v>301000</v>
      </c>
      <c r="FM322">
        <v>158161.21770080348</v>
      </c>
      <c r="FN322" s="5" t="s">
        <v>237</v>
      </c>
      <c r="FP322" s="6">
        <v>172</v>
      </c>
      <c r="FQ322" t="s">
        <v>450</v>
      </c>
      <c r="FS322" t="s">
        <v>240</v>
      </c>
      <c r="FT322" t="e">
        <f>FQ322=#REF!</f>
        <v>#REF!</v>
      </c>
      <c r="FU322" s="8">
        <v>1</v>
      </c>
      <c r="FV322" s="8">
        <v>10</v>
      </c>
      <c r="FW322" s="8">
        <v>10</v>
      </c>
      <c r="FX322" s="8">
        <v>10</v>
      </c>
      <c r="FY322" s="8">
        <v>3</v>
      </c>
      <c r="FZ322">
        <f t="shared" si="5"/>
        <v>3000</v>
      </c>
      <c r="GA322" s="7" t="s">
        <v>326</v>
      </c>
      <c r="GB322" s="7" t="s">
        <v>326</v>
      </c>
      <c r="GC322" s="6">
        <v>1.5</v>
      </c>
      <c r="GD322" s="348" t="s">
        <v>242</v>
      </c>
      <c r="GF322" s="6">
        <v>0.57333333333333336</v>
      </c>
      <c r="GH322" s="7"/>
      <c r="GI322" s="441" t="s">
        <v>395</v>
      </c>
      <c r="GJ322" s="441" t="s">
        <v>395</v>
      </c>
      <c r="GK322" s="441" t="s">
        <v>395</v>
      </c>
      <c r="GL322" s="441" t="s">
        <v>395</v>
      </c>
      <c r="GM322" s="461" t="s">
        <v>790</v>
      </c>
      <c r="GN322" s="6">
        <v>0.01</v>
      </c>
      <c r="GO322" s="6">
        <v>1.8749999999999999E-2</v>
      </c>
      <c r="GP322" s="6">
        <v>0.03</v>
      </c>
      <c r="GQ322" s="6">
        <v>7.4999999999999997E-2</v>
      </c>
      <c r="GR322" s="461" t="s">
        <v>790</v>
      </c>
      <c r="GU322" t="s">
        <v>243</v>
      </c>
      <c r="GV322" t="s">
        <v>236</v>
      </c>
      <c r="GW322" t="s">
        <v>244</v>
      </c>
      <c r="GX322" t="s">
        <v>236</v>
      </c>
      <c r="GY322" t="s">
        <v>245</v>
      </c>
      <c r="HE322" t="s">
        <v>247</v>
      </c>
      <c r="HF322" t="s">
        <v>223</v>
      </c>
      <c r="HG322" t="s">
        <v>231</v>
      </c>
      <c r="HH322" t="s">
        <v>223</v>
      </c>
      <c r="HI322" t="s">
        <v>247</v>
      </c>
      <c r="HJ322" t="s">
        <v>225</v>
      </c>
      <c r="HK322" t="s">
        <v>568</v>
      </c>
      <c r="HO322" t="s">
        <v>231</v>
      </c>
      <c r="HP322" t="s">
        <v>223</v>
      </c>
      <c r="HQ322" t="s">
        <v>231</v>
      </c>
      <c r="HR322" t="s">
        <v>223</v>
      </c>
      <c r="HU322" t="s">
        <v>231</v>
      </c>
      <c r="HV322" t="s">
        <v>223</v>
      </c>
      <c r="HW322" t="s">
        <v>563</v>
      </c>
      <c r="HX322" t="s">
        <v>236</v>
      </c>
      <c r="IA322" t="s">
        <v>231</v>
      </c>
      <c r="IB322" t="s">
        <v>250</v>
      </c>
      <c r="IC322" t="s">
        <v>395</v>
      </c>
      <c r="ID322" t="s">
        <v>395</v>
      </c>
      <c r="IE322" t="s">
        <v>395</v>
      </c>
      <c r="IF322" t="s">
        <v>395</v>
      </c>
      <c r="IG322" s="459" t="s">
        <v>451</v>
      </c>
      <c r="IH322" t="s">
        <v>235</v>
      </c>
    </row>
    <row r="323" spans="1:242" ht="159.5" x14ac:dyDescent="0.35">
      <c r="A323" s="310" t="s">
        <v>537</v>
      </c>
      <c r="B323" t="s">
        <v>1874</v>
      </c>
      <c r="C323" s="310" t="s">
        <v>1875</v>
      </c>
      <c r="D323" s="316"/>
      <c r="F323" t="s">
        <v>1876</v>
      </c>
      <c r="I323" s="310" t="s">
        <v>1877</v>
      </c>
      <c r="M323" s="313"/>
      <c r="O323"/>
      <c r="P323" s="381"/>
      <c r="Q323"/>
      <c r="T323" s="8"/>
      <c r="U323"/>
      <c r="V323" s="313"/>
      <c r="W323"/>
      <c r="X323"/>
      <c r="Z323"/>
      <c r="AB323"/>
      <c r="AD323" s="8" t="s">
        <v>230</v>
      </c>
      <c r="AF323" s="8" t="s">
        <v>230</v>
      </c>
      <c r="AG323"/>
      <c r="AH323"/>
      <c r="AI323"/>
      <c r="AJ323" t="s">
        <v>221</v>
      </c>
      <c r="AK323">
        <v>0.1</v>
      </c>
      <c r="AL323">
        <v>0.3</v>
      </c>
      <c r="AM323" t="s">
        <v>414</v>
      </c>
      <c r="AN323" t="s">
        <v>236</v>
      </c>
      <c r="AO323" t="s">
        <v>221</v>
      </c>
      <c r="AP323" t="s">
        <v>225</v>
      </c>
      <c r="AQ323" t="s">
        <v>414</v>
      </c>
      <c r="AR323" t="s">
        <v>236</v>
      </c>
      <c r="AS323" t="s">
        <v>221</v>
      </c>
      <c r="AT323" t="s">
        <v>225</v>
      </c>
      <c r="AU323" t="s">
        <v>220</v>
      </c>
      <c r="AV323"/>
      <c r="AW323" s="313" t="s">
        <v>220</v>
      </c>
      <c r="AX323" t="s">
        <v>226</v>
      </c>
      <c r="AY323" s="313" t="s">
        <v>220</v>
      </c>
      <c r="AZ323" s="313">
        <v>0.15</v>
      </c>
      <c r="BB323" s="313" t="s">
        <v>220</v>
      </c>
      <c r="BC323">
        <v>7.8299999999999995E-2</v>
      </c>
      <c r="BD323" t="s">
        <v>220</v>
      </c>
      <c r="BE323">
        <v>9.8100000000000007E-2</v>
      </c>
      <c r="BF323" s="2" t="s">
        <v>220</v>
      </c>
      <c r="BG323" s="2" t="s">
        <v>653</v>
      </c>
      <c r="BH323" s="2" t="s">
        <v>274</v>
      </c>
      <c r="BI323" s="2" t="s">
        <v>275</v>
      </c>
      <c r="BM323"/>
      <c r="BP323" s="8"/>
      <c r="BQ323" t="s">
        <v>230</v>
      </c>
      <c r="BR323" t="s">
        <v>230</v>
      </c>
      <c r="BU323" t="s">
        <v>231</v>
      </c>
      <c r="BV323" t="s">
        <v>236</v>
      </c>
      <c r="BW323" t="s">
        <v>232</v>
      </c>
      <c r="BX323" t="s">
        <v>500</v>
      </c>
      <c r="BY323" t="s">
        <v>257</v>
      </c>
      <c r="BZ323">
        <v>0.51400000000000001</v>
      </c>
      <c r="CA323" t="s">
        <v>234</v>
      </c>
      <c r="CF323" t="s">
        <v>220</v>
      </c>
      <c r="CG323">
        <v>0.108</v>
      </c>
      <c r="CH323" t="s">
        <v>220</v>
      </c>
      <c r="CI323">
        <v>0.223</v>
      </c>
      <c r="CK323"/>
      <c r="CL323"/>
      <c r="CM323"/>
      <c r="CS323" s="8"/>
      <c r="CW323" t="s">
        <v>220</v>
      </c>
      <c r="CX323" t="s">
        <v>257</v>
      </c>
      <c r="CY323" t="s">
        <v>231</v>
      </c>
      <c r="CZ323" t="s">
        <v>220</v>
      </c>
      <c r="DA323" t="s">
        <v>220</v>
      </c>
      <c r="DB323" t="s">
        <v>227</v>
      </c>
      <c r="DC323"/>
      <c r="DD323"/>
      <c r="DE323"/>
      <c r="DF323"/>
      <c r="DG323"/>
      <c r="DH323" s="323"/>
      <c r="DI323" s="323"/>
      <c r="DJ323" s="323"/>
      <c r="DL323" t="s">
        <v>220</v>
      </c>
      <c r="DM323" t="s">
        <v>220</v>
      </c>
      <c r="DN323" t="s">
        <v>227</v>
      </c>
      <c r="DO323" t="s">
        <v>257</v>
      </c>
      <c r="DP323" t="s">
        <v>257</v>
      </c>
      <c r="DS323" s="338">
        <v>75.835999999999999</v>
      </c>
      <c r="DT323" s="8" t="s">
        <v>394</v>
      </c>
      <c r="DU323" s="338">
        <v>2258.9450000000002</v>
      </c>
      <c r="DV323" s="8" t="s">
        <v>394</v>
      </c>
      <c r="DW323">
        <v>896</v>
      </c>
      <c r="DX323" t="s">
        <v>238</v>
      </c>
      <c r="DY323">
        <v>508</v>
      </c>
      <c r="DZ323" t="s">
        <v>238</v>
      </c>
      <c r="EA323"/>
      <c r="EB323"/>
      <c r="ED323" s="410"/>
      <c r="EE323" s="1"/>
      <c r="EG323" s="410"/>
      <c r="EI323" s="410"/>
      <c r="EK323" s="1"/>
      <c r="EM323"/>
      <c r="EQ323" s="344"/>
      <c r="EU323" s="344"/>
      <c r="EW323" s="409"/>
      <c r="EY323" s="1"/>
      <c r="FA323">
        <v>1053.73</v>
      </c>
      <c r="FB323" t="s">
        <v>236</v>
      </c>
      <c r="FC323" s="7">
        <v>377.74610938821917</v>
      </c>
      <c r="FD323" s="357" t="s">
        <v>236</v>
      </c>
      <c r="FE323" s="8">
        <v>77464.014475375414</v>
      </c>
      <c r="FF323" t="s">
        <v>337</v>
      </c>
      <c r="FH323" s="9">
        <v>2456970.8276368417</v>
      </c>
      <c r="FI323" s="9" t="s">
        <v>236</v>
      </c>
      <c r="FJ323">
        <v>3610</v>
      </c>
      <c r="FK323" t="s">
        <v>238</v>
      </c>
      <c r="FL323">
        <v>782</v>
      </c>
      <c r="FM323">
        <v>472824.53051179671</v>
      </c>
      <c r="FN323" s="5" t="s">
        <v>337</v>
      </c>
      <c r="FP323" s="6">
        <v>78.2</v>
      </c>
      <c r="FQ323" t="s">
        <v>239</v>
      </c>
      <c r="FS323" t="s">
        <v>240</v>
      </c>
      <c r="FT323" t="e">
        <f>FQ323=#REF!</f>
        <v>#REF!</v>
      </c>
      <c r="FU323" s="8">
        <v>1</v>
      </c>
      <c r="FV323" s="8">
        <v>10</v>
      </c>
      <c r="FW323" s="8">
        <v>10</v>
      </c>
      <c r="FX323" s="8">
        <v>10</v>
      </c>
      <c r="FY323" s="8">
        <v>3</v>
      </c>
      <c r="FZ323">
        <f t="shared" si="5"/>
        <v>3000</v>
      </c>
      <c r="GA323" s="7" t="s">
        <v>326</v>
      </c>
      <c r="GB323" s="7" t="s">
        <v>326</v>
      </c>
      <c r="GC323" s="6">
        <v>1.5</v>
      </c>
      <c r="GD323" s="348" t="s">
        <v>242</v>
      </c>
      <c r="GF323" s="6">
        <v>0.26066666666666666</v>
      </c>
      <c r="GH323" s="7"/>
      <c r="GI323" s="441">
        <v>1.738</v>
      </c>
      <c r="GJ323" s="441">
        <v>3.258</v>
      </c>
      <c r="GK323" s="441">
        <v>5.2130000000000001</v>
      </c>
      <c r="GL323" s="441">
        <v>13.032999999999999</v>
      </c>
      <c r="GM323" s="461" t="s">
        <v>790</v>
      </c>
      <c r="GN323" s="6">
        <v>0.01</v>
      </c>
      <c r="GO323" s="6">
        <v>1.8749999999999999E-2</v>
      </c>
      <c r="GP323" s="6">
        <v>0.03</v>
      </c>
      <c r="GQ323" s="6">
        <v>7.4999999999999997E-2</v>
      </c>
      <c r="GR323" s="461" t="s">
        <v>790</v>
      </c>
      <c r="GU323" t="s">
        <v>243</v>
      </c>
      <c r="GV323" t="s">
        <v>236</v>
      </c>
      <c r="GW323" t="s">
        <v>244</v>
      </c>
      <c r="GX323" t="s">
        <v>236</v>
      </c>
      <c r="GY323" t="s">
        <v>245</v>
      </c>
      <c r="HE323" t="s">
        <v>247</v>
      </c>
      <c r="HF323" t="s">
        <v>223</v>
      </c>
      <c r="HG323" t="s">
        <v>231</v>
      </c>
      <c r="HH323" t="s">
        <v>225</v>
      </c>
      <c r="HI323" t="s">
        <v>247</v>
      </c>
      <c r="HJ323" t="s">
        <v>225</v>
      </c>
      <c r="HK323" t="s">
        <v>568</v>
      </c>
      <c r="HO323" t="s">
        <v>231</v>
      </c>
      <c r="HP323" t="s">
        <v>223</v>
      </c>
      <c r="HQ323" t="s">
        <v>231</v>
      </c>
      <c r="HR323" t="s">
        <v>223</v>
      </c>
      <c r="HU323" t="s">
        <v>231</v>
      </c>
      <c r="HV323" t="s">
        <v>225</v>
      </c>
      <c r="HW323" t="s">
        <v>563</v>
      </c>
      <c r="HX323" t="s">
        <v>236</v>
      </c>
      <c r="IA323" t="s">
        <v>231</v>
      </c>
      <c r="IB323" t="s">
        <v>250</v>
      </c>
      <c r="IC323">
        <v>1.738</v>
      </c>
      <c r="ID323">
        <v>3.258</v>
      </c>
      <c r="IE323">
        <v>5.2130000000000001</v>
      </c>
      <c r="IF323">
        <v>13.032999999999999</v>
      </c>
      <c r="IG323" s="459" t="s">
        <v>451</v>
      </c>
      <c r="IH323" t="s">
        <v>267</v>
      </c>
    </row>
    <row r="324" spans="1:242" ht="159.5" x14ac:dyDescent="0.35">
      <c r="A324" s="310" t="s">
        <v>537</v>
      </c>
      <c r="B324" t="s">
        <v>1878</v>
      </c>
      <c r="C324" s="310" t="s">
        <v>1879</v>
      </c>
      <c r="D324" s="316"/>
      <c r="F324" t="s">
        <v>1880</v>
      </c>
      <c r="I324" s="310" t="s">
        <v>1877</v>
      </c>
      <c r="M324" s="313"/>
      <c r="O324"/>
      <c r="P324" s="382"/>
      <c r="Q324"/>
      <c r="U324"/>
      <c r="V324" s="313"/>
      <c r="W324"/>
      <c r="X324"/>
      <c r="Z324"/>
      <c r="AB324"/>
      <c r="AD324" s="8" t="s">
        <v>230</v>
      </c>
      <c r="AF324" s="8" t="s">
        <v>230</v>
      </c>
      <c r="AG324"/>
      <c r="AH324"/>
      <c r="AI324"/>
      <c r="AJ324" t="s">
        <v>221</v>
      </c>
      <c r="AK324">
        <v>0.1</v>
      </c>
      <c r="AL324">
        <v>0.3</v>
      </c>
      <c r="AM324" t="s">
        <v>414</v>
      </c>
      <c r="AN324" t="s">
        <v>236</v>
      </c>
      <c r="AO324" t="s">
        <v>221</v>
      </c>
      <c r="AP324" t="s">
        <v>225</v>
      </c>
      <c r="AQ324" t="s">
        <v>414</v>
      </c>
      <c r="AR324" t="s">
        <v>236</v>
      </c>
      <c r="AS324" t="s">
        <v>221</v>
      </c>
      <c r="AT324" t="s">
        <v>225</v>
      </c>
      <c r="AU324" t="s">
        <v>220</v>
      </c>
      <c r="AV324"/>
      <c r="AW324" s="313" t="s">
        <v>220</v>
      </c>
      <c r="AX324" t="s">
        <v>226</v>
      </c>
      <c r="AY324" s="313" t="s">
        <v>220</v>
      </c>
      <c r="AZ324" s="313">
        <v>0.15</v>
      </c>
      <c r="BB324" s="313" t="s">
        <v>220</v>
      </c>
      <c r="BC324">
        <v>7.8299999999999995E-2</v>
      </c>
      <c r="BD324" t="s">
        <v>220</v>
      </c>
      <c r="BE324">
        <v>9.8100000000000007E-2</v>
      </c>
      <c r="BF324" s="2" t="s">
        <v>220</v>
      </c>
      <c r="BG324" s="2" t="s">
        <v>653</v>
      </c>
      <c r="BH324" s="2" t="s">
        <v>274</v>
      </c>
      <c r="BI324" s="2" t="s">
        <v>275</v>
      </c>
      <c r="BM324"/>
      <c r="BP324" s="8"/>
      <c r="BQ324" t="s">
        <v>230</v>
      </c>
      <c r="BR324" t="s">
        <v>230</v>
      </c>
      <c r="BU324" t="s">
        <v>231</v>
      </c>
      <c r="BV324" t="s">
        <v>236</v>
      </c>
      <c r="BW324" t="s">
        <v>232</v>
      </c>
      <c r="BX324" t="s">
        <v>500</v>
      </c>
      <c r="BY324" t="s">
        <v>257</v>
      </c>
      <c r="BZ324">
        <v>0.51400000000000001</v>
      </c>
      <c r="CA324" t="s">
        <v>234</v>
      </c>
      <c r="CF324" t="s">
        <v>220</v>
      </c>
      <c r="CG324">
        <v>0.108</v>
      </c>
      <c r="CH324" t="s">
        <v>220</v>
      </c>
      <c r="CI324">
        <v>0.223</v>
      </c>
      <c r="CK324"/>
      <c r="CL324"/>
      <c r="CM324"/>
      <c r="CS324" s="8"/>
      <c r="CW324" t="s">
        <v>220</v>
      </c>
      <c r="CX324" t="s">
        <v>257</v>
      </c>
      <c r="CY324" t="s">
        <v>231</v>
      </c>
      <c r="CZ324" t="s">
        <v>220</v>
      </c>
      <c r="DA324" t="s">
        <v>220</v>
      </c>
      <c r="DB324" t="s">
        <v>227</v>
      </c>
      <c r="DC324"/>
      <c r="DD324"/>
      <c r="DE324"/>
      <c r="DF324"/>
      <c r="DG324"/>
      <c r="DH324" s="323"/>
      <c r="DI324" s="323"/>
      <c r="DJ324" s="323"/>
      <c r="DL324" t="s">
        <v>220</v>
      </c>
      <c r="DM324" t="s">
        <v>220</v>
      </c>
      <c r="DN324" t="s">
        <v>227</v>
      </c>
      <c r="DO324" t="s">
        <v>257</v>
      </c>
      <c r="DP324" t="s">
        <v>257</v>
      </c>
      <c r="DS324" s="338">
        <v>71.289000000000001</v>
      </c>
      <c r="DT324" s="8" t="s">
        <v>394</v>
      </c>
      <c r="DU324" s="338">
        <v>2246.12</v>
      </c>
      <c r="DV324" s="8" t="s">
        <v>394</v>
      </c>
      <c r="DW324">
        <v>793</v>
      </c>
      <c r="DX324" t="s">
        <v>238</v>
      </c>
      <c r="DY324">
        <v>439</v>
      </c>
      <c r="DZ324" t="s">
        <v>238</v>
      </c>
      <c r="EA324"/>
      <c r="EB324"/>
      <c r="ED324" s="410"/>
      <c r="EE324" s="1"/>
      <c r="EG324" s="410"/>
      <c r="EI324" s="410"/>
      <c r="EK324" s="1"/>
      <c r="EM324"/>
      <c r="EQ324" s="344"/>
      <c r="EU324" s="344"/>
      <c r="EW324" s="409"/>
      <c r="EY324" s="1"/>
      <c r="FA324">
        <v>1053.73</v>
      </c>
      <c r="FB324" t="s">
        <v>236</v>
      </c>
      <c r="FC324" s="7">
        <v>377.74610938821917</v>
      </c>
      <c r="FD324" s="357" t="s">
        <v>236</v>
      </c>
      <c r="FE324" s="8">
        <v>77464.014475375414</v>
      </c>
      <c r="FF324" t="s">
        <v>337</v>
      </c>
      <c r="FH324" s="9">
        <v>2456970.8276368417</v>
      </c>
      <c r="FI324" s="9" t="s">
        <v>236</v>
      </c>
      <c r="FJ324">
        <v>3430</v>
      </c>
      <c r="FK324" t="s">
        <v>238</v>
      </c>
      <c r="FL324">
        <v>782</v>
      </c>
      <c r="FM324">
        <v>472824.53051179671</v>
      </c>
      <c r="FN324" s="5" t="s">
        <v>337</v>
      </c>
      <c r="FP324" s="6">
        <v>78.2</v>
      </c>
      <c r="FQ324" t="s">
        <v>239</v>
      </c>
      <c r="FS324" t="s">
        <v>240</v>
      </c>
      <c r="FT324" t="e">
        <f>FQ324=#REF!</f>
        <v>#REF!</v>
      </c>
      <c r="FU324" s="8">
        <v>1</v>
      </c>
      <c r="FV324" s="8">
        <v>10</v>
      </c>
      <c r="FW324" s="8">
        <v>10</v>
      </c>
      <c r="FX324" s="8">
        <v>10</v>
      </c>
      <c r="FY324" s="8">
        <v>3</v>
      </c>
      <c r="FZ324">
        <f t="shared" si="5"/>
        <v>3000</v>
      </c>
      <c r="GA324" s="7" t="s">
        <v>326</v>
      </c>
      <c r="GB324" s="7" t="s">
        <v>326</v>
      </c>
      <c r="GC324" s="6">
        <v>1.5</v>
      </c>
      <c r="GD324" s="348" t="s">
        <v>242</v>
      </c>
      <c r="GF324" s="6">
        <v>0.26066666666666666</v>
      </c>
      <c r="GH324" s="7"/>
      <c r="GI324" s="441">
        <v>1.738</v>
      </c>
      <c r="GJ324" s="441">
        <v>3.258</v>
      </c>
      <c r="GK324" s="441">
        <v>5.2130000000000001</v>
      </c>
      <c r="GL324" s="441">
        <v>13.032999999999999</v>
      </c>
      <c r="GM324" s="461" t="s">
        <v>790</v>
      </c>
      <c r="GN324" s="6">
        <v>0.01</v>
      </c>
      <c r="GO324" s="6">
        <v>1.8749999999999999E-2</v>
      </c>
      <c r="GP324" s="6">
        <v>0.03</v>
      </c>
      <c r="GQ324" s="6">
        <v>7.4999999999999997E-2</v>
      </c>
      <c r="GR324" s="461" t="s">
        <v>790</v>
      </c>
      <c r="GU324" t="s">
        <v>243</v>
      </c>
      <c r="GV324" t="s">
        <v>236</v>
      </c>
      <c r="GW324" t="s">
        <v>244</v>
      </c>
      <c r="GX324" t="s">
        <v>236</v>
      </c>
      <c r="GY324" t="s">
        <v>245</v>
      </c>
      <c r="HE324" t="s">
        <v>247</v>
      </c>
      <c r="HF324" t="s">
        <v>223</v>
      </c>
      <c r="HG324" t="s">
        <v>231</v>
      </c>
      <c r="HH324" t="s">
        <v>225</v>
      </c>
      <c r="HI324" t="s">
        <v>247</v>
      </c>
      <c r="HJ324" t="s">
        <v>225</v>
      </c>
      <c r="HK324" t="s">
        <v>568</v>
      </c>
      <c r="HO324" t="s">
        <v>231</v>
      </c>
      <c r="HP324" t="s">
        <v>223</v>
      </c>
      <c r="HQ324" t="s">
        <v>231</v>
      </c>
      <c r="HR324" t="s">
        <v>223</v>
      </c>
      <c r="HU324" t="s">
        <v>231</v>
      </c>
      <c r="HV324" t="s">
        <v>225</v>
      </c>
      <c r="HW324" t="s">
        <v>563</v>
      </c>
      <c r="HX324" t="s">
        <v>236</v>
      </c>
      <c r="IA324" t="s">
        <v>231</v>
      </c>
      <c r="IB324" t="s">
        <v>250</v>
      </c>
      <c r="IC324">
        <v>1.738</v>
      </c>
      <c r="ID324">
        <v>3.258</v>
      </c>
      <c r="IE324">
        <v>5.2130000000000001</v>
      </c>
      <c r="IF324">
        <v>13.032999999999999</v>
      </c>
      <c r="IG324" s="459" t="s">
        <v>451</v>
      </c>
      <c r="IH324" t="s">
        <v>267</v>
      </c>
    </row>
    <row r="325" spans="1:242" ht="159.5" x14ac:dyDescent="0.35">
      <c r="A325" s="310" t="s">
        <v>537</v>
      </c>
      <c r="B325" t="s">
        <v>1881</v>
      </c>
      <c r="C325" s="310" t="s">
        <v>1882</v>
      </c>
      <c r="D325" s="316"/>
      <c r="F325" t="s">
        <v>1883</v>
      </c>
      <c r="I325" s="310" t="s">
        <v>1884</v>
      </c>
      <c r="M325" s="313"/>
      <c r="O325"/>
      <c r="P325" s="381"/>
      <c r="Q325"/>
      <c r="T325" s="8"/>
      <c r="U325"/>
      <c r="V325" s="313"/>
      <c r="W325"/>
      <c r="X325"/>
      <c r="Z325"/>
      <c r="AB325"/>
      <c r="AD325" s="8" t="s">
        <v>230</v>
      </c>
      <c r="AF325" s="8" t="s">
        <v>230</v>
      </c>
      <c r="AG325"/>
      <c r="AH325"/>
      <c r="AI325"/>
      <c r="AJ325" t="s">
        <v>221</v>
      </c>
      <c r="AK325">
        <v>0</v>
      </c>
      <c r="AL325">
        <v>0.6</v>
      </c>
      <c r="AM325" t="s">
        <v>221</v>
      </c>
      <c r="AN325" t="s">
        <v>225</v>
      </c>
      <c r="AO325" t="s">
        <v>221</v>
      </c>
      <c r="AP325" t="s">
        <v>225</v>
      </c>
      <c r="AQ325" t="s">
        <v>221</v>
      </c>
      <c r="AR325" t="s">
        <v>225</v>
      </c>
      <c r="AS325" t="s">
        <v>221</v>
      </c>
      <c r="AT325" t="s">
        <v>225</v>
      </c>
      <c r="AU325" t="s">
        <v>220</v>
      </c>
      <c r="AV325"/>
      <c r="AW325" s="313" t="s">
        <v>220</v>
      </c>
      <c r="AX325" t="s">
        <v>226</v>
      </c>
      <c r="AY325" s="313" t="s">
        <v>220</v>
      </c>
      <c r="AZ325" s="313">
        <v>7.8299999999999995E-2</v>
      </c>
      <c r="BB325" s="313" t="s">
        <v>220</v>
      </c>
      <c r="BC325">
        <v>6.1400000000000003E-2</v>
      </c>
      <c r="BD325" t="s">
        <v>220</v>
      </c>
      <c r="BE325">
        <v>2.2100000000000002E-2</v>
      </c>
      <c r="BF325" s="2" t="s">
        <v>220</v>
      </c>
      <c r="BG325" s="2" t="s">
        <v>273</v>
      </c>
      <c r="BH325" s="2" t="s">
        <v>274</v>
      </c>
      <c r="BI325" s="2" t="s">
        <v>275</v>
      </c>
      <c r="BM325"/>
      <c r="BP325" s="8"/>
      <c r="BQ325" t="s">
        <v>230</v>
      </c>
      <c r="BR325" t="s">
        <v>230</v>
      </c>
      <c r="BU325" t="s">
        <v>231</v>
      </c>
      <c r="BV325" t="s">
        <v>236</v>
      </c>
      <c r="BW325" t="s">
        <v>232</v>
      </c>
      <c r="BX325" t="s">
        <v>233</v>
      </c>
      <c r="BY325" t="s">
        <v>220</v>
      </c>
      <c r="BZ325">
        <v>0.28100000000000003</v>
      </c>
      <c r="CA325" t="s">
        <v>234</v>
      </c>
      <c r="CF325" t="s">
        <v>220</v>
      </c>
      <c r="CG325">
        <v>6.8700000000000002E-3</v>
      </c>
      <c r="CH325" t="s">
        <v>220</v>
      </c>
      <c r="CI325">
        <v>1.2800000000000001E-2</v>
      </c>
      <c r="CK325"/>
      <c r="CL325"/>
      <c r="CM325"/>
      <c r="CS325" s="8"/>
      <c r="CW325" t="s">
        <v>220</v>
      </c>
      <c r="CX325" t="s">
        <v>220</v>
      </c>
      <c r="CY325" t="s">
        <v>231</v>
      </c>
      <c r="CZ325" t="s">
        <v>220</v>
      </c>
      <c r="DA325" t="s">
        <v>220</v>
      </c>
      <c r="DB325" t="s">
        <v>227</v>
      </c>
      <c r="DC325"/>
      <c r="DD325"/>
      <c r="DE325"/>
      <c r="DF325"/>
      <c r="DG325"/>
      <c r="DH325" s="323"/>
      <c r="DI325" s="323"/>
      <c r="DJ325" s="323"/>
      <c r="DL325" t="s">
        <v>220</v>
      </c>
      <c r="DM325" t="s">
        <v>220</v>
      </c>
      <c r="DN325" t="s">
        <v>227</v>
      </c>
      <c r="DO325" t="s">
        <v>257</v>
      </c>
      <c r="DP325" t="s">
        <v>257</v>
      </c>
      <c r="DS325" s="338">
        <v>26.506</v>
      </c>
      <c r="DT325" s="8" t="s">
        <v>394</v>
      </c>
      <c r="DU325" s="338">
        <v>1028.604</v>
      </c>
      <c r="DV325" s="8" t="s">
        <v>394</v>
      </c>
      <c r="DW325">
        <v>5530</v>
      </c>
      <c r="DX325" t="s">
        <v>238</v>
      </c>
      <c r="DY325"/>
      <c r="DZ325" t="s">
        <v>235</v>
      </c>
      <c r="EA325"/>
      <c r="EB325"/>
      <c r="ED325" s="410"/>
      <c r="EE325" s="1"/>
      <c r="EG325" s="410"/>
      <c r="EI325" s="410"/>
      <c r="EK325" s="1"/>
      <c r="EM325"/>
      <c r="EQ325" s="344"/>
      <c r="EU325" s="344"/>
      <c r="EW325" s="409"/>
      <c r="EY325" s="1"/>
      <c r="FA325">
        <v>11012.95</v>
      </c>
      <c r="FB325" t="s">
        <v>236</v>
      </c>
      <c r="FC325" s="7">
        <v>1360.1913228556707</v>
      </c>
      <c r="FD325" s="357" t="s">
        <v>236</v>
      </c>
      <c r="FE325" s="8">
        <v>327340.69487883837</v>
      </c>
      <c r="FF325" t="s">
        <v>237</v>
      </c>
      <c r="FH325" s="9">
        <v>30150.880540378868</v>
      </c>
      <c r="FI325" s="9" t="s">
        <v>236</v>
      </c>
      <c r="FJ325">
        <v>4060</v>
      </c>
      <c r="FK325" t="s">
        <v>238</v>
      </c>
      <c r="FL325">
        <v>1330000</v>
      </c>
      <c r="FM325">
        <v>4086015.4081382351</v>
      </c>
      <c r="FN325" s="5" t="s">
        <v>237</v>
      </c>
      <c r="FP325" s="6">
        <v>406</v>
      </c>
      <c r="FQ325" t="s">
        <v>450</v>
      </c>
      <c r="FS325" t="s">
        <v>240</v>
      </c>
      <c r="FT325" t="e">
        <f>FQ325=#REF!</f>
        <v>#REF!</v>
      </c>
      <c r="FU325" s="8">
        <v>1</v>
      </c>
      <c r="FV325" s="8">
        <v>10</v>
      </c>
      <c r="FW325" s="8">
        <v>10</v>
      </c>
      <c r="FX325" s="8">
        <v>10</v>
      </c>
      <c r="FY325" s="8">
        <v>3</v>
      </c>
      <c r="FZ325">
        <f t="shared" si="5"/>
        <v>3000</v>
      </c>
      <c r="GA325" s="7" t="s">
        <v>241</v>
      </c>
      <c r="GB325" s="7" t="s">
        <v>241</v>
      </c>
      <c r="GC325" s="6">
        <v>30</v>
      </c>
      <c r="GD325" s="348" t="s">
        <v>242</v>
      </c>
      <c r="GF325" s="6">
        <v>1.3533333333333335</v>
      </c>
      <c r="GH325" s="7"/>
      <c r="GI325" s="441" t="s">
        <v>395</v>
      </c>
      <c r="GJ325" s="441" t="s">
        <v>395</v>
      </c>
      <c r="GK325" s="441" t="s">
        <v>395</v>
      </c>
      <c r="GL325" s="441" t="s">
        <v>395</v>
      </c>
      <c r="GM325" s="461" t="s">
        <v>790</v>
      </c>
      <c r="GN325" s="6">
        <v>0.2</v>
      </c>
      <c r="GO325" s="6">
        <v>0.375</v>
      </c>
      <c r="GP325" s="6">
        <v>0.6</v>
      </c>
      <c r="GQ325" s="6">
        <v>1.5</v>
      </c>
      <c r="GR325" s="461" t="s">
        <v>790</v>
      </c>
      <c r="GU325" t="s">
        <v>243</v>
      </c>
      <c r="GV325" t="s">
        <v>236</v>
      </c>
      <c r="GW325" t="s">
        <v>244</v>
      </c>
      <c r="GX325" t="s">
        <v>236</v>
      </c>
      <c r="GY325" t="s">
        <v>245</v>
      </c>
      <c r="HE325" t="s">
        <v>247</v>
      </c>
      <c r="HF325" t="s">
        <v>223</v>
      </c>
      <c r="HG325" t="s">
        <v>231</v>
      </c>
      <c r="HH325" t="s">
        <v>223</v>
      </c>
      <c r="HI325" t="s">
        <v>247</v>
      </c>
      <c r="HJ325" t="s">
        <v>225</v>
      </c>
      <c r="HK325" t="s">
        <v>568</v>
      </c>
      <c r="HO325" t="s">
        <v>231</v>
      </c>
      <c r="HP325" t="s">
        <v>223</v>
      </c>
      <c r="HQ325" t="s">
        <v>231</v>
      </c>
      <c r="HR325" t="s">
        <v>223</v>
      </c>
      <c r="HU325" t="s">
        <v>231</v>
      </c>
      <c r="HV325" t="s">
        <v>223</v>
      </c>
      <c r="HW325" t="s">
        <v>563</v>
      </c>
      <c r="HX325" t="s">
        <v>236</v>
      </c>
      <c r="IA325" t="s">
        <v>231</v>
      </c>
      <c r="IB325" t="s">
        <v>250</v>
      </c>
      <c r="IC325" t="s">
        <v>395</v>
      </c>
      <c r="ID325" t="s">
        <v>395</v>
      </c>
      <c r="IE325" t="s">
        <v>395</v>
      </c>
      <c r="IF325" t="s">
        <v>395</v>
      </c>
      <c r="IG325" s="459" t="s">
        <v>451</v>
      </c>
      <c r="IH325" t="s">
        <v>235</v>
      </c>
    </row>
    <row r="326" spans="1:242" ht="159.5" x14ac:dyDescent="0.35">
      <c r="A326" s="310" t="s">
        <v>537</v>
      </c>
      <c r="B326" t="s">
        <v>1885</v>
      </c>
      <c r="C326" s="310" t="s">
        <v>1886</v>
      </c>
      <c r="D326" s="316"/>
      <c r="F326" t="s">
        <v>1887</v>
      </c>
      <c r="I326" s="310" t="s">
        <v>1884</v>
      </c>
      <c r="M326" s="313"/>
      <c r="O326"/>
      <c r="P326" s="382"/>
      <c r="Q326"/>
      <c r="U326"/>
      <c r="V326" s="313"/>
      <c r="W326"/>
      <c r="X326"/>
      <c r="Z326"/>
      <c r="AB326"/>
      <c r="AD326" s="8" t="s">
        <v>230</v>
      </c>
      <c r="AF326" s="8" t="s">
        <v>230</v>
      </c>
      <c r="AG326"/>
      <c r="AH326"/>
      <c r="AI326"/>
      <c r="AJ326" t="s">
        <v>221</v>
      </c>
      <c r="AK326">
        <v>0</v>
      </c>
      <c r="AL326">
        <v>0.6</v>
      </c>
      <c r="AM326" t="s">
        <v>221</v>
      </c>
      <c r="AN326" t="s">
        <v>225</v>
      </c>
      <c r="AO326" t="s">
        <v>221</v>
      </c>
      <c r="AP326" t="s">
        <v>225</v>
      </c>
      <c r="AQ326" t="s">
        <v>221</v>
      </c>
      <c r="AR326" t="s">
        <v>225</v>
      </c>
      <c r="AS326" t="s">
        <v>221</v>
      </c>
      <c r="AT326" t="s">
        <v>225</v>
      </c>
      <c r="AU326" t="s">
        <v>220</v>
      </c>
      <c r="AV326"/>
      <c r="AW326" s="313" t="s">
        <v>220</v>
      </c>
      <c r="AX326" t="s">
        <v>226</v>
      </c>
      <c r="AY326" s="313" t="s">
        <v>220</v>
      </c>
      <c r="AZ326" s="313">
        <v>7.8299999999999995E-2</v>
      </c>
      <c r="BB326" s="313" t="s">
        <v>220</v>
      </c>
      <c r="BC326">
        <v>6.1400000000000003E-2</v>
      </c>
      <c r="BD326" t="s">
        <v>220</v>
      </c>
      <c r="BE326">
        <v>2.2100000000000002E-2</v>
      </c>
      <c r="BF326" s="2" t="s">
        <v>220</v>
      </c>
      <c r="BG326" s="2" t="s">
        <v>273</v>
      </c>
      <c r="BH326" s="2" t="s">
        <v>274</v>
      </c>
      <c r="BI326" s="2" t="s">
        <v>275</v>
      </c>
      <c r="BM326"/>
      <c r="BP326" s="8"/>
      <c r="BQ326" t="s">
        <v>230</v>
      </c>
      <c r="BR326" t="s">
        <v>230</v>
      </c>
      <c r="BU326" t="s">
        <v>231</v>
      </c>
      <c r="BV326" t="s">
        <v>236</v>
      </c>
      <c r="BW326" t="s">
        <v>232</v>
      </c>
      <c r="BX326" t="s">
        <v>233</v>
      </c>
      <c r="BY326" t="s">
        <v>220</v>
      </c>
      <c r="BZ326">
        <v>0.28100000000000003</v>
      </c>
      <c r="CA326" t="s">
        <v>234</v>
      </c>
      <c r="CF326" t="s">
        <v>220</v>
      </c>
      <c r="CG326">
        <v>6.8700000000000002E-3</v>
      </c>
      <c r="CH326" t="s">
        <v>220</v>
      </c>
      <c r="CI326">
        <v>1.2800000000000001E-2</v>
      </c>
      <c r="CK326"/>
      <c r="CL326"/>
      <c r="CM326"/>
      <c r="CS326" s="8"/>
      <c r="CW326" t="s">
        <v>220</v>
      </c>
      <c r="CX326" t="s">
        <v>220</v>
      </c>
      <c r="CY326" t="s">
        <v>231</v>
      </c>
      <c r="CZ326" t="s">
        <v>220</v>
      </c>
      <c r="DA326" t="s">
        <v>220</v>
      </c>
      <c r="DB326" t="s">
        <v>227</v>
      </c>
      <c r="DC326"/>
      <c r="DD326"/>
      <c r="DE326"/>
      <c r="DF326"/>
      <c r="DG326"/>
      <c r="DH326" s="323"/>
      <c r="DI326" s="323"/>
      <c r="DJ326" s="323"/>
      <c r="DL326" t="s">
        <v>220</v>
      </c>
      <c r="DM326" t="s">
        <v>220</v>
      </c>
      <c r="DN326" t="s">
        <v>227</v>
      </c>
      <c r="DO326" t="s">
        <v>257</v>
      </c>
      <c r="DP326" t="s">
        <v>257</v>
      </c>
      <c r="DS326" s="338">
        <v>27.327999999999999</v>
      </c>
      <c r="DT326" s="8" t="s">
        <v>394</v>
      </c>
      <c r="DU326" s="338">
        <v>1039.46</v>
      </c>
      <c r="DV326" s="8" t="s">
        <v>394</v>
      </c>
      <c r="DW326">
        <v>5530</v>
      </c>
      <c r="DX326" t="s">
        <v>238</v>
      </c>
      <c r="DY326"/>
      <c r="DZ326" t="s">
        <v>235</v>
      </c>
      <c r="EA326"/>
      <c r="EB326"/>
      <c r="ED326" s="410"/>
      <c r="EE326" s="1"/>
      <c r="EG326" s="410"/>
      <c r="EI326" s="410"/>
      <c r="EK326" s="1"/>
      <c r="EM326"/>
      <c r="EQ326" s="344"/>
      <c r="EU326" s="344"/>
      <c r="EW326" s="409"/>
      <c r="EY326" s="1"/>
      <c r="FA326">
        <v>11012.95</v>
      </c>
      <c r="FB326" t="s">
        <v>236</v>
      </c>
      <c r="FC326" s="7">
        <v>1360.1913228556707</v>
      </c>
      <c r="FD326" s="357" t="s">
        <v>236</v>
      </c>
      <c r="FE326" s="8">
        <v>327340.69487883837</v>
      </c>
      <c r="FF326" t="s">
        <v>237</v>
      </c>
      <c r="FH326" s="9">
        <v>30150.880540378868</v>
      </c>
      <c r="FI326" s="9" t="s">
        <v>236</v>
      </c>
      <c r="FJ326">
        <v>4120</v>
      </c>
      <c r="FK326" t="s">
        <v>238</v>
      </c>
      <c r="FL326">
        <v>1330000</v>
      </c>
      <c r="FM326">
        <v>4086015.4081382351</v>
      </c>
      <c r="FN326" s="5" t="s">
        <v>237</v>
      </c>
      <c r="FP326" s="6">
        <v>412</v>
      </c>
      <c r="FQ326" t="s">
        <v>450</v>
      </c>
      <c r="FS326" t="s">
        <v>240</v>
      </c>
      <c r="FT326" t="e">
        <f>FQ326=#REF!</f>
        <v>#REF!</v>
      </c>
      <c r="FU326" s="8">
        <v>1</v>
      </c>
      <c r="FV326" s="8">
        <v>10</v>
      </c>
      <c r="FW326" s="8">
        <v>10</v>
      </c>
      <c r="FX326" s="8">
        <v>10</v>
      </c>
      <c r="FY326" s="8">
        <v>3</v>
      </c>
      <c r="FZ326">
        <f t="shared" si="5"/>
        <v>3000</v>
      </c>
      <c r="GA326" s="7" t="s">
        <v>241</v>
      </c>
      <c r="GB326" s="7" t="s">
        <v>241</v>
      </c>
      <c r="GC326" s="6">
        <v>30</v>
      </c>
      <c r="GD326" s="348" t="s">
        <v>242</v>
      </c>
      <c r="GF326" s="6">
        <v>1.3733333333333335</v>
      </c>
      <c r="GH326" s="7"/>
      <c r="GI326" s="441" t="s">
        <v>395</v>
      </c>
      <c r="GJ326" s="441" t="s">
        <v>395</v>
      </c>
      <c r="GK326" s="441" t="s">
        <v>395</v>
      </c>
      <c r="GL326" s="441" t="s">
        <v>395</v>
      </c>
      <c r="GM326" s="461" t="s">
        <v>790</v>
      </c>
      <c r="GN326" s="6">
        <v>0.2</v>
      </c>
      <c r="GO326" s="6">
        <v>0.375</v>
      </c>
      <c r="GP326" s="6">
        <v>0.6</v>
      </c>
      <c r="GQ326" s="6">
        <v>1.5</v>
      </c>
      <c r="GR326" s="461" t="s">
        <v>790</v>
      </c>
      <c r="GU326" t="s">
        <v>243</v>
      </c>
      <c r="GV326" t="s">
        <v>236</v>
      </c>
      <c r="GW326" t="s">
        <v>244</v>
      </c>
      <c r="GX326" t="s">
        <v>236</v>
      </c>
      <c r="GY326" t="s">
        <v>245</v>
      </c>
      <c r="HE326" t="s">
        <v>247</v>
      </c>
      <c r="HF326" t="s">
        <v>223</v>
      </c>
      <c r="HG326" t="s">
        <v>231</v>
      </c>
      <c r="HH326" t="s">
        <v>223</v>
      </c>
      <c r="HI326" t="s">
        <v>247</v>
      </c>
      <c r="HJ326" t="s">
        <v>225</v>
      </c>
      <c r="HK326" t="s">
        <v>568</v>
      </c>
      <c r="HO326" t="s">
        <v>231</v>
      </c>
      <c r="HP326" t="s">
        <v>223</v>
      </c>
      <c r="HQ326" t="s">
        <v>231</v>
      </c>
      <c r="HR326" t="s">
        <v>223</v>
      </c>
      <c r="HU326" t="s">
        <v>231</v>
      </c>
      <c r="HV326" t="s">
        <v>223</v>
      </c>
      <c r="HW326" t="s">
        <v>563</v>
      </c>
      <c r="HX326" t="s">
        <v>236</v>
      </c>
      <c r="IA326" t="s">
        <v>231</v>
      </c>
      <c r="IB326" t="s">
        <v>250</v>
      </c>
      <c r="IC326" t="s">
        <v>395</v>
      </c>
      <c r="ID326" t="s">
        <v>395</v>
      </c>
      <c r="IE326" t="s">
        <v>395</v>
      </c>
      <c r="IF326" t="s">
        <v>395</v>
      </c>
      <c r="IG326" s="459" t="s">
        <v>451</v>
      </c>
      <c r="IH326" t="s">
        <v>235</v>
      </c>
    </row>
    <row r="327" spans="1:242" ht="159.5" x14ac:dyDescent="0.35">
      <c r="A327" s="310" t="s">
        <v>537</v>
      </c>
      <c r="B327" t="s">
        <v>1888</v>
      </c>
      <c r="C327" s="310" t="s">
        <v>1889</v>
      </c>
      <c r="D327" s="316"/>
      <c r="F327" t="s">
        <v>1890</v>
      </c>
      <c r="I327" s="310" t="s">
        <v>1891</v>
      </c>
      <c r="M327" s="313"/>
      <c r="O327"/>
      <c r="P327" s="381"/>
      <c r="Q327"/>
      <c r="T327" s="8"/>
      <c r="U327"/>
      <c r="V327" s="313"/>
      <c r="W327"/>
      <c r="X327"/>
      <c r="Z327"/>
      <c r="AB327"/>
      <c r="AD327" s="8" t="s">
        <v>230</v>
      </c>
      <c r="AF327" s="8" t="s">
        <v>230</v>
      </c>
      <c r="AG327"/>
      <c r="AH327"/>
      <c r="AI327"/>
      <c r="AJ327" t="s">
        <v>221</v>
      </c>
      <c r="AK327">
        <v>0</v>
      </c>
      <c r="AL327">
        <v>0.6</v>
      </c>
      <c r="AM327" t="s">
        <v>221</v>
      </c>
      <c r="AN327" t="s">
        <v>225</v>
      </c>
      <c r="AO327" t="s">
        <v>221</v>
      </c>
      <c r="AP327" t="s">
        <v>225</v>
      </c>
      <c r="AQ327" t="s">
        <v>221</v>
      </c>
      <c r="AR327" t="s">
        <v>225</v>
      </c>
      <c r="AS327" t="s">
        <v>221</v>
      </c>
      <c r="AT327" t="s">
        <v>225</v>
      </c>
      <c r="AU327" t="s">
        <v>220</v>
      </c>
      <c r="AV327"/>
      <c r="AW327" s="313" t="s">
        <v>220</v>
      </c>
      <c r="AX327" t="s">
        <v>226</v>
      </c>
      <c r="AY327" s="313" t="s">
        <v>220</v>
      </c>
      <c r="AZ327" s="313">
        <v>0.16</v>
      </c>
      <c r="BB327" s="313" t="s">
        <v>220</v>
      </c>
      <c r="BC327">
        <v>0.11799999999999999</v>
      </c>
      <c r="BD327" t="s">
        <v>220</v>
      </c>
      <c r="BE327">
        <v>6.0100000000000001E-2</v>
      </c>
      <c r="BF327" s="2" t="s">
        <v>220</v>
      </c>
      <c r="BG327" s="2" t="s">
        <v>273</v>
      </c>
      <c r="BH327" s="2" t="s">
        <v>274</v>
      </c>
      <c r="BI327" s="2" t="s">
        <v>275</v>
      </c>
      <c r="BM327"/>
      <c r="BP327" s="8"/>
      <c r="BQ327" t="s">
        <v>230</v>
      </c>
      <c r="BR327" t="s">
        <v>230</v>
      </c>
      <c r="BU327" t="s">
        <v>231</v>
      </c>
      <c r="BV327" t="s">
        <v>225</v>
      </c>
      <c r="BW327" t="s">
        <v>232</v>
      </c>
      <c r="BX327" t="s">
        <v>233</v>
      </c>
      <c r="BY327" t="s">
        <v>220</v>
      </c>
      <c r="BZ327">
        <v>0.309</v>
      </c>
      <c r="CA327" t="s">
        <v>372</v>
      </c>
      <c r="CF327" t="s">
        <v>220</v>
      </c>
      <c r="CG327">
        <v>0.113</v>
      </c>
      <c r="CH327" t="s">
        <v>257</v>
      </c>
      <c r="CI327">
        <v>0.59499999999999997</v>
      </c>
      <c r="CK327"/>
      <c r="CL327"/>
      <c r="CM327"/>
      <c r="CS327" s="8"/>
      <c r="CW327" t="s">
        <v>220</v>
      </c>
      <c r="CX327" t="s">
        <v>220</v>
      </c>
      <c r="CY327" t="s">
        <v>231</v>
      </c>
      <c r="CZ327" t="s">
        <v>220</v>
      </c>
      <c r="DA327" t="s">
        <v>220</v>
      </c>
      <c r="DB327" t="s">
        <v>227</v>
      </c>
      <c r="DC327"/>
      <c r="DD327"/>
      <c r="DE327"/>
      <c r="DF327"/>
      <c r="DG327"/>
      <c r="DH327" s="323"/>
      <c r="DI327" s="323"/>
      <c r="DJ327" s="323"/>
      <c r="DL327" t="s">
        <v>220</v>
      </c>
      <c r="DM327" t="s">
        <v>220</v>
      </c>
      <c r="DN327" t="s">
        <v>227</v>
      </c>
      <c r="DO327" t="s">
        <v>257</v>
      </c>
      <c r="DP327" t="s">
        <v>257</v>
      </c>
      <c r="DS327" s="338">
        <v>5.1150000000000002</v>
      </c>
      <c r="DT327" s="8" t="s">
        <v>394</v>
      </c>
      <c r="DU327" s="338">
        <v>1487.143</v>
      </c>
      <c r="DV327" s="8" t="s">
        <v>394</v>
      </c>
      <c r="DW327">
        <v>6.97</v>
      </c>
      <c r="DX327" t="s">
        <v>238</v>
      </c>
      <c r="DY327"/>
      <c r="DZ327" t="s">
        <v>235</v>
      </c>
      <c r="EA327"/>
      <c r="EB327"/>
      <c r="ED327" s="410"/>
      <c r="EE327" s="1"/>
      <c r="EG327" s="410"/>
      <c r="EI327" s="410"/>
      <c r="EK327" s="1"/>
      <c r="EM327"/>
      <c r="EQ327" s="344"/>
      <c r="EU327" s="344"/>
      <c r="EW327" s="409"/>
      <c r="EY327" s="1"/>
      <c r="FA327">
        <v>25213.77</v>
      </c>
      <c r="FB327" t="s">
        <v>236</v>
      </c>
      <c r="FC327" s="7">
        <v>4278.583381637387</v>
      </c>
      <c r="FD327" s="357" t="s">
        <v>236</v>
      </c>
      <c r="FE327" s="8">
        <v>269587.65435574454</v>
      </c>
      <c r="FF327" t="s">
        <v>237</v>
      </c>
      <c r="FH327" s="9">
        <v>28721.029297978348</v>
      </c>
      <c r="FI327" s="9" t="s">
        <v>236</v>
      </c>
      <c r="FK327" t="s">
        <v>235</v>
      </c>
      <c r="FL327">
        <v>905000</v>
      </c>
      <c r="FM327">
        <v>1798870.9151287889</v>
      </c>
      <c r="FN327" s="5" t="s">
        <v>237</v>
      </c>
      <c r="FP327" s="6">
        <v>12606.885</v>
      </c>
      <c r="FQ327" t="s">
        <v>275</v>
      </c>
      <c r="FS327" t="s">
        <v>240</v>
      </c>
      <c r="FT327" t="e">
        <f>FQ327=#REF!</f>
        <v>#REF!</v>
      </c>
      <c r="FU327" s="8">
        <v>2</v>
      </c>
      <c r="FV327" s="8">
        <v>10</v>
      </c>
      <c r="FW327" s="8">
        <v>10</v>
      </c>
      <c r="FX327" s="8">
        <v>1</v>
      </c>
      <c r="FY327" s="8">
        <v>3</v>
      </c>
      <c r="FZ327">
        <f t="shared" si="5"/>
        <v>600</v>
      </c>
      <c r="GA327" s="7" t="s">
        <v>326</v>
      </c>
      <c r="GB327" s="7" t="s">
        <v>326</v>
      </c>
      <c r="GC327" s="6">
        <v>1.5</v>
      </c>
      <c r="GD327" s="348" t="s">
        <v>242</v>
      </c>
      <c r="GF327" s="6">
        <v>301.66666666666669</v>
      </c>
      <c r="GH327" s="7"/>
      <c r="GI327" s="441">
        <v>280.15300000000002</v>
      </c>
      <c r="GJ327" s="441">
        <v>525.28700000000003</v>
      </c>
      <c r="GK327" s="441">
        <v>840.45899999999995</v>
      </c>
      <c r="GL327" s="441">
        <v>2101.1480000000001</v>
      </c>
      <c r="GM327" s="461" t="s">
        <v>790</v>
      </c>
      <c r="GN327" s="6">
        <v>0.01</v>
      </c>
      <c r="GO327" s="6">
        <v>1.8749999999999999E-2</v>
      </c>
      <c r="GP327" s="6">
        <v>0.03</v>
      </c>
      <c r="GQ327" s="6">
        <v>7.4999999999999997E-2</v>
      </c>
      <c r="GR327" s="461" t="s">
        <v>790</v>
      </c>
      <c r="GU327" t="s">
        <v>243</v>
      </c>
      <c r="GV327" t="s">
        <v>236</v>
      </c>
      <c r="GW327" t="s">
        <v>244</v>
      </c>
      <c r="GX327" t="s">
        <v>236</v>
      </c>
      <c r="GY327" t="s">
        <v>245</v>
      </c>
      <c r="HE327" t="s">
        <v>384</v>
      </c>
      <c r="HF327" t="s">
        <v>223</v>
      </c>
      <c r="HG327" t="s">
        <v>231</v>
      </c>
      <c r="HH327" t="s">
        <v>225</v>
      </c>
      <c r="HI327" t="s">
        <v>247</v>
      </c>
      <c r="HJ327" t="s">
        <v>225</v>
      </c>
      <c r="HK327" t="s">
        <v>568</v>
      </c>
      <c r="HO327" t="s">
        <v>231</v>
      </c>
      <c r="HP327" t="s">
        <v>223</v>
      </c>
      <c r="HQ327" t="s">
        <v>231</v>
      </c>
      <c r="HR327" t="s">
        <v>223</v>
      </c>
      <c r="HU327" t="s">
        <v>231</v>
      </c>
      <c r="HV327" t="s">
        <v>223</v>
      </c>
      <c r="HW327" t="s">
        <v>563</v>
      </c>
      <c r="HX327" t="s">
        <v>236</v>
      </c>
      <c r="IA327" t="s">
        <v>231</v>
      </c>
      <c r="IB327" t="s">
        <v>250</v>
      </c>
      <c r="IC327">
        <v>280.15300000000002</v>
      </c>
      <c r="ID327">
        <v>525.28700000000003</v>
      </c>
      <c r="IE327">
        <v>840.45899999999995</v>
      </c>
      <c r="IF327">
        <v>2101.1480000000001</v>
      </c>
      <c r="IG327" s="459" t="s">
        <v>451</v>
      </c>
      <c r="IH327" t="s">
        <v>267</v>
      </c>
    </row>
    <row r="328" spans="1:242" ht="159.5" x14ac:dyDescent="0.35">
      <c r="A328" s="310" t="s">
        <v>537</v>
      </c>
      <c r="B328" t="s">
        <v>1892</v>
      </c>
      <c r="C328" s="310" t="s">
        <v>1893</v>
      </c>
      <c r="D328" s="316"/>
      <c r="F328" t="s">
        <v>1894</v>
      </c>
      <c r="I328" s="310" t="s">
        <v>1895</v>
      </c>
      <c r="M328" s="313"/>
      <c r="O328"/>
      <c r="P328" s="381"/>
      <c r="Q328"/>
      <c r="T328" s="8"/>
      <c r="U328"/>
      <c r="V328" s="313"/>
      <c r="W328"/>
      <c r="X328"/>
      <c r="Z328"/>
      <c r="AB328"/>
      <c r="AD328" s="8" t="s">
        <v>230</v>
      </c>
      <c r="AF328" s="8" t="s">
        <v>230</v>
      </c>
      <c r="AG328"/>
      <c r="AH328"/>
      <c r="AI328"/>
      <c r="AJ328" t="s">
        <v>221</v>
      </c>
      <c r="AK328">
        <v>0</v>
      </c>
      <c r="AL328">
        <v>0.75</v>
      </c>
      <c r="AM328" t="s">
        <v>221</v>
      </c>
      <c r="AN328" t="s">
        <v>223</v>
      </c>
      <c r="AO328" t="s">
        <v>221</v>
      </c>
      <c r="AP328" t="s">
        <v>223</v>
      </c>
      <c r="AQ328" t="s">
        <v>221</v>
      </c>
      <c r="AR328" t="s">
        <v>225</v>
      </c>
      <c r="AS328" t="s">
        <v>221</v>
      </c>
      <c r="AT328" t="s">
        <v>225</v>
      </c>
      <c r="AU328" t="s">
        <v>220</v>
      </c>
      <c r="AV328"/>
      <c r="AW328" s="313" t="s">
        <v>220</v>
      </c>
      <c r="AX328" t="s">
        <v>226</v>
      </c>
      <c r="AY328" s="313" t="s">
        <v>220</v>
      </c>
      <c r="AZ328" s="313">
        <v>7.3800000000000004E-2</v>
      </c>
      <c r="BB328" s="313" t="s">
        <v>220</v>
      </c>
      <c r="BC328">
        <v>4.9500000000000002E-2</v>
      </c>
      <c r="BD328" t="s">
        <v>220</v>
      </c>
      <c r="BE328">
        <v>1.67E-2</v>
      </c>
      <c r="BF328" s="2" t="s">
        <v>220</v>
      </c>
      <c r="BG328" s="2" t="s">
        <v>273</v>
      </c>
      <c r="BH328" s="2" t="s">
        <v>274</v>
      </c>
      <c r="BI328" s="2" t="s">
        <v>275</v>
      </c>
      <c r="BM328"/>
      <c r="BP328" s="8"/>
      <c r="BQ328" t="s">
        <v>230</v>
      </c>
      <c r="BR328" t="s">
        <v>230</v>
      </c>
      <c r="BU328" t="s">
        <v>231</v>
      </c>
      <c r="BV328" t="s">
        <v>223</v>
      </c>
      <c r="BW328" t="s">
        <v>232</v>
      </c>
      <c r="BX328" t="s">
        <v>284</v>
      </c>
      <c r="BY328" t="s">
        <v>220</v>
      </c>
      <c r="BZ328">
        <v>0.23799999999999999</v>
      </c>
      <c r="CA328" t="s">
        <v>234</v>
      </c>
      <c r="CF328" t="s">
        <v>220</v>
      </c>
      <c r="CG328">
        <v>0.114</v>
      </c>
      <c r="CH328" t="s">
        <v>220</v>
      </c>
      <c r="CI328">
        <v>0.111</v>
      </c>
      <c r="CK328"/>
      <c r="CL328"/>
      <c r="CM328"/>
      <c r="CS328" s="8"/>
      <c r="CW328" t="s">
        <v>220</v>
      </c>
      <c r="CX328" t="s">
        <v>220</v>
      </c>
      <c r="CY328" t="s">
        <v>231</v>
      </c>
      <c r="CZ328" t="s">
        <v>220</v>
      </c>
      <c r="DA328" t="s">
        <v>220</v>
      </c>
      <c r="DB328" t="s">
        <v>220</v>
      </c>
      <c r="DC328"/>
      <c r="DD328"/>
      <c r="DE328"/>
      <c r="DF328"/>
      <c r="DG328"/>
      <c r="DH328" s="323"/>
      <c r="DI328" s="323"/>
      <c r="DJ328" s="323"/>
      <c r="DL328" t="s">
        <v>257</v>
      </c>
      <c r="DM328" t="s">
        <v>220</v>
      </c>
      <c r="DN328" t="s">
        <v>227</v>
      </c>
      <c r="DO328" t="s">
        <v>257</v>
      </c>
      <c r="DP328" t="s">
        <v>257</v>
      </c>
      <c r="DS328" s="309">
        <v>115.982</v>
      </c>
      <c r="DU328" s="309">
        <v>1081.279</v>
      </c>
      <c r="DW328">
        <v>343</v>
      </c>
      <c r="DX328" t="s">
        <v>238</v>
      </c>
      <c r="DY328">
        <v>269</v>
      </c>
      <c r="DZ328" t="s">
        <v>238</v>
      </c>
      <c r="EA328"/>
      <c r="EB328"/>
      <c r="ED328" s="410"/>
      <c r="EE328" s="1"/>
      <c r="EG328" s="410"/>
      <c r="EI328" s="410"/>
      <c r="EK328" s="1"/>
      <c r="EM328"/>
      <c r="EQ328" s="344"/>
      <c r="EU328" s="344"/>
      <c r="EW328" s="409"/>
      <c r="EY328" s="1"/>
      <c r="FA328">
        <v>1855.09</v>
      </c>
      <c r="FB328" t="s">
        <v>236</v>
      </c>
      <c r="FC328" s="7">
        <v>399.02490236214237</v>
      </c>
      <c r="FD328" s="357" t="s">
        <v>225</v>
      </c>
      <c r="FE328" s="8">
        <v>1909.4135492272919</v>
      </c>
      <c r="FF328" t="s">
        <v>237</v>
      </c>
      <c r="FH328" s="9">
        <v>827.94216371233495</v>
      </c>
      <c r="FI328" s="9" t="s">
        <v>225</v>
      </c>
      <c r="FJ328">
        <v>1240</v>
      </c>
      <c r="FK328" t="s">
        <v>238</v>
      </c>
      <c r="FL328">
        <v>10500</v>
      </c>
      <c r="FM328">
        <v>8935.1119860521994</v>
      </c>
      <c r="FN328" s="5" t="s">
        <v>237</v>
      </c>
      <c r="FP328" s="6">
        <v>124</v>
      </c>
      <c r="FQ328" t="s">
        <v>450</v>
      </c>
      <c r="FS328" t="s">
        <v>240</v>
      </c>
      <c r="FT328" t="e">
        <f>FQ328=#REF!</f>
        <v>#REF!</v>
      </c>
      <c r="FU328" s="8">
        <v>1</v>
      </c>
      <c r="FV328" s="8">
        <v>10</v>
      </c>
      <c r="FW328" s="8">
        <v>10</v>
      </c>
      <c r="FX328" s="8">
        <v>10</v>
      </c>
      <c r="FY328" s="8">
        <v>3</v>
      </c>
      <c r="FZ328">
        <f t="shared" si="5"/>
        <v>3000</v>
      </c>
      <c r="GA328" s="7" t="s">
        <v>241</v>
      </c>
      <c r="GB328" s="7" t="s">
        <v>241</v>
      </c>
      <c r="GC328" s="6">
        <v>30</v>
      </c>
      <c r="GD328" s="348" t="s">
        <v>242</v>
      </c>
      <c r="GF328" s="6">
        <v>0.41333333333333333</v>
      </c>
      <c r="GH328" s="7"/>
      <c r="GI328" s="441">
        <v>2.7559999999999998</v>
      </c>
      <c r="GJ328" s="441">
        <v>5.1669999999999998</v>
      </c>
      <c r="GK328" s="441">
        <v>8.2669999999999995</v>
      </c>
      <c r="GL328" s="441">
        <v>20.667000000000002</v>
      </c>
      <c r="GM328" s="461" t="s">
        <v>790</v>
      </c>
      <c r="GN328" s="6">
        <v>0.2</v>
      </c>
      <c r="GO328" s="6">
        <v>0.375</v>
      </c>
      <c r="GP328" s="6">
        <v>0.6</v>
      </c>
      <c r="GQ328" s="6">
        <v>1.5</v>
      </c>
      <c r="GR328" s="461" t="s">
        <v>790</v>
      </c>
      <c r="GU328" t="s">
        <v>243</v>
      </c>
      <c r="GV328" t="s">
        <v>236</v>
      </c>
      <c r="GW328" t="s">
        <v>359</v>
      </c>
      <c r="GX328" t="s">
        <v>223</v>
      </c>
      <c r="GY328" t="s">
        <v>245</v>
      </c>
      <c r="HE328" t="s">
        <v>247</v>
      </c>
      <c r="HF328" t="s">
        <v>223</v>
      </c>
      <c r="HG328" t="s">
        <v>231</v>
      </c>
      <c r="HH328" t="s">
        <v>223</v>
      </c>
      <c r="HI328" t="s">
        <v>247</v>
      </c>
      <c r="HJ328" t="s">
        <v>223</v>
      </c>
      <c r="HK328" t="s">
        <v>266</v>
      </c>
      <c r="HO328" t="s">
        <v>231</v>
      </c>
      <c r="HP328" t="s">
        <v>223</v>
      </c>
      <c r="HQ328" t="s">
        <v>231</v>
      </c>
      <c r="HR328" t="s">
        <v>223</v>
      </c>
      <c r="HU328" t="s">
        <v>231</v>
      </c>
      <c r="HV328" t="s">
        <v>223</v>
      </c>
      <c r="HW328" t="s">
        <v>563</v>
      </c>
      <c r="HX328" t="s">
        <v>236</v>
      </c>
      <c r="IA328" t="s">
        <v>231</v>
      </c>
      <c r="IB328" t="s">
        <v>250</v>
      </c>
      <c r="IC328">
        <v>2.7559999999999998</v>
      </c>
      <c r="ID328">
        <v>5.1669999999999998</v>
      </c>
      <c r="IE328">
        <v>8.2669999999999995</v>
      </c>
      <c r="IF328">
        <v>20.667000000000002</v>
      </c>
      <c r="IG328" s="459" t="s">
        <v>451</v>
      </c>
      <c r="IH328" t="s">
        <v>267</v>
      </c>
    </row>
    <row r="329" spans="1:242" ht="159.5" x14ac:dyDescent="0.35">
      <c r="A329" s="310" t="s">
        <v>537</v>
      </c>
      <c r="B329" t="s">
        <v>1896</v>
      </c>
      <c r="C329" s="310" t="s">
        <v>1897</v>
      </c>
      <c r="D329" s="316"/>
      <c r="F329" t="s">
        <v>1898</v>
      </c>
      <c r="I329" s="310" t="s">
        <v>1899</v>
      </c>
      <c r="M329" s="313"/>
      <c r="O329"/>
      <c r="P329" s="381"/>
      <c r="Q329"/>
      <c r="T329" s="8"/>
      <c r="U329"/>
      <c r="V329" s="313"/>
      <c r="W329"/>
      <c r="X329"/>
      <c r="Z329"/>
      <c r="AB329"/>
      <c r="AD329" s="8" t="s">
        <v>230</v>
      </c>
      <c r="AF329" s="8" t="s">
        <v>230</v>
      </c>
      <c r="AG329"/>
      <c r="AH329"/>
      <c r="AI329"/>
      <c r="AJ329" t="s">
        <v>221</v>
      </c>
      <c r="AK329">
        <v>0</v>
      </c>
      <c r="AL329">
        <v>0.82499999999999996</v>
      </c>
      <c r="AM329" t="s">
        <v>221</v>
      </c>
      <c r="AN329" t="s">
        <v>223</v>
      </c>
      <c r="AO329" t="s">
        <v>221</v>
      </c>
      <c r="AP329" t="s">
        <v>223</v>
      </c>
      <c r="AQ329" t="s">
        <v>221</v>
      </c>
      <c r="AR329" t="s">
        <v>225</v>
      </c>
      <c r="AS329" t="s">
        <v>221</v>
      </c>
      <c r="AT329" t="s">
        <v>223</v>
      </c>
      <c r="AU329" t="s">
        <v>220</v>
      </c>
      <c r="AV329"/>
      <c r="AW329" s="313" t="s">
        <v>220</v>
      </c>
      <c r="AX329" t="s">
        <v>226</v>
      </c>
      <c r="AY329" s="313" t="s">
        <v>220</v>
      </c>
      <c r="AZ329" s="313">
        <v>4.9200000000000001E-2</v>
      </c>
      <c r="BB329" s="313" t="s">
        <v>220</v>
      </c>
      <c r="BC329">
        <v>3.2199999999999999E-2</v>
      </c>
      <c r="BD329" t="s">
        <v>220</v>
      </c>
      <c r="BE329">
        <v>2.29E-2</v>
      </c>
      <c r="BF329" s="2" t="s">
        <v>220</v>
      </c>
      <c r="BG329" s="2" t="s">
        <v>273</v>
      </c>
      <c r="BH329" s="2" t="s">
        <v>274</v>
      </c>
      <c r="BI329" s="2" t="s">
        <v>275</v>
      </c>
      <c r="BM329"/>
      <c r="BP329" s="8"/>
      <c r="BQ329" t="s">
        <v>230</v>
      </c>
      <c r="BR329" t="s">
        <v>230</v>
      </c>
      <c r="BU329" t="s">
        <v>231</v>
      </c>
      <c r="BV329" t="s">
        <v>223</v>
      </c>
      <c r="BW329" t="s">
        <v>232</v>
      </c>
      <c r="BX329" t="s">
        <v>276</v>
      </c>
      <c r="BY329" t="s">
        <v>220</v>
      </c>
      <c r="BZ329">
        <v>8.9700000000000002E-2</v>
      </c>
      <c r="CA329" t="s">
        <v>234</v>
      </c>
      <c r="CF329" t="s">
        <v>220</v>
      </c>
      <c r="CG329">
        <v>1.7999999999999999E-2</v>
      </c>
      <c r="CH329" t="s">
        <v>220</v>
      </c>
      <c r="CI329">
        <v>1.18E-2</v>
      </c>
      <c r="CK329"/>
      <c r="CL329"/>
      <c r="CM329"/>
      <c r="CS329" s="8"/>
      <c r="CW329" t="s">
        <v>220</v>
      </c>
      <c r="CX329" t="s">
        <v>220</v>
      </c>
      <c r="CY329" t="s">
        <v>231</v>
      </c>
      <c r="CZ329" t="s">
        <v>220</v>
      </c>
      <c r="DA329" t="s">
        <v>220</v>
      </c>
      <c r="DB329" t="s">
        <v>227</v>
      </c>
      <c r="DC329"/>
      <c r="DD329"/>
      <c r="DE329"/>
      <c r="DF329"/>
      <c r="DG329"/>
      <c r="DH329" s="323"/>
      <c r="DI329" s="323"/>
      <c r="DJ329" s="323"/>
      <c r="DL329" t="s">
        <v>220</v>
      </c>
      <c r="DM329" t="s">
        <v>220</v>
      </c>
      <c r="DN329" t="s">
        <v>227</v>
      </c>
      <c r="DO329" t="s">
        <v>257</v>
      </c>
      <c r="DP329" t="s">
        <v>257</v>
      </c>
      <c r="DS329" s="309">
        <v>129.75299999999999</v>
      </c>
      <c r="DU329" s="309">
        <v>1259.9069999999999</v>
      </c>
      <c r="DW329">
        <v>2650</v>
      </c>
      <c r="DX329" t="s">
        <v>238</v>
      </c>
      <c r="DY329"/>
      <c r="DZ329" t="s">
        <v>235</v>
      </c>
      <c r="EA329"/>
      <c r="EB329"/>
      <c r="ED329" s="410"/>
      <c r="EE329" s="1"/>
      <c r="EG329" s="410"/>
      <c r="EI329" s="410"/>
      <c r="EK329" s="1"/>
      <c r="EM329"/>
      <c r="EQ329" s="344"/>
      <c r="EU329" s="344"/>
      <c r="EW329" s="409"/>
      <c r="EY329" s="1"/>
      <c r="FA329">
        <v>534.86</v>
      </c>
      <c r="FB329" t="s">
        <v>225</v>
      </c>
      <c r="FC329" s="7">
        <v>244.90632418447464</v>
      </c>
      <c r="FD329" s="357" t="s">
        <v>225</v>
      </c>
      <c r="FE329" s="8">
        <v>3794.02335532896</v>
      </c>
      <c r="FF329" t="s">
        <v>237</v>
      </c>
      <c r="FH329" s="9">
        <v>1697.0709523891028</v>
      </c>
      <c r="FI329" s="9" t="s">
        <v>225</v>
      </c>
      <c r="FJ329">
        <v>1260</v>
      </c>
      <c r="FK329" t="s">
        <v>238</v>
      </c>
      <c r="FL329">
        <v>33900</v>
      </c>
      <c r="FM329">
        <v>21537.733556621759</v>
      </c>
      <c r="FN329" s="5" t="s">
        <v>237</v>
      </c>
      <c r="FP329" s="6">
        <v>126</v>
      </c>
      <c r="FQ329" t="s">
        <v>450</v>
      </c>
      <c r="FS329" t="s">
        <v>240</v>
      </c>
      <c r="FT329" t="e">
        <f>FQ329=#REF!</f>
        <v>#REF!</v>
      </c>
      <c r="FU329" s="8">
        <v>1</v>
      </c>
      <c r="FV329" s="8">
        <v>10</v>
      </c>
      <c r="FW329" s="8">
        <v>10</v>
      </c>
      <c r="FX329" s="8">
        <v>10</v>
      </c>
      <c r="FY329" s="8">
        <v>3</v>
      </c>
      <c r="FZ329">
        <f t="shared" si="5"/>
        <v>3000</v>
      </c>
      <c r="GA329" s="7" t="s">
        <v>241</v>
      </c>
      <c r="GB329" s="7" t="s">
        <v>241</v>
      </c>
      <c r="GC329" s="6">
        <v>30</v>
      </c>
      <c r="GD329" s="348" t="s">
        <v>242</v>
      </c>
      <c r="GF329" s="6">
        <v>0.42</v>
      </c>
      <c r="GH329" s="7"/>
      <c r="GI329" s="441">
        <v>2.8</v>
      </c>
      <c r="GJ329" s="441">
        <v>5.25</v>
      </c>
      <c r="GK329" s="441">
        <v>8.4</v>
      </c>
      <c r="GL329" s="441">
        <v>21</v>
      </c>
      <c r="GM329" s="461" t="s">
        <v>790</v>
      </c>
      <c r="GN329" s="6">
        <v>0.2</v>
      </c>
      <c r="GO329" s="6">
        <v>0.375</v>
      </c>
      <c r="GP329" s="6">
        <v>0.6</v>
      </c>
      <c r="GQ329" s="6">
        <v>1.5</v>
      </c>
      <c r="GR329" s="461" t="s">
        <v>790</v>
      </c>
      <c r="GU329" t="s">
        <v>243</v>
      </c>
      <c r="GV329" t="s">
        <v>236</v>
      </c>
      <c r="GW329" t="s">
        <v>244</v>
      </c>
      <c r="GX329" t="s">
        <v>236</v>
      </c>
      <c r="GY329" t="s">
        <v>245</v>
      </c>
      <c r="HE329" t="s">
        <v>247</v>
      </c>
      <c r="HF329" t="s">
        <v>223</v>
      </c>
      <c r="HG329" t="s">
        <v>231</v>
      </c>
      <c r="HH329" t="s">
        <v>223</v>
      </c>
      <c r="HI329" t="s">
        <v>247</v>
      </c>
      <c r="HJ329" t="s">
        <v>223</v>
      </c>
      <c r="HK329" t="s">
        <v>248</v>
      </c>
      <c r="HO329" t="s">
        <v>231</v>
      </c>
      <c r="HP329" t="s">
        <v>223</v>
      </c>
      <c r="HQ329" t="s">
        <v>231</v>
      </c>
      <c r="HR329" t="s">
        <v>223</v>
      </c>
      <c r="HU329" t="s">
        <v>231</v>
      </c>
      <c r="HV329" t="s">
        <v>223</v>
      </c>
      <c r="HW329" t="s">
        <v>563</v>
      </c>
      <c r="HX329" t="s">
        <v>236</v>
      </c>
      <c r="IA329" t="s">
        <v>231</v>
      </c>
      <c r="IB329" t="s">
        <v>250</v>
      </c>
      <c r="IC329">
        <v>2.8</v>
      </c>
      <c r="ID329">
        <v>5.25</v>
      </c>
      <c r="IE329">
        <v>8.4</v>
      </c>
      <c r="IF329">
        <v>21</v>
      </c>
      <c r="IG329" s="459" t="s">
        <v>451</v>
      </c>
      <c r="IH329" t="s">
        <v>267</v>
      </c>
    </row>
    <row r="330" spans="1:242" ht="159.5" x14ac:dyDescent="0.35">
      <c r="A330" s="310" t="s">
        <v>537</v>
      </c>
      <c r="B330" t="s">
        <v>1900</v>
      </c>
      <c r="C330" s="310" t="s">
        <v>1901</v>
      </c>
      <c r="D330" s="316"/>
      <c r="F330" t="s">
        <v>1902</v>
      </c>
      <c r="I330" s="310" t="s">
        <v>1899</v>
      </c>
      <c r="M330" s="313"/>
      <c r="O330"/>
      <c r="P330" s="382"/>
      <c r="Q330"/>
      <c r="U330"/>
      <c r="V330" s="313"/>
      <c r="W330"/>
      <c r="X330"/>
      <c r="Z330"/>
      <c r="AB330"/>
      <c r="AD330" s="8" t="s">
        <v>230</v>
      </c>
      <c r="AF330" s="8" t="s">
        <v>230</v>
      </c>
      <c r="AG330"/>
      <c r="AH330"/>
      <c r="AI330"/>
      <c r="AJ330" t="s">
        <v>221</v>
      </c>
      <c r="AK330">
        <v>0</v>
      </c>
      <c r="AL330">
        <v>0.82499999999999996</v>
      </c>
      <c r="AM330" t="s">
        <v>221</v>
      </c>
      <c r="AN330" t="s">
        <v>223</v>
      </c>
      <c r="AO330" t="s">
        <v>221</v>
      </c>
      <c r="AP330" t="s">
        <v>223</v>
      </c>
      <c r="AQ330" t="s">
        <v>221</v>
      </c>
      <c r="AR330" t="s">
        <v>225</v>
      </c>
      <c r="AS330" t="s">
        <v>221</v>
      </c>
      <c r="AT330" t="s">
        <v>223</v>
      </c>
      <c r="AU330" t="s">
        <v>220</v>
      </c>
      <c r="AV330"/>
      <c r="AW330" s="313" t="s">
        <v>220</v>
      </c>
      <c r="AX330" t="s">
        <v>226</v>
      </c>
      <c r="AY330" s="313" t="s">
        <v>220</v>
      </c>
      <c r="AZ330" s="313">
        <v>3.6200000000000003E-2</v>
      </c>
      <c r="BB330" s="313" t="s">
        <v>220</v>
      </c>
      <c r="BC330">
        <v>2.5000000000000001E-2</v>
      </c>
      <c r="BD330" t="s">
        <v>220</v>
      </c>
      <c r="BE330">
        <v>1.14E-2</v>
      </c>
      <c r="BF330" s="2" t="s">
        <v>220</v>
      </c>
      <c r="BG330" s="2" t="s">
        <v>273</v>
      </c>
      <c r="BH330" s="2" t="s">
        <v>274</v>
      </c>
      <c r="BI330" s="2" t="s">
        <v>275</v>
      </c>
      <c r="BM330"/>
      <c r="BP330" s="8"/>
      <c r="BQ330" t="s">
        <v>230</v>
      </c>
      <c r="BR330" t="s">
        <v>230</v>
      </c>
      <c r="BU330" t="s">
        <v>231</v>
      </c>
      <c r="BV330" t="s">
        <v>223</v>
      </c>
      <c r="BW330" t="s">
        <v>232</v>
      </c>
      <c r="BX330" t="s">
        <v>276</v>
      </c>
      <c r="BY330" t="s">
        <v>220</v>
      </c>
      <c r="BZ330">
        <v>0.26700000000000002</v>
      </c>
      <c r="CA330" t="s">
        <v>234</v>
      </c>
      <c r="CF330" t="s">
        <v>220</v>
      </c>
      <c r="CG330">
        <v>3.1600000000000003E-2</v>
      </c>
      <c r="CH330" t="s">
        <v>220</v>
      </c>
      <c r="CI330">
        <v>2.0899999999999998E-2</v>
      </c>
      <c r="CK330"/>
      <c r="CL330"/>
      <c r="CM330"/>
      <c r="CS330" s="8"/>
      <c r="CW330" t="s">
        <v>220</v>
      </c>
      <c r="CX330" t="s">
        <v>220</v>
      </c>
      <c r="CY330" t="s">
        <v>231</v>
      </c>
      <c r="CZ330" t="s">
        <v>220</v>
      </c>
      <c r="DA330" t="s">
        <v>220</v>
      </c>
      <c r="DB330" t="s">
        <v>227</v>
      </c>
      <c r="DC330"/>
      <c r="DD330"/>
      <c r="DE330"/>
      <c r="DF330"/>
      <c r="DG330"/>
      <c r="DH330" s="323"/>
      <c r="DI330" s="323"/>
      <c r="DJ330" s="323"/>
      <c r="DL330" t="s">
        <v>220</v>
      </c>
      <c r="DM330" t="s">
        <v>220</v>
      </c>
      <c r="DN330" t="s">
        <v>227</v>
      </c>
      <c r="DO330" t="s">
        <v>257</v>
      </c>
      <c r="DP330" t="s">
        <v>257</v>
      </c>
      <c r="DS330" s="309">
        <v>115.66</v>
      </c>
      <c r="DU330" s="309">
        <v>1215.7570000000001</v>
      </c>
      <c r="DW330">
        <v>2650</v>
      </c>
      <c r="DX330" t="s">
        <v>238</v>
      </c>
      <c r="DY330"/>
      <c r="DZ330" t="s">
        <v>235</v>
      </c>
      <c r="EA330"/>
      <c r="EB330"/>
      <c r="ED330" s="410"/>
      <c r="EE330" s="1"/>
      <c r="EG330" s="410"/>
      <c r="EI330" s="410"/>
      <c r="EK330" s="1"/>
      <c r="EM330"/>
      <c r="EQ330" s="344"/>
      <c r="EU330" s="344"/>
      <c r="EW330" s="409"/>
      <c r="EY330" s="1"/>
      <c r="FA330">
        <v>534.86</v>
      </c>
      <c r="FB330" t="s">
        <v>225</v>
      </c>
      <c r="FC330" s="7">
        <v>233.72221850151411</v>
      </c>
      <c r="FD330" s="357" t="s">
        <v>225</v>
      </c>
      <c r="FE330" s="8">
        <v>3794.02335532896</v>
      </c>
      <c r="FF330" t="s">
        <v>237</v>
      </c>
      <c r="FH330" s="9">
        <v>8906.3549638698878</v>
      </c>
      <c r="FI330" s="9" t="s">
        <v>236</v>
      </c>
      <c r="FJ330">
        <v>1270</v>
      </c>
      <c r="FK330" t="s">
        <v>238</v>
      </c>
      <c r="FL330">
        <v>7000</v>
      </c>
      <c r="FM330">
        <v>21537.733556621759</v>
      </c>
      <c r="FN330" s="5" t="s">
        <v>237</v>
      </c>
      <c r="FP330" s="6">
        <v>127</v>
      </c>
      <c r="FQ330" t="s">
        <v>450</v>
      </c>
      <c r="FS330" t="s">
        <v>240</v>
      </c>
      <c r="FT330" t="e">
        <f>FQ330=#REF!</f>
        <v>#REF!</v>
      </c>
      <c r="FU330" s="8">
        <v>1</v>
      </c>
      <c r="FV330" s="8">
        <v>10</v>
      </c>
      <c r="FW330" s="8">
        <v>10</v>
      </c>
      <c r="FX330" s="8">
        <v>10</v>
      </c>
      <c r="FY330" s="8">
        <v>3</v>
      </c>
      <c r="FZ330">
        <f t="shared" si="5"/>
        <v>3000</v>
      </c>
      <c r="GA330" s="7" t="s">
        <v>241</v>
      </c>
      <c r="GB330" s="7" t="s">
        <v>241</v>
      </c>
      <c r="GC330" s="6">
        <v>30</v>
      </c>
      <c r="GD330" s="348" t="s">
        <v>242</v>
      </c>
      <c r="GF330" s="6">
        <v>0.42333333333333334</v>
      </c>
      <c r="GH330" s="7"/>
      <c r="GI330" s="441">
        <v>2.8220000000000001</v>
      </c>
      <c r="GJ330" s="441">
        <v>5.2919999999999998</v>
      </c>
      <c r="GK330" s="441">
        <v>8.4670000000000005</v>
      </c>
      <c r="GL330" s="441">
        <v>21.167000000000002</v>
      </c>
      <c r="GM330" s="461" t="s">
        <v>790</v>
      </c>
      <c r="GN330" s="6">
        <v>0.2</v>
      </c>
      <c r="GO330" s="6">
        <v>0.375</v>
      </c>
      <c r="GP330" s="6">
        <v>0.6</v>
      </c>
      <c r="GQ330" s="6">
        <v>1.5</v>
      </c>
      <c r="GR330" s="461" t="s">
        <v>790</v>
      </c>
      <c r="GU330" t="s">
        <v>243</v>
      </c>
      <c r="GV330" t="s">
        <v>236</v>
      </c>
      <c r="GW330" t="s">
        <v>244</v>
      </c>
      <c r="GX330" t="s">
        <v>236</v>
      </c>
      <c r="GY330" t="s">
        <v>245</v>
      </c>
      <c r="HE330" t="s">
        <v>247</v>
      </c>
      <c r="HF330" t="s">
        <v>223</v>
      </c>
      <c r="HG330" t="s">
        <v>231</v>
      </c>
      <c r="HH330" t="s">
        <v>223</v>
      </c>
      <c r="HI330" t="s">
        <v>247</v>
      </c>
      <c r="HJ330" t="s">
        <v>223</v>
      </c>
      <c r="HK330" t="s">
        <v>248</v>
      </c>
      <c r="HO330" t="s">
        <v>231</v>
      </c>
      <c r="HP330" t="s">
        <v>223</v>
      </c>
      <c r="HQ330" t="s">
        <v>231</v>
      </c>
      <c r="HR330" t="s">
        <v>223</v>
      </c>
      <c r="HU330" t="s">
        <v>231</v>
      </c>
      <c r="HV330" t="s">
        <v>223</v>
      </c>
      <c r="HW330" t="s">
        <v>563</v>
      </c>
      <c r="HX330" t="s">
        <v>236</v>
      </c>
      <c r="IA330" t="s">
        <v>231</v>
      </c>
      <c r="IB330" t="s">
        <v>250</v>
      </c>
      <c r="IC330">
        <v>2.8220000000000001</v>
      </c>
      <c r="ID330">
        <v>5.2919999999999998</v>
      </c>
      <c r="IE330">
        <v>8.4670000000000005</v>
      </c>
      <c r="IF330">
        <v>21.167000000000002</v>
      </c>
      <c r="IG330" s="459" t="s">
        <v>451</v>
      </c>
      <c r="IH330" t="s">
        <v>267</v>
      </c>
    </row>
    <row r="331" spans="1:242" hidden="1" x14ac:dyDescent="0.35">
      <c r="A331" s="310" t="s">
        <v>1903</v>
      </c>
      <c r="B331" t="s">
        <v>1904</v>
      </c>
      <c r="C331" s="310" t="s">
        <v>1905</v>
      </c>
      <c r="D331" s="316"/>
      <c r="F331" t="s">
        <v>1906</v>
      </c>
      <c r="I331" s="310" t="s">
        <v>1907</v>
      </c>
      <c r="M331" s="313"/>
      <c r="O331"/>
      <c r="P331" s="381"/>
      <c r="Q331"/>
      <c r="T331" s="8"/>
      <c r="U331"/>
      <c r="V331" s="313"/>
      <c r="W331"/>
      <c r="X331"/>
      <c r="Z331"/>
      <c r="AB331"/>
      <c r="AD331" s="8" t="s">
        <v>230</v>
      </c>
      <c r="AF331" s="8" t="s">
        <v>230</v>
      </c>
      <c r="AG331"/>
      <c r="AH331"/>
      <c r="AI331"/>
      <c r="AJ331" t="s">
        <v>414</v>
      </c>
      <c r="AK331">
        <v>0.5</v>
      </c>
      <c r="AL331">
        <v>0</v>
      </c>
      <c r="AM331" t="s">
        <v>414</v>
      </c>
      <c r="AN331" t="s">
        <v>225</v>
      </c>
      <c r="AO331" t="s">
        <v>414</v>
      </c>
      <c r="AP331" t="s">
        <v>225</v>
      </c>
      <c r="AQ331" t="s">
        <v>414</v>
      </c>
      <c r="AR331" t="s">
        <v>236</v>
      </c>
      <c r="AS331" t="s">
        <v>414</v>
      </c>
      <c r="AT331" t="s">
        <v>225</v>
      </c>
      <c r="AU331" t="s">
        <v>220</v>
      </c>
      <c r="AV331"/>
      <c r="AW331" s="313" t="s">
        <v>220</v>
      </c>
      <c r="AX331" t="s">
        <v>226</v>
      </c>
      <c r="AY331" s="313" t="s">
        <v>220</v>
      </c>
      <c r="AZ331" s="313">
        <v>0.36199999999999999</v>
      </c>
      <c r="BB331" s="313" t="s">
        <v>220</v>
      </c>
      <c r="BC331">
        <v>0.18</v>
      </c>
      <c r="BD331" t="s">
        <v>431</v>
      </c>
      <c r="BE331">
        <v>0.40100000000000002</v>
      </c>
      <c r="BF331" s="2" t="s">
        <v>257</v>
      </c>
      <c r="BG331" s="2" t="s">
        <v>273</v>
      </c>
      <c r="BH331" s="2" t="s">
        <v>274</v>
      </c>
      <c r="BI331" s="2" t="s">
        <v>275</v>
      </c>
      <c r="BM331"/>
      <c r="BP331" s="8"/>
      <c r="BQ331" t="s">
        <v>230</v>
      </c>
      <c r="BR331" t="s">
        <v>230</v>
      </c>
      <c r="BU331" t="s">
        <v>317</v>
      </c>
      <c r="BV331" t="s">
        <v>236</v>
      </c>
      <c r="BW331" t="s">
        <v>293</v>
      </c>
      <c r="BX331" t="s">
        <v>458</v>
      </c>
      <c r="BY331" t="s">
        <v>257</v>
      </c>
      <c r="BZ331">
        <v>0.70599999999999996</v>
      </c>
      <c r="CA331" t="s">
        <v>372</v>
      </c>
      <c r="CF331" t="s">
        <v>257</v>
      </c>
      <c r="CG331">
        <v>0.59</v>
      </c>
      <c r="CH331" t="s">
        <v>257</v>
      </c>
      <c r="CI331">
        <v>0.73699999999999999</v>
      </c>
      <c r="CK331"/>
      <c r="CL331" t="s">
        <v>220</v>
      </c>
      <c r="CM331"/>
      <c r="CS331" s="8"/>
      <c r="CW331" t="s">
        <v>220</v>
      </c>
      <c r="CX331" t="s">
        <v>220</v>
      </c>
      <c r="CY331" t="s">
        <v>231</v>
      </c>
      <c r="CZ331" t="s">
        <v>220</v>
      </c>
      <c r="DA331" t="s">
        <v>220</v>
      </c>
      <c r="DB331" t="s">
        <v>220</v>
      </c>
      <c r="DC331"/>
      <c r="DD331"/>
      <c r="DE331"/>
      <c r="DF331"/>
      <c r="DG331"/>
      <c r="DH331" s="323"/>
      <c r="DI331" s="323"/>
      <c r="DJ331" s="323"/>
      <c r="DL331" t="s">
        <v>227</v>
      </c>
      <c r="DM331" t="s">
        <v>257</v>
      </c>
      <c r="DN331" t="s">
        <v>257</v>
      </c>
      <c r="DO331" t="s">
        <v>257</v>
      </c>
      <c r="DP331" t="s">
        <v>257</v>
      </c>
      <c r="DS331" s="309">
        <v>36.540999999999997</v>
      </c>
      <c r="DU331" s="309">
        <v>491.49799999999999</v>
      </c>
      <c r="DW331">
        <v>5.0999999999999996</v>
      </c>
      <c r="DX331" t="s">
        <v>238</v>
      </c>
      <c r="DY331"/>
      <c r="DZ331" t="s">
        <v>235</v>
      </c>
      <c r="EA331"/>
      <c r="EB331"/>
      <c r="ED331" s="410"/>
      <c r="EE331" s="1"/>
      <c r="EG331" s="410"/>
      <c r="EI331" s="410"/>
      <c r="EK331" s="1"/>
      <c r="EM331"/>
      <c r="EQ331" s="344"/>
      <c r="EU331" s="344"/>
      <c r="EW331" s="409"/>
      <c r="EY331" s="1"/>
      <c r="FA331">
        <v>39.28</v>
      </c>
      <c r="FB331" t="s">
        <v>236</v>
      </c>
      <c r="FC331" s="7">
        <v>106.78247925390994</v>
      </c>
      <c r="FD331" s="357" t="s">
        <v>236</v>
      </c>
      <c r="FE331" s="8">
        <v>39.636929115081067</v>
      </c>
      <c r="FF331" t="s">
        <v>237</v>
      </c>
      <c r="FH331" s="9">
        <v>142.232878712282</v>
      </c>
      <c r="FI331" s="9" t="s">
        <v>225</v>
      </c>
      <c r="FJ331">
        <v>6.49</v>
      </c>
      <c r="FK331" t="s">
        <v>238</v>
      </c>
      <c r="FL331">
        <v>79.5</v>
      </c>
      <c r="FM331">
        <v>94.972965736242358</v>
      </c>
      <c r="FN331" s="419" t="s">
        <v>237</v>
      </c>
      <c r="FV331" s="8"/>
      <c r="FW331" s="8"/>
      <c r="FX331" s="8"/>
      <c r="GC331" s="7">
        <v>2.5000000000000001E-3</v>
      </c>
      <c r="GH331" s="7"/>
      <c r="GI331" s="441" t="s">
        <v>395</v>
      </c>
      <c r="GJ331" s="441" t="s">
        <v>395</v>
      </c>
      <c r="GK331" s="441" t="s">
        <v>395</v>
      </c>
      <c r="GL331" s="441" t="s">
        <v>395</v>
      </c>
      <c r="GM331" s="452" t="s">
        <v>230</v>
      </c>
      <c r="GN331" s="6" t="s">
        <v>395</v>
      </c>
      <c r="GO331" s="6" t="s">
        <v>395</v>
      </c>
      <c r="GP331" s="6" t="s">
        <v>395</v>
      </c>
      <c r="GQ331" s="6" t="s">
        <v>395</v>
      </c>
      <c r="GR331" s="6" t="s">
        <v>396</v>
      </c>
      <c r="GU331" t="s">
        <v>365</v>
      </c>
      <c r="GV331" t="s">
        <v>223</v>
      </c>
      <c r="GW331" t="s">
        <v>359</v>
      </c>
      <c r="GX331" t="s">
        <v>223</v>
      </c>
      <c r="GY331" t="s">
        <v>1908</v>
      </c>
      <c r="HE331" t="s">
        <v>247</v>
      </c>
      <c r="HF331" t="s">
        <v>223</v>
      </c>
      <c r="HG331" t="s">
        <v>231</v>
      </c>
      <c r="HH331" t="s">
        <v>223</v>
      </c>
      <c r="HI331" t="s">
        <v>247</v>
      </c>
      <c r="HJ331" t="s">
        <v>223</v>
      </c>
      <c r="HK331" t="s">
        <v>266</v>
      </c>
      <c r="HO331" t="s">
        <v>231</v>
      </c>
      <c r="HP331" t="s">
        <v>223</v>
      </c>
      <c r="HQ331" t="s">
        <v>231</v>
      </c>
      <c r="HR331" t="s">
        <v>223</v>
      </c>
      <c r="HU331" t="s">
        <v>231</v>
      </c>
      <c r="HV331" t="s">
        <v>223</v>
      </c>
      <c r="HW331" t="s">
        <v>506</v>
      </c>
      <c r="HX331" t="s">
        <v>225</v>
      </c>
      <c r="IA331" t="s">
        <v>231</v>
      </c>
      <c r="IB331" t="s">
        <v>250</v>
      </c>
      <c r="IC331" t="s">
        <v>395</v>
      </c>
      <c r="ID331" t="s">
        <v>395</v>
      </c>
      <c r="IE331" t="s">
        <v>395</v>
      </c>
      <c r="IF331" t="s">
        <v>395</v>
      </c>
      <c r="IH331" t="s">
        <v>235</v>
      </c>
    </row>
    <row r="332" spans="1:242" x14ac:dyDescent="0.35">
      <c r="A332" s="310" t="s">
        <v>1909</v>
      </c>
      <c r="B332" t="s">
        <v>1910</v>
      </c>
      <c r="C332" s="310" t="s">
        <v>1911</v>
      </c>
      <c r="D332" s="316"/>
      <c r="F332" t="s">
        <v>1912</v>
      </c>
      <c r="I332" s="310" t="s">
        <v>1913</v>
      </c>
      <c r="M332" s="313" t="s">
        <v>220</v>
      </c>
      <c r="O332" t="s">
        <v>221</v>
      </c>
      <c r="P332" s="381"/>
      <c r="Q332" t="s">
        <v>221</v>
      </c>
      <c r="T332" s="8"/>
      <c r="U332" t="s">
        <v>221</v>
      </c>
      <c r="V332" s="313"/>
      <c r="W332" t="s">
        <v>220</v>
      </c>
      <c r="X332" t="s">
        <v>220</v>
      </c>
      <c r="Z332" t="s">
        <v>220</v>
      </c>
      <c r="AB332"/>
      <c r="AD332" s="8" t="s">
        <v>222</v>
      </c>
      <c r="AF332" s="8" t="s">
        <v>222</v>
      </c>
      <c r="AG332"/>
      <c r="AH332"/>
      <c r="AI332"/>
      <c r="AJ332" t="s">
        <v>221</v>
      </c>
      <c r="AK332">
        <v>0</v>
      </c>
      <c r="AL332">
        <v>1</v>
      </c>
      <c r="AM332" t="s">
        <v>221</v>
      </c>
      <c r="AN332" t="s">
        <v>249</v>
      </c>
      <c r="AO332" t="s">
        <v>224</v>
      </c>
      <c r="AP332"/>
      <c r="AQ332" t="s">
        <v>221</v>
      </c>
      <c r="AR332" t="s">
        <v>225</v>
      </c>
      <c r="AS332" t="s">
        <v>221</v>
      </c>
      <c r="AT332"/>
      <c r="AU332" t="s">
        <v>220</v>
      </c>
      <c r="AV332"/>
      <c r="AW332" s="313" t="s">
        <v>220</v>
      </c>
      <c r="AX332" t="s">
        <v>226</v>
      </c>
      <c r="AY332" s="313" t="s">
        <v>220</v>
      </c>
      <c r="AZ332" s="313">
        <v>0.36099999999999999</v>
      </c>
      <c r="BB332" s="313" t="s">
        <v>220</v>
      </c>
      <c r="BC332">
        <v>0.19900000000000001</v>
      </c>
      <c r="BD332" t="s">
        <v>220</v>
      </c>
      <c r="BE332">
        <v>0.29399999999999998</v>
      </c>
      <c r="BF332" s="2" t="s">
        <v>220</v>
      </c>
      <c r="BH332" s="2" t="s">
        <v>228</v>
      </c>
      <c r="BI332" s="2" t="s">
        <v>229</v>
      </c>
      <c r="BM332"/>
      <c r="BP332" s="8"/>
      <c r="BQ332" t="s">
        <v>230</v>
      </c>
      <c r="BR332" t="s">
        <v>222</v>
      </c>
      <c r="BU332" t="s">
        <v>293</v>
      </c>
      <c r="BV332" t="s">
        <v>236</v>
      </c>
      <c r="BW332" t="s">
        <v>232</v>
      </c>
      <c r="BX332" t="s">
        <v>276</v>
      </c>
      <c r="BY332" t="s">
        <v>257</v>
      </c>
      <c r="BZ332">
        <v>0.64300000000000002</v>
      </c>
      <c r="CA332" t="s">
        <v>234</v>
      </c>
      <c r="CF332" t="s">
        <v>257</v>
      </c>
      <c r="CG332">
        <v>0.67700000000000005</v>
      </c>
      <c r="CH332" t="s">
        <v>257</v>
      </c>
      <c r="CI332">
        <v>0.76100000000000001</v>
      </c>
      <c r="CK332"/>
      <c r="CL332"/>
      <c r="CM332"/>
      <c r="CS332" s="8"/>
      <c r="CW332" t="s">
        <v>227</v>
      </c>
      <c r="CX332" t="s">
        <v>257</v>
      </c>
      <c r="CY332" t="s">
        <v>231</v>
      </c>
      <c r="CZ332" t="s">
        <v>220</v>
      </c>
      <c r="DA332" t="s">
        <v>220</v>
      </c>
      <c r="DB332" t="s">
        <v>220</v>
      </c>
      <c r="DC332"/>
      <c r="DD332"/>
      <c r="DE332"/>
      <c r="DF332"/>
      <c r="DG332"/>
      <c r="DH332" s="323"/>
      <c r="DI332" s="323"/>
      <c r="DJ332" s="323"/>
      <c r="DL332" t="s">
        <v>227</v>
      </c>
      <c r="DM332" t="s">
        <v>257</v>
      </c>
      <c r="DN332" t="s">
        <v>257</v>
      </c>
      <c r="DO332" t="s">
        <v>227</v>
      </c>
      <c r="DP332" t="s">
        <v>220</v>
      </c>
      <c r="DS332" s="309">
        <v>78.209999999999994</v>
      </c>
      <c r="DU332" s="309">
        <v>303.80099999999999</v>
      </c>
      <c r="DW332">
        <v>176</v>
      </c>
      <c r="DX332" t="s">
        <v>238</v>
      </c>
      <c r="DY332">
        <v>897</v>
      </c>
      <c r="DZ332" t="s">
        <v>238</v>
      </c>
      <c r="EA332"/>
      <c r="EB332"/>
      <c r="ED332" s="410"/>
      <c r="EE332" s="1"/>
      <c r="EG332" s="410"/>
      <c r="EI332" s="410"/>
      <c r="EK332" s="1"/>
      <c r="EM332"/>
      <c r="EQ332" s="344"/>
      <c r="EU332" s="344"/>
      <c r="EW332" s="409"/>
      <c r="EY332" s="1"/>
      <c r="FA332">
        <v>57.06</v>
      </c>
      <c r="FB332" t="s">
        <v>225</v>
      </c>
      <c r="FC332" s="7">
        <v>99.403116346577789</v>
      </c>
      <c r="FD332" s="357" t="s">
        <v>225</v>
      </c>
      <c r="FE332" s="8">
        <v>88.736031077866826</v>
      </c>
      <c r="FF332" t="s">
        <v>237</v>
      </c>
      <c r="FH332" s="9">
        <v>139.31568029453047</v>
      </c>
      <c r="FI332" s="9" t="s">
        <v>225</v>
      </c>
      <c r="FJ332">
        <v>20</v>
      </c>
      <c r="FK332" t="s">
        <v>238</v>
      </c>
      <c r="FL332">
        <v>93.9</v>
      </c>
      <c r="FM332">
        <v>177.95082263063847</v>
      </c>
      <c r="FN332" s="5" t="s">
        <v>237</v>
      </c>
      <c r="FP332" s="6">
        <v>2</v>
      </c>
      <c r="FQ332" t="s">
        <v>450</v>
      </c>
      <c r="FS332" t="s">
        <v>240</v>
      </c>
      <c r="FT332" t="e">
        <f>FQ332=#REF!</f>
        <v>#REF!</v>
      </c>
      <c r="FU332" s="8">
        <v>1</v>
      </c>
      <c r="FV332" s="8">
        <v>10</v>
      </c>
      <c r="FW332" s="8">
        <v>10</v>
      </c>
      <c r="FX332" s="8">
        <v>10</v>
      </c>
      <c r="FY332" s="8">
        <v>3</v>
      </c>
      <c r="FZ332">
        <f t="shared" si="5"/>
        <v>3000</v>
      </c>
      <c r="GA332" s="7" t="s">
        <v>241</v>
      </c>
      <c r="GB332" s="7" t="s">
        <v>241</v>
      </c>
      <c r="GC332" s="6">
        <v>30</v>
      </c>
      <c r="GD332" s="348" t="s">
        <v>242</v>
      </c>
      <c r="GF332" s="6">
        <v>6.6666666666666662E-3</v>
      </c>
      <c r="GH332" s="7"/>
      <c r="GI332" s="445"/>
      <c r="GJ332" s="445"/>
      <c r="GK332" s="445"/>
      <c r="GL332" s="445"/>
      <c r="GM332" s="453"/>
      <c r="GN332" s="6">
        <v>0.2</v>
      </c>
      <c r="GO332" s="6">
        <v>0.375</v>
      </c>
      <c r="GP332" s="6">
        <v>0.6</v>
      </c>
      <c r="GQ332" s="6">
        <v>1.5</v>
      </c>
      <c r="GR332" s="6" t="s">
        <v>230</v>
      </c>
      <c r="GU332" t="s">
        <v>365</v>
      </c>
      <c r="GV332" t="s">
        <v>225</v>
      </c>
      <c r="GW332" t="s">
        <v>244</v>
      </c>
      <c r="GX332" t="s">
        <v>236</v>
      </c>
      <c r="GY332" t="s">
        <v>245</v>
      </c>
      <c r="HE332" t="s">
        <v>384</v>
      </c>
      <c r="HF332" t="s">
        <v>223</v>
      </c>
      <c r="HG332" t="s">
        <v>231</v>
      </c>
      <c r="HH332" t="s">
        <v>223</v>
      </c>
      <c r="HI332" t="s">
        <v>247</v>
      </c>
      <c r="HJ332" t="s">
        <v>223</v>
      </c>
      <c r="HK332" t="s">
        <v>266</v>
      </c>
      <c r="HL332" t="s">
        <v>231</v>
      </c>
      <c r="HM332" t="s">
        <v>231</v>
      </c>
      <c r="HO332" t="s">
        <v>231</v>
      </c>
      <c r="HP332" t="s">
        <v>249</v>
      </c>
      <c r="HQ332" t="s">
        <v>231</v>
      </c>
      <c r="HR332" t="s">
        <v>249</v>
      </c>
      <c r="HU332" t="s">
        <v>231</v>
      </c>
      <c r="HV332" t="s">
        <v>223</v>
      </c>
      <c r="HW332" t="s">
        <v>506</v>
      </c>
      <c r="HX332" t="s">
        <v>225</v>
      </c>
      <c r="IA332" t="s">
        <v>231</v>
      </c>
      <c r="IB332" t="s">
        <v>250</v>
      </c>
      <c r="IC332" s="447"/>
      <c r="ID332" s="447"/>
      <c r="IE332" s="447"/>
      <c r="IF332" s="447"/>
      <c r="IH332" t="s">
        <v>235</v>
      </c>
    </row>
    <row r="333" spans="1:242" hidden="1" x14ac:dyDescent="0.35">
      <c r="A333" s="310" t="s">
        <v>1914</v>
      </c>
      <c r="B333" t="s">
        <v>1915</v>
      </c>
      <c r="C333" s="310" t="s">
        <v>1916</v>
      </c>
      <c r="D333" s="316"/>
      <c r="F333" t="s">
        <v>1917</v>
      </c>
      <c r="I333" s="310" t="s">
        <v>1918</v>
      </c>
      <c r="M333" s="313"/>
      <c r="O333"/>
      <c r="P333" s="381"/>
      <c r="Q333"/>
      <c r="T333" s="8"/>
      <c r="U333"/>
      <c r="V333" s="313"/>
      <c r="W333"/>
      <c r="X333"/>
      <c r="Z333"/>
      <c r="AB333"/>
      <c r="AD333" s="8" t="s">
        <v>230</v>
      </c>
      <c r="AF333" s="8" t="s">
        <v>230</v>
      </c>
      <c r="AG333"/>
      <c r="AH333"/>
      <c r="AI333"/>
      <c r="AJ333" t="s">
        <v>414</v>
      </c>
      <c r="AK333">
        <v>0.375</v>
      </c>
      <c r="AL333">
        <v>0.1</v>
      </c>
      <c r="AM333" t="s">
        <v>221</v>
      </c>
      <c r="AN333" t="s">
        <v>236</v>
      </c>
      <c r="AO333" t="s">
        <v>224</v>
      </c>
      <c r="AP333" t="s">
        <v>236</v>
      </c>
      <c r="AQ333" t="s">
        <v>414</v>
      </c>
      <c r="AR333" t="s">
        <v>223</v>
      </c>
      <c r="AS333" t="s">
        <v>414</v>
      </c>
      <c r="AT333" t="s">
        <v>225</v>
      </c>
      <c r="AU333" t="s">
        <v>220</v>
      </c>
      <c r="AV333"/>
      <c r="AW333" s="313" t="s">
        <v>220</v>
      </c>
      <c r="AX333" t="s">
        <v>226</v>
      </c>
      <c r="AY333" s="313" t="s">
        <v>220</v>
      </c>
      <c r="AZ333" s="313">
        <v>0.28999999999999998</v>
      </c>
      <c r="BB333" s="313" t="s">
        <v>220</v>
      </c>
      <c r="BC333">
        <v>0.21</v>
      </c>
      <c r="BD333" t="s">
        <v>431</v>
      </c>
      <c r="BE333">
        <v>0.56299999999999994</v>
      </c>
      <c r="BF333" s="2" t="s">
        <v>257</v>
      </c>
      <c r="BG333" s="2" t="s">
        <v>230</v>
      </c>
      <c r="BH333" s="2" t="s">
        <v>274</v>
      </c>
      <c r="BI333" s="2" t="s">
        <v>275</v>
      </c>
      <c r="BM333"/>
      <c r="BP333" s="8"/>
      <c r="BQ333" t="s">
        <v>230</v>
      </c>
      <c r="BR333" t="s">
        <v>230</v>
      </c>
      <c r="BU333" t="s">
        <v>317</v>
      </c>
      <c r="BV333" t="s">
        <v>225</v>
      </c>
      <c r="BW333" t="s">
        <v>232</v>
      </c>
      <c r="BX333" t="s">
        <v>233</v>
      </c>
      <c r="BY333" t="s">
        <v>220</v>
      </c>
      <c r="BZ333">
        <v>0.435</v>
      </c>
      <c r="CA333" t="s">
        <v>372</v>
      </c>
      <c r="CF333" t="s">
        <v>227</v>
      </c>
      <c r="CG333">
        <v>0.56899999999999995</v>
      </c>
      <c r="CH333" t="s">
        <v>257</v>
      </c>
      <c r="CI333">
        <v>0.67900000000000005</v>
      </c>
      <c r="CK333"/>
      <c r="CL333"/>
      <c r="CM333"/>
      <c r="CS333" s="8"/>
      <c r="CW333" t="s">
        <v>227</v>
      </c>
      <c r="CX333" t="s">
        <v>257</v>
      </c>
      <c r="CY333" t="s">
        <v>231</v>
      </c>
      <c r="CZ333" t="s">
        <v>257</v>
      </c>
      <c r="DA333" t="s">
        <v>257</v>
      </c>
      <c r="DB333" t="s">
        <v>227</v>
      </c>
      <c r="DC333"/>
      <c r="DD333"/>
      <c r="DE333"/>
      <c r="DF333"/>
      <c r="DG333"/>
      <c r="DH333" s="323"/>
      <c r="DI333" s="323"/>
      <c r="DJ333" s="323"/>
      <c r="DL333" t="s">
        <v>257</v>
      </c>
      <c r="DM333" t="s">
        <v>220</v>
      </c>
      <c r="DN333" t="s">
        <v>227</v>
      </c>
      <c r="DO333" t="s">
        <v>220</v>
      </c>
      <c r="DP333" t="s">
        <v>220</v>
      </c>
      <c r="DS333" s="309">
        <v>56.856999999999999</v>
      </c>
      <c r="DU333" s="309">
        <v>418.322</v>
      </c>
      <c r="DW333"/>
      <c r="DX333" t="s">
        <v>235</v>
      </c>
      <c r="DY333"/>
      <c r="DZ333" t="s">
        <v>235</v>
      </c>
      <c r="EA333"/>
      <c r="EB333"/>
      <c r="ED333" s="410"/>
      <c r="EE333" s="1"/>
      <c r="EG333" s="410"/>
      <c r="EI333" s="410"/>
      <c r="EK333" s="1"/>
      <c r="EM333"/>
      <c r="EQ333" s="344"/>
      <c r="EU333" s="344"/>
      <c r="EW333" s="409"/>
      <c r="EY333" s="1"/>
      <c r="FA333">
        <v>66.16</v>
      </c>
      <c r="FB333" t="s">
        <v>225</v>
      </c>
      <c r="FC333" s="7">
        <v>113.26611380767869</v>
      </c>
      <c r="FD333" s="357" t="s">
        <v>236</v>
      </c>
      <c r="FE333" s="8">
        <v>32.960971217745794</v>
      </c>
      <c r="FF333" t="s">
        <v>237</v>
      </c>
      <c r="FH333" s="9">
        <v>82.660875350385624</v>
      </c>
      <c r="FI333" s="9" t="s">
        <v>225</v>
      </c>
      <c r="FK333" t="s">
        <v>235</v>
      </c>
      <c r="FL333">
        <v>96.9</v>
      </c>
      <c r="FM333">
        <v>48.887744389414507</v>
      </c>
      <c r="FN333" s="419" t="s">
        <v>237</v>
      </c>
      <c r="FV333" s="8"/>
      <c r="FW333" s="8"/>
      <c r="FX333" s="8"/>
      <c r="GC333" s="7">
        <v>2.5000000000000001E-3</v>
      </c>
      <c r="GH333" s="7"/>
      <c r="GI333" s="441" t="s">
        <v>395</v>
      </c>
      <c r="GJ333" s="441" t="s">
        <v>395</v>
      </c>
      <c r="GK333" s="441" t="s">
        <v>395</v>
      </c>
      <c r="GL333" s="441" t="s">
        <v>395</v>
      </c>
      <c r="GM333" s="452" t="s">
        <v>230</v>
      </c>
      <c r="GN333" s="6" t="s">
        <v>395</v>
      </c>
      <c r="GO333" s="6" t="s">
        <v>395</v>
      </c>
      <c r="GP333" s="6" t="s">
        <v>395</v>
      </c>
      <c r="GQ333" s="6" t="s">
        <v>395</v>
      </c>
      <c r="GR333" s="6" t="s">
        <v>230</v>
      </c>
      <c r="GU333" t="s">
        <v>243</v>
      </c>
      <c r="GV333" t="s">
        <v>225</v>
      </c>
      <c r="GW333" t="s">
        <v>359</v>
      </c>
      <c r="GX333" t="s">
        <v>225</v>
      </c>
      <c r="GY333" t="s">
        <v>245</v>
      </c>
      <c r="HE333" t="s">
        <v>384</v>
      </c>
      <c r="HF333" t="s">
        <v>225</v>
      </c>
      <c r="HG333" t="s">
        <v>231</v>
      </c>
      <c r="HH333" t="s">
        <v>223</v>
      </c>
      <c r="HI333" t="s">
        <v>247</v>
      </c>
      <c r="HJ333" t="s">
        <v>223</v>
      </c>
      <c r="HK333" t="s">
        <v>266</v>
      </c>
      <c r="HO333" t="s">
        <v>231</v>
      </c>
      <c r="HP333" t="s">
        <v>223</v>
      </c>
      <c r="HQ333" t="s">
        <v>231</v>
      </c>
      <c r="HR333" t="s">
        <v>223</v>
      </c>
      <c r="HU333" t="s">
        <v>231</v>
      </c>
      <c r="HV333" t="s">
        <v>223</v>
      </c>
      <c r="HW333" t="s">
        <v>246</v>
      </c>
      <c r="HX333" t="s">
        <v>236</v>
      </c>
      <c r="IA333" t="s">
        <v>231</v>
      </c>
      <c r="IB333" t="s">
        <v>250</v>
      </c>
      <c r="IC333" t="s">
        <v>395</v>
      </c>
      <c r="ID333" t="s">
        <v>395</v>
      </c>
      <c r="IE333" t="s">
        <v>395</v>
      </c>
      <c r="IF333" t="s">
        <v>395</v>
      </c>
      <c r="IH333" t="s">
        <v>235</v>
      </c>
    </row>
    <row r="334" spans="1:242" x14ac:dyDescent="0.35">
      <c r="A334" s="310" t="s">
        <v>1919</v>
      </c>
      <c r="B334" t="s">
        <v>1920</v>
      </c>
      <c r="C334" s="310" t="s">
        <v>1921</v>
      </c>
      <c r="D334" s="316"/>
      <c r="F334" t="s">
        <v>1922</v>
      </c>
      <c r="I334" s="310" t="s">
        <v>1923</v>
      </c>
      <c r="M334" s="313" t="s">
        <v>220</v>
      </c>
      <c r="O334" t="s">
        <v>221</v>
      </c>
      <c r="P334" s="381"/>
      <c r="Q334" t="s">
        <v>221</v>
      </c>
      <c r="T334" s="8"/>
      <c r="U334" t="s">
        <v>221</v>
      </c>
      <c r="V334" s="313"/>
      <c r="W334" t="s">
        <v>220</v>
      </c>
      <c r="X334" t="s">
        <v>220</v>
      </c>
      <c r="Z334" t="s">
        <v>220</v>
      </c>
      <c r="AB334"/>
      <c r="AD334" s="8" t="s">
        <v>222</v>
      </c>
      <c r="AF334" s="8" t="s">
        <v>222</v>
      </c>
      <c r="AG334"/>
      <c r="AH334" t="s">
        <v>312</v>
      </c>
      <c r="AI334"/>
      <c r="AJ334" t="s">
        <v>221</v>
      </c>
      <c r="AK334">
        <v>0</v>
      </c>
      <c r="AL334">
        <v>1</v>
      </c>
      <c r="AM334" t="s">
        <v>221</v>
      </c>
      <c r="AN334" t="s">
        <v>249</v>
      </c>
      <c r="AO334" t="s">
        <v>224</v>
      </c>
      <c r="AP334"/>
      <c r="AQ334" t="s">
        <v>221</v>
      </c>
      <c r="AR334" t="s">
        <v>225</v>
      </c>
      <c r="AS334" t="s">
        <v>221</v>
      </c>
      <c r="AT334"/>
      <c r="AU334" t="s">
        <v>220</v>
      </c>
      <c r="AV334"/>
      <c r="AW334" s="313" t="s">
        <v>220</v>
      </c>
      <c r="AX334" t="s">
        <v>226</v>
      </c>
      <c r="AY334" s="313" t="s">
        <v>220</v>
      </c>
      <c r="AZ334" s="313">
        <v>0.19600000000000001</v>
      </c>
      <c r="BB334" s="313" t="s">
        <v>220</v>
      </c>
      <c r="BC334">
        <v>0.153</v>
      </c>
      <c r="BD334" t="s">
        <v>220</v>
      </c>
      <c r="BE334">
        <v>0.182</v>
      </c>
      <c r="BF334" s="2" t="s">
        <v>220</v>
      </c>
      <c r="BH334" s="2" t="s">
        <v>228</v>
      </c>
      <c r="BI334" s="2" t="s">
        <v>229</v>
      </c>
      <c r="BM334" t="s">
        <v>317</v>
      </c>
      <c r="BP334" s="8"/>
      <c r="BQ334" t="s">
        <v>230</v>
      </c>
      <c r="BR334" t="s">
        <v>230</v>
      </c>
      <c r="BS334" t="s">
        <v>320</v>
      </c>
      <c r="BU334" t="s">
        <v>293</v>
      </c>
      <c r="BV334" t="s">
        <v>249</v>
      </c>
      <c r="BW334" t="s">
        <v>321</v>
      </c>
      <c r="BX334" t="s">
        <v>700</v>
      </c>
      <c r="BY334" t="s">
        <v>257</v>
      </c>
      <c r="BZ334">
        <v>0.52600000000000002</v>
      </c>
      <c r="CA334" t="s">
        <v>234</v>
      </c>
      <c r="CF334" t="s">
        <v>257</v>
      </c>
      <c r="CG334">
        <v>0.68300000000000005</v>
      </c>
      <c r="CH334" t="s">
        <v>257</v>
      </c>
      <c r="CI334">
        <v>0.71</v>
      </c>
      <c r="CK334"/>
      <c r="CL334" t="s">
        <v>220</v>
      </c>
      <c r="CM334" t="s">
        <v>231</v>
      </c>
      <c r="CN334" s="2" t="s">
        <v>312</v>
      </c>
      <c r="CS334" s="8"/>
      <c r="CW334" t="s">
        <v>227</v>
      </c>
      <c r="CX334" t="s">
        <v>220</v>
      </c>
      <c r="CY334" t="s">
        <v>231</v>
      </c>
      <c r="CZ334" t="s">
        <v>220</v>
      </c>
      <c r="DA334" t="s">
        <v>220</v>
      </c>
      <c r="DB334" t="s">
        <v>220</v>
      </c>
      <c r="DC334"/>
      <c r="DD334"/>
      <c r="DE334"/>
      <c r="DF334"/>
      <c r="DG334"/>
      <c r="DH334" s="323" t="s">
        <v>316</v>
      </c>
      <c r="DI334" s="323"/>
      <c r="DJ334" s="323"/>
      <c r="DL334" t="s">
        <v>227</v>
      </c>
      <c r="DM334" t="s">
        <v>257</v>
      </c>
      <c r="DN334" t="s">
        <v>257</v>
      </c>
      <c r="DO334" t="s">
        <v>227</v>
      </c>
      <c r="DP334" t="s">
        <v>220</v>
      </c>
      <c r="DS334" s="309">
        <v>413.38799999999998</v>
      </c>
      <c r="DU334" s="338">
        <v>489.41300000000001</v>
      </c>
      <c r="DV334" s="8" t="s">
        <v>394</v>
      </c>
      <c r="DW334"/>
      <c r="DX334" t="s">
        <v>235</v>
      </c>
      <c r="DY334"/>
      <c r="DZ334" t="s">
        <v>235</v>
      </c>
      <c r="EA334"/>
      <c r="EB334"/>
      <c r="ED334" s="410" t="s">
        <v>1924</v>
      </c>
      <c r="EE334" s="1">
        <v>16</v>
      </c>
      <c r="EF334" s="8" t="s">
        <v>323</v>
      </c>
      <c r="EG334" s="410">
        <v>16</v>
      </c>
      <c r="EH334" s="8" t="s">
        <v>323</v>
      </c>
      <c r="EI334" s="410">
        <v>726</v>
      </c>
      <c r="EJ334" s="8" t="s">
        <v>259</v>
      </c>
      <c r="EK334" s="1">
        <v>74.3</v>
      </c>
      <c r="EL334" s="8" t="s">
        <v>323</v>
      </c>
      <c r="EM334"/>
      <c r="EQ334" s="344"/>
      <c r="EU334" s="344"/>
      <c r="EW334" s="409"/>
      <c r="EY334" s="1"/>
      <c r="FA334">
        <v>102.53</v>
      </c>
      <c r="FB334" t="s">
        <v>236</v>
      </c>
      <c r="FC334" s="7">
        <v>76.594925837288869</v>
      </c>
      <c r="FD334" s="357" t="s">
        <v>225</v>
      </c>
      <c r="FE334" s="8">
        <v>72.644041859247608</v>
      </c>
      <c r="FF334" t="s">
        <v>237</v>
      </c>
      <c r="FH334" s="9">
        <v>61.503523930697632</v>
      </c>
      <c r="FI334" s="9" t="s">
        <v>225</v>
      </c>
      <c r="FK334" t="s">
        <v>235</v>
      </c>
      <c r="FL334">
        <v>103</v>
      </c>
      <c r="FM334">
        <v>183.82306368835324</v>
      </c>
      <c r="FN334" s="5" t="s">
        <v>237</v>
      </c>
      <c r="FP334" s="6">
        <v>16</v>
      </c>
      <c r="FQ334" t="s">
        <v>615</v>
      </c>
      <c r="FS334" t="s">
        <v>261</v>
      </c>
      <c r="FT334" t="e">
        <f>FQ334=#REF!</f>
        <v>#REF!</v>
      </c>
      <c r="FU334" s="8">
        <v>1</v>
      </c>
      <c r="FV334" s="8">
        <v>10</v>
      </c>
      <c r="FW334" s="8">
        <v>10</v>
      </c>
      <c r="FX334" s="8">
        <v>1</v>
      </c>
      <c r="FY334" s="8">
        <v>1</v>
      </c>
      <c r="FZ334">
        <f t="shared" si="5"/>
        <v>100</v>
      </c>
      <c r="GA334" s="7" t="s">
        <v>241</v>
      </c>
      <c r="GB334" s="7" t="s">
        <v>241</v>
      </c>
      <c r="GC334" s="6">
        <v>30</v>
      </c>
      <c r="GD334" s="348" t="s">
        <v>242</v>
      </c>
      <c r="GE334" s="6">
        <v>15</v>
      </c>
      <c r="GF334" s="6">
        <v>3.0751761965348817E-2</v>
      </c>
      <c r="GH334" s="7"/>
      <c r="GI334" s="441"/>
      <c r="GJ334" s="441"/>
      <c r="GK334" s="441"/>
      <c r="GL334" s="441"/>
      <c r="GM334" s="454"/>
      <c r="GN334" s="441"/>
      <c r="GO334" s="441"/>
      <c r="GP334" s="441"/>
      <c r="GQ334" s="441"/>
      <c r="GR334" s="441"/>
      <c r="GS334" s="441"/>
      <c r="GT334" s="441"/>
      <c r="GU334" s="441"/>
      <c r="GV334" s="441"/>
      <c r="GW334" s="441"/>
      <c r="GX334" s="441"/>
      <c r="GY334" s="441"/>
      <c r="GZ334" s="441"/>
      <c r="HA334" s="441"/>
      <c r="HB334" s="441"/>
      <c r="HC334" s="441"/>
      <c r="HD334" s="441"/>
      <c r="HE334" s="441"/>
      <c r="HF334" s="441"/>
      <c r="HG334" s="441"/>
      <c r="HH334" s="441"/>
      <c r="HI334" s="441"/>
      <c r="HJ334" s="441"/>
      <c r="HK334" s="441"/>
      <c r="HL334" s="441"/>
      <c r="HM334" s="441"/>
      <c r="HN334" s="441"/>
      <c r="HO334" s="441"/>
      <c r="HP334" s="441"/>
      <c r="HQ334" s="441"/>
      <c r="HR334" s="441"/>
      <c r="HS334" s="441"/>
      <c r="HT334" s="441"/>
      <c r="HU334" s="441"/>
      <c r="HV334" s="441"/>
      <c r="HW334" s="441"/>
      <c r="HX334" s="441"/>
      <c r="HY334" s="441"/>
      <c r="HZ334" s="441"/>
      <c r="IA334" s="441"/>
      <c r="IB334" s="441"/>
      <c r="IC334" s="441"/>
      <c r="ID334" s="441"/>
      <c r="IE334" s="441"/>
      <c r="IF334" s="441"/>
      <c r="IH334" t="s">
        <v>235</v>
      </c>
    </row>
    <row r="335" spans="1:242" hidden="1" x14ac:dyDescent="0.35">
      <c r="A335" s="310" t="s">
        <v>1925</v>
      </c>
      <c r="B335" t="s">
        <v>1926</v>
      </c>
      <c r="C335" s="310" t="s">
        <v>1927</v>
      </c>
      <c r="D335" s="316"/>
      <c r="F335" t="s">
        <v>1928</v>
      </c>
      <c r="I335" s="310" t="s">
        <v>1929</v>
      </c>
      <c r="M335" s="313"/>
      <c r="O335"/>
      <c r="P335" s="381"/>
      <c r="Q335"/>
      <c r="T335" s="8"/>
      <c r="U335"/>
      <c r="V335" s="313"/>
      <c r="W335"/>
      <c r="X335"/>
      <c r="Z335"/>
      <c r="AB335"/>
      <c r="AD335" s="8" t="s">
        <v>230</v>
      </c>
      <c r="AF335" s="8" t="s">
        <v>230</v>
      </c>
      <c r="AG335"/>
      <c r="AH335"/>
      <c r="AI335"/>
      <c r="AJ335" t="s">
        <v>414</v>
      </c>
      <c r="AK335">
        <v>0.6</v>
      </c>
      <c r="AL335">
        <v>0.05</v>
      </c>
      <c r="AM335" t="s">
        <v>414</v>
      </c>
      <c r="AN335" t="s">
        <v>223</v>
      </c>
      <c r="AO335" t="s">
        <v>224</v>
      </c>
      <c r="AP335" t="s">
        <v>236</v>
      </c>
      <c r="AQ335" t="s">
        <v>414</v>
      </c>
      <c r="AR335" t="s">
        <v>223</v>
      </c>
      <c r="AS335" t="s">
        <v>414</v>
      </c>
      <c r="AT335" t="s">
        <v>225</v>
      </c>
      <c r="AU335" t="s">
        <v>220</v>
      </c>
      <c r="AV335"/>
      <c r="AW335" s="313" t="s">
        <v>220</v>
      </c>
      <c r="AX335" t="s">
        <v>226</v>
      </c>
      <c r="AY335" s="313" t="s">
        <v>220</v>
      </c>
      <c r="AZ335" s="313">
        <v>0.28799999999999998</v>
      </c>
      <c r="BB335" s="313" t="s">
        <v>220</v>
      </c>
      <c r="BC335">
        <v>0.20899999999999999</v>
      </c>
      <c r="BD335" t="s">
        <v>431</v>
      </c>
      <c r="BE335">
        <v>0.55100000000000005</v>
      </c>
      <c r="BF335" s="2" t="s">
        <v>257</v>
      </c>
      <c r="BG335" s="2" t="s">
        <v>273</v>
      </c>
      <c r="BH335" s="2" t="s">
        <v>274</v>
      </c>
      <c r="BI335" s="2" t="s">
        <v>275</v>
      </c>
      <c r="BM335"/>
      <c r="BP335" s="8"/>
      <c r="BQ335" t="s">
        <v>230</v>
      </c>
      <c r="BR335" t="s">
        <v>230</v>
      </c>
      <c r="BU335" t="s">
        <v>317</v>
      </c>
      <c r="BV335" t="s">
        <v>236</v>
      </c>
      <c r="BW335" t="s">
        <v>232</v>
      </c>
      <c r="BX335" t="s">
        <v>233</v>
      </c>
      <c r="BY335" t="s">
        <v>220</v>
      </c>
      <c r="BZ335">
        <v>0.42599999999999999</v>
      </c>
      <c r="CA335" t="s">
        <v>372</v>
      </c>
      <c r="CF335" t="s">
        <v>220</v>
      </c>
      <c r="CG335">
        <v>0.46800000000000003</v>
      </c>
      <c r="CH335" t="s">
        <v>257</v>
      </c>
      <c r="CI335">
        <v>0.65600000000000003</v>
      </c>
      <c r="CK335"/>
      <c r="CL335"/>
      <c r="CM335"/>
      <c r="CS335" s="8"/>
      <c r="CW335" t="s">
        <v>227</v>
      </c>
      <c r="CX335" t="s">
        <v>257</v>
      </c>
      <c r="CY335" t="s">
        <v>231</v>
      </c>
      <c r="CZ335" t="s">
        <v>227</v>
      </c>
      <c r="DA335" t="s">
        <v>227</v>
      </c>
      <c r="DB335" t="s">
        <v>227</v>
      </c>
      <c r="DC335"/>
      <c r="DD335"/>
      <c r="DE335"/>
      <c r="DF335"/>
      <c r="DG335"/>
      <c r="DH335" s="323"/>
      <c r="DI335" s="323"/>
      <c r="DJ335" s="323"/>
      <c r="DL335" t="s">
        <v>257</v>
      </c>
      <c r="DM335" t="s">
        <v>220</v>
      </c>
      <c r="DN335" t="s">
        <v>227</v>
      </c>
      <c r="DO335" t="s">
        <v>220</v>
      </c>
      <c r="DP335" t="s">
        <v>220</v>
      </c>
      <c r="DS335" s="309">
        <v>41.616</v>
      </c>
      <c r="DU335" s="309">
        <v>416.69</v>
      </c>
      <c r="DW335"/>
      <c r="DX335" t="s">
        <v>235</v>
      </c>
      <c r="DY335"/>
      <c r="DZ335" t="s">
        <v>235</v>
      </c>
      <c r="EA335"/>
      <c r="EB335"/>
      <c r="ED335" s="410"/>
      <c r="EE335" s="1"/>
      <c r="EG335" s="410"/>
      <c r="EI335" s="410"/>
      <c r="EK335" s="1"/>
      <c r="EM335"/>
      <c r="EQ335" s="344"/>
      <c r="EU335" s="344"/>
      <c r="EW335" s="409"/>
      <c r="EY335" s="1"/>
      <c r="FA335">
        <v>73.41</v>
      </c>
      <c r="FB335" t="s">
        <v>225</v>
      </c>
      <c r="FC335" s="7">
        <v>128.35121968394986</v>
      </c>
      <c r="FD335" s="357" t="s">
        <v>236</v>
      </c>
      <c r="FE335" s="8">
        <v>19.994014374310886</v>
      </c>
      <c r="FF335" t="s">
        <v>237</v>
      </c>
      <c r="FH335" s="9">
        <v>62.416584509097426</v>
      </c>
      <c r="FI335" s="9" t="s">
        <v>225</v>
      </c>
      <c r="FK335" t="s">
        <v>235</v>
      </c>
      <c r="FL335">
        <v>111</v>
      </c>
      <c r="FM335">
        <v>23.426100385925491</v>
      </c>
      <c r="FN335" s="419" t="s">
        <v>237</v>
      </c>
      <c r="FV335" s="8"/>
      <c r="FW335" s="8"/>
      <c r="FX335" s="8"/>
      <c r="GC335" s="7">
        <v>2.5000000000000001E-3</v>
      </c>
      <c r="GH335" s="7"/>
      <c r="GI335" s="441" t="s">
        <v>395</v>
      </c>
      <c r="GJ335" s="441" t="s">
        <v>395</v>
      </c>
      <c r="GK335" s="441" t="s">
        <v>395</v>
      </c>
      <c r="GL335" s="441" t="s">
        <v>395</v>
      </c>
      <c r="GM335" s="452" t="s">
        <v>230</v>
      </c>
      <c r="GN335" s="6" t="s">
        <v>395</v>
      </c>
      <c r="GO335" s="6" t="s">
        <v>395</v>
      </c>
      <c r="GP335" s="6" t="s">
        <v>395</v>
      </c>
      <c r="GQ335" s="6" t="s">
        <v>395</v>
      </c>
      <c r="GR335" s="6" t="s">
        <v>230</v>
      </c>
      <c r="GU335" t="s">
        <v>243</v>
      </c>
      <c r="GV335" t="s">
        <v>236</v>
      </c>
      <c r="GW335" t="s">
        <v>244</v>
      </c>
      <c r="GX335" t="s">
        <v>236</v>
      </c>
      <c r="GY335" t="s">
        <v>245</v>
      </c>
      <c r="HE335" t="s">
        <v>384</v>
      </c>
      <c r="HF335" t="s">
        <v>225</v>
      </c>
      <c r="HG335" t="s">
        <v>231</v>
      </c>
      <c r="HH335" t="s">
        <v>223</v>
      </c>
      <c r="HI335" t="s">
        <v>247</v>
      </c>
      <c r="HJ335" t="s">
        <v>223</v>
      </c>
      <c r="HK335" t="s">
        <v>266</v>
      </c>
      <c r="HO335" t="s">
        <v>231</v>
      </c>
      <c r="HP335" t="s">
        <v>223</v>
      </c>
      <c r="HQ335" t="s">
        <v>231</v>
      </c>
      <c r="HR335" t="s">
        <v>223</v>
      </c>
      <c r="HU335" t="s">
        <v>231</v>
      </c>
      <c r="HV335" t="s">
        <v>223</v>
      </c>
      <c r="HW335" t="s">
        <v>246</v>
      </c>
      <c r="HX335" t="s">
        <v>236</v>
      </c>
      <c r="IA335" t="s">
        <v>231</v>
      </c>
      <c r="IB335" t="s">
        <v>250</v>
      </c>
      <c r="IC335" t="s">
        <v>395</v>
      </c>
      <c r="ID335" t="s">
        <v>395</v>
      </c>
      <c r="IE335" t="s">
        <v>395</v>
      </c>
      <c r="IF335" t="s">
        <v>395</v>
      </c>
      <c r="IH335" t="s">
        <v>235</v>
      </c>
    </row>
    <row r="336" spans="1:242" hidden="1" x14ac:dyDescent="0.35">
      <c r="A336" s="310" t="s">
        <v>1930</v>
      </c>
      <c r="B336" t="s">
        <v>1931</v>
      </c>
      <c r="C336" s="310" t="s">
        <v>1932</v>
      </c>
      <c r="D336" s="316"/>
      <c r="F336" t="s">
        <v>1933</v>
      </c>
      <c r="I336" s="310" t="s">
        <v>1934</v>
      </c>
      <c r="M336" s="313"/>
      <c r="O336"/>
      <c r="P336" s="381"/>
      <c r="Q336"/>
      <c r="T336" s="8"/>
      <c r="U336"/>
      <c r="V336" s="313"/>
      <c r="W336"/>
      <c r="X336"/>
      <c r="Z336"/>
      <c r="AB336"/>
      <c r="AD336" s="8" t="s">
        <v>230</v>
      </c>
      <c r="AF336" s="8" t="s">
        <v>230</v>
      </c>
      <c r="AG336"/>
      <c r="AH336"/>
      <c r="AI336"/>
      <c r="AJ336" t="s">
        <v>414</v>
      </c>
      <c r="AK336">
        <v>0.52500000000000002</v>
      </c>
      <c r="AL336">
        <v>0.05</v>
      </c>
      <c r="AM336" t="s">
        <v>414</v>
      </c>
      <c r="AN336" t="s">
        <v>225</v>
      </c>
      <c r="AO336" t="s">
        <v>224</v>
      </c>
      <c r="AP336" t="s">
        <v>236</v>
      </c>
      <c r="AQ336" t="s">
        <v>414</v>
      </c>
      <c r="AR336" t="s">
        <v>223</v>
      </c>
      <c r="AS336" t="s">
        <v>414</v>
      </c>
      <c r="AT336" t="s">
        <v>225</v>
      </c>
      <c r="AU336" t="s">
        <v>257</v>
      </c>
      <c r="AV336"/>
      <c r="AW336" s="313" t="s">
        <v>257</v>
      </c>
      <c r="AX336" t="s">
        <v>768</v>
      </c>
      <c r="AY336" s="313" t="s">
        <v>257</v>
      </c>
      <c r="AZ336" s="313">
        <v>0.78200000000000003</v>
      </c>
      <c r="BB336" s="313" t="s">
        <v>257</v>
      </c>
      <c r="BC336">
        <v>0.85499999999999998</v>
      </c>
      <c r="BD336" t="s">
        <v>257</v>
      </c>
      <c r="BE336">
        <v>0.64600000000000002</v>
      </c>
      <c r="BF336" s="2" t="s">
        <v>257</v>
      </c>
      <c r="BG336" s="2" t="s">
        <v>273</v>
      </c>
      <c r="BH336" s="2" t="s">
        <v>274</v>
      </c>
      <c r="BI336" s="2" t="s">
        <v>432</v>
      </c>
      <c r="BM336"/>
      <c r="BP336" s="8"/>
      <c r="BQ336" t="s">
        <v>230</v>
      </c>
      <c r="BR336" t="s">
        <v>230</v>
      </c>
      <c r="BU336" t="s">
        <v>317</v>
      </c>
      <c r="BV336" t="s">
        <v>236</v>
      </c>
      <c r="BW336" t="s">
        <v>232</v>
      </c>
      <c r="BX336" t="s">
        <v>233</v>
      </c>
      <c r="BY336" t="s">
        <v>220</v>
      </c>
      <c r="BZ336">
        <v>0.21299999999999999</v>
      </c>
      <c r="CA336" t="s">
        <v>372</v>
      </c>
      <c r="CF336" t="s">
        <v>220</v>
      </c>
      <c r="CG336">
        <v>0.45500000000000002</v>
      </c>
      <c r="CH336" t="s">
        <v>257</v>
      </c>
      <c r="CI336">
        <v>0.73399999999999999</v>
      </c>
      <c r="CK336"/>
      <c r="CL336"/>
      <c r="CM336"/>
      <c r="CS336" s="8"/>
      <c r="CW336" t="s">
        <v>227</v>
      </c>
      <c r="CX336" t="s">
        <v>257</v>
      </c>
      <c r="CY336" t="s">
        <v>231</v>
      </c>
      <c r="CZ336" t="s">
        <v>227</v>
      </c>
      <c r="DA336" t="s">
        <v>227</v>
      </c>
      <c r="DB336" t="s">
        <v>220</v>
      </c>
      <c r="DC336"/>
      <c r="DD336"/>
      <c r="DE336"/>
      <c r="DF336"/>
      <c r="DG336"/>
      <c r="DH336" s="323"/>
      <c r="DI336" s="323"/>
      <c r="DJ336" s="323"/>
      <c r="DL336" t="s">
        <v>257</v>
      </c>
      <c r="DM336" t="s">
        <v>220</v>
      </c>
      <c r="DN336" t="s">
        <v>227</v>
      </c>
      <c r="DO336" t="s">
        <v>227</v>
      </c>
      <c r="DP336" t="s">
        <v>227</v>
      </c>
      <c r="DS336" s="309">
        <v>34.082999999999998</v>
      </c>
      <c r="DU336" s="309">
        <v>367.34800000000001</v>
      </c>
      <c r="DW336">
        <v>35.799999999999997</v>
      </c>
      <c r="DX336" t="s">
        <v>238</v>
      </c>
      <c r="DY336"/>
      <c r="DZ336" t="s">
        <v>235</v>
      </c>
      <c r="EA336"/>
      <c r="EB336"/>
      <c r="ED336" s="410"/>
      <c r="EE336" s="1"/>
      <c r="EG336" s="410"/>
      <c r="EI336" s="410"/>
      <c r="EK336" s="1"/>
      <c r="EM336"/>
      <c r="EQ336" s="344"/>
      <c r="EU336" s="344"/>
      <c r="EW336" s="409"/>
      <c r="EY336" s="1"/>
      <c r="FA336">
        <v>84.93</v>
      </c>
      <c r="FB336" t="s">
        <v>236</v>
      </c>
      <c r="FC336" s="7">
        <v>160.3245390690042</v>
      </c>
      <c r="FD336" s="357" t="s">
        <v>236</v>
      </c>
      <c r="FE336" s="8">
        <v>17.992851681549404</v>
      </c>
      <c r="FF336" t="s">
        <v>237</v>
      </c>
      <c r="FH336" s="9">
        <v>41.096042325154841</v>
      </c>
      <c r="FI336" s="9" t="s">
        <v>236</v>
      </c>
      <c r="FK336" t="s">
        <v>235</v>
      </c>
      <c r="FL336">
        <v>124</v>
      </c>
      <c r="FM336">
        <v>18.77154418375024</v>
      </c>
      <c r="FN336" s="419" t="s">
        <v>237</v>
      </c>
      <c r="FV336" s="8"/>
      <c r="FW336" s="8"/>
      <c r="FX336" s="8"/>
      <c r="GC336" s="7">
        <v>2.5000000000000001E-3</v>
      </c>
      <c r="GH336" s="7"/>
      <c r="GI336" s="441" t="s">
        <v>395</v>
      </c>
      <c r="GJ336" s="441" t="s">
        <v>395</v>
      </c>
      <c r="GK336" s="441" t="s">
        <v>395</v>
      </c>
      <c r="GL336" s="441" t="s">
        <v>395</v>
      </c>
      <c r="GM336" s="452" t="s">
        <v>230</v>
      </c>
      <c r="GN336" s="6" t="s">
        <v>395</v>
      </c>
      <c r="GO336" s="6" t="s">
        <v>395</v>
      </c>
      <c r="GP336" s="6" t="s">
        <v>395</v>
      </c>
      <c r="GQ336" s="6" t="s">
        <v>395</v>
      </c>
      <c r="GR336" s="6" t="s">
        <v>230</v>
      </c>
      <c r="GU336" t="s">
        <v>243</v>
      </c>
      <c r="GV336" t="s">
        <v>236</v>
      </c>
      <c r="GW336" t="s">
        <v>244</v>
      </c>
      <c r="GX336" t="s">
        <v>236</v>
      </c>
      <c r="GY336" t="s">
        <v>245</v>
      </c>
      <c r="HE336" t="s">
        <v>384</v>
      </c>
      <c r="HF336" t="s">
        <v>225</v>
      </c>
      <c r="HG336" t="s">
        <v>231</v>
      </c>
      <c r="HH336" t="s">
        <v>225</v>
      </c>
      <c r="HI336" t="s">
        <v>247</v>
      </c>
      <c r="HJ336" t="s">
        <v>223</v>
      </c>
      <c r="HK336" t="s">
        <v>266</v>
      </c>
      <c r="HO336" t="s">
        <v>231</v>
      </c>
      <c r="HP336" t="s">
        <v>223</v>
      </c>
      <c r="HQ336" t="s">
        <v>231</v>
      </c>
      <c r="HR336" t="s">
        <v>223</v>
      </c>
      <c r="HU336" t="s">
        <v>231</v>
      </c>
      <c r="HV336" t="s">
        <v>223</v>
      </c>
      <c r="HW336" t="s">
        <v>246</v>
      </c>
      <c r="HX336" t="s">
        <v>236</v>
      </c>
      <c r="IA336" t="s">
        <v>231</v>
      </c>
      <c r="IB336" t="s">
        <v>250</v>
      </c>
      <c r="IC336" t="s">
        <v>395</v>
      </c>
      <c r="ID336" t="s">
        <v>395</v>
      </c>
      <c r="IE336" t="s">
        <v>395</v>
      </c>
      <c r="IF336" t="s">
        <v>395</v>
      </c>
      <c r="IH336" t="s">
        <v>235</v>
      </c>
    </row>
    <row r="337" spans="1:242" x14ac:dyDescent="0.35">
      <c r="A337" s="310" t="s">
        <v>1935</v>
      </c>
      <c r="B337" t="s">
        <v>1936</v>
      </c>
      <c r="C337" s="310" t="s">
        <v>1937</v>
      </c>
      <c r="D337" s="316"/>
      <c r="F337" t="s">
        <v>1938</v>
      </c>
      <c r="I337" s="310" t="s">
        <v>1939</v>
      </c>
      <c r="M337" s="313"/>
      <c r="O337"/>
      <c r="P337" s="381"/>
      <c r="Q337"/>
      <c r="T337" s="8"/>
      <c r="U337"/>
      <c r="V337" s="313"/>
      <c r="W337"/>
      <c r="X337"/>
      <c r="Z337"/>
      <c r="AB337"/>
      <c r="AD337" s="8" t="s">
        <v>230</v>
      </c>
      <c r="AF337" s="8" t="s">
        <v>230</v>
      </c>
      <c r="AG337"/>
      <c r="AH337"/>
      <c r="AI337"/>
      <c r="AJ337" t="s">
        <v>221</v>
      </c>
      <c r="AK337">
        <v>0</v>
      </c>
      <c r="AL337">
        <v>0.9</v>
      </c>
      <c r="AM337" t="s">
        <v>221</v>
      </c>
      <c r="AN337" t="s">
        <v>223</v>
      </c>
      <c r="AO337" t="s">
        <v>224</v>
      </c>
      <c r="AP337" t="s">
        <v>223</v>
      </c>
      <c r="AQ337" t="s">
        <v>221</v>
      </c>
      <c r="AR337" t="s">
        <v>223</v>
      </c>
      <c r="AS337" t="s">
        <v>221</v>
      </c>
      <c r="AT337" t="s">
        <v>223</v>
      </c>
      <c r="AU337" t="s">
        <v>220</v>
      </c>
      <c r="AV337"/>
      <c r="AW337" s="313" t="s">
        <v>220</v>
      </c>
      <c r="AX337" t="s">
        <v>226</v>
      </c>
      <c r="AY337" s="313" t="s">
        <v>220</v>
      </c>
      <c r="AZ337" s="313">
        <v>0.39200000000000002</v>
      </c>
      <c r="BB337" s="313" t="s">
        <v>220</v>
      </c>
      <c r="BC337">
        <v>0.34699999999999998</v>
      </c>
      <c r="BD337" t="s">
        <v>227</v>
      </c>
      <c r="BE337">
        <v>0.32900000000000001</v>
      </c>
      <c r="BF337" s="2" t="s">
        <v>220</v>
      </c>
      <c r="BG337" s="2" t="s">
        <v>273</v>
      </c>
      <c r="BH337" s="2" t="s">
        <v>274</v>
      </c>
      <c r="BI337" s="2" t="s">
        <v>275</v>
      </c>
      <c r="BM337"/>
      <c r="BP337" s="8"/>
      <c r="BQ337" t="s">
        <v>230</v>
      </c>
      <c r="BR337" t="s">
        <v>230</v>
      </c>
      <c r="BU337" t="s">
        <v>317</v>
      </c>
      <c r="BV337" t="s">
        <v>236</v>
      </c>
      <c r="BW337" t="s">
        <v>232</v>
      </c>
      <c r="BX337" t="s">
        <v>284</v>
      </c>
      <c r="BY337" t="s">
        <v>227</v>
      </c>
      <c r="BZ337">
        <v>0.623</v>
      </c>
      <c r="CA337" t="s">
        <v>234</v>
      </c>
      <c r="CF337" t="s">
        <v>227</v>
      </c>
      <c r="CG337">
        <v>0.58899999999999997</v>
      </c>
      <c r="CH337" t="s">
        <v>257</v>
      </c>
      <c r="CI337">
        <v>0.75</v>
      </c>
      <c r="CK337"/>
      <c r="CL337"/>
      <c r="CM337"/>
      <c r="CS337" s="8"/>
      <c r="CW337" t="s">
        <v>227</v>
      </c>
      <c r="CX337" t="s">
        <v>257</v>
      </c>
      <c r="CY337" t="s">
        <v>231</v>
      </c>
      <c r="CZ337" t="s">
        <v>227</v>
      </c>
      <c r="DA337" t="s">
        <v>227</v>
      </c>
      <c r="DB337" t="s">
        <v>220</v>
      </c>
      <c r="DC337"/>
      <c r="DD337"/>
      <c r="DE337"/>
      <c r="DF337"/>
      <c r="DG337"/>
      <c r="DH337" s="323"/>
      <c r="DI337" s="323"/>
      <c r="DJ337" s="323"/>
      <c r="DL337" t="s">
        <v>227</v>
      </c>
      <c r="DM337" t="s">
        <v>220</v>
      </c>
      <c r="DN337" t="s">
        <v>227</v>
      </c>
      <c r="DO337" t="s">
        <v>227</v>
      </c>
      <c r="DP337" t="s">
        <v>227</v>
      </c>
      <c r="DS337" s="309">
        <v>75.915999999999997</v>
      </c>
      <c r="DU337" s="309">
        <v>180.01599999999999</v>
      </c>
      <c r="DW337"/>
      <c r="DX337" t="s">
        <v>235</v>
      </c>
      <c r="DY337"/>
      <c r="DZ337" t="s">
        <v>235</v>
      </c>
      <c r="EA337"/>
      <c r="EB337"/>
      <c r="ED337" s="410"/>
      <c r="EE337" s="1"/>
      <c r="EG337" s="410"/>
      <c r="EI337" s="410"/>
      <c r="EK337" s="1"/>
      <c r="EM337"/>
      <c r="EQ337" s="344"/>
      <c r="EU337" s="344"/>
      <c r="EW337" s="409"/>
      <c r="EY337" s="1"/>
      <c r="FA337">
        <v>69.010000000000005</v>
      </c>
      <c r="FB337" t="s">
        <v>236</v>
      </c>
      <c r="FC337" s="7">
        <v>83.637299158402683</v>
      </c>
      <c r="FD337" s="357" t="s">
        <v>225</v>
      </c>
      <c r="FE337" s="8">
        <v>42.121128675406688</v>
      </c>
      <c r="FF337" t="s">
        <v>237</v>
      </c>
      <c r="FH337" s="9">
        <v>85.310011401759013</v>
      </c>
      <c r="FI337" s="9" t="s">
        <v>225</v>
      </c>
      <c r="FK337" t="s">
        <v>235</v>
      </c>
      <c r="FL337">
        <v>236</v>
      </c>
      <c r="FM337">
        <v>76.665504868917438</v>
      </c>
      <c r="FN337" s="5" t="s">
        <v>237</v>
      </c>
      <c r="FP337" s="6">
        <v>3.8332752434458719</v>
      </c>
      <c r="FQ337" t="s">
        <v>277</v>
      </c>
      <c r="FS337" t="s">
        <v>240</v>
      </c>
      <c r="FT337" t="e">
        <f>FQ337=#REF!</f>
        <v>#REF!</v>
      </c>
      <c r="FU337" s="8">
        <v>2</v>
      </c>
      <c r="FV337" s="8">
        <v>10</v>
      </c>
      <c r="FW337" s="8">
        <v>10</v>
      </c>
      <c r="FX337" s="8">
        <v>10</v>
      </c>
      <c r="FY337" s="8">
        <v>3</v>
      </c>
      <c r="FZ337">
        <f t="shared" si="5"/>
        <v>6000</v>
      </c>
      <c r="GA337" s="7" t="s">
        <v>241</v>
      </c>
      <c r="GB337" s="7" t="s">
        <v>241</v>
      </c>
      <c r="GC337" s="6">
        <v>30</v>
      </c>
      <c r="GD337" s="348" t="s">
        <v>242</v>
      </c>
      <c r="GF337" s="6">
        <v>7.0201881125677809E-2</v>
      </c>
      <c r="GH337" s="7"/>
      <c r="GI337" s="445"/>
      <c r="GJ337" s="445"/>
      <c r="GK337" s="445"/>
      <c r="GL337" s="445"/>
      <c r="GM337" s="453"/>
      <c r="GN337" s="6">
        <v>0.2</v>
      </c>
      <c r="GO337" s="6">
        <v>0.375</v>
      </c>
      <c r="GP337" s="6">
        <v>0.6</v>
      </c>
      <c r="GQ337" s="6">
        <v>1.5</v>
      </c>
      <c r="GR337" s="6" t="s">
        <v>230</v>
      </c>
      <c r="GU337" t="s">
        <v>365</v>
      </c>
      <c r="GV337" t="s">
        <v>225</v>
      </c>
      <c r="GW337" t="s">
        <v>244</v>
      </c>
      <c r="GX337" t="s">
        <v>236</v>
      </c>
      <c r="GY337" t="s">
        <v>245</v>
      </c>
      <c r="HE337" t="s">
        <v>246</v>
      </c>
      <c r="HF337" t="s">
        <v>236</v>
      </c>
      <c r="HG337" t="s">
        <v>231</v>
      </c>
      <c r="HH337" t="s">
        <v>223</v>
      </c>
      <c r="HI337" t="s">
        <v>247</v>
      </c>
      <c r="HJ337" t="s">
        <v>223</v>
      </c>
      <c r="HK337" t="s">
        <v>266</v>
      </c>
      <c r="HO337" t="s">
        <v>231</v>
      </c>
      <c r="HP337" t="s">
        <v>223</v>
      </c>
      <c r="HQ337" t="s">
        <v>231</v>
      </c>
      <c r="HR337" t="s">
        <v>223</v>
      </c>
      <c r="HU337" t="s">
        <v>231</v>
      </c>
      <c r="HV337" t="s">
        <v>223</v>
      </c>
      <c r="HW337" t="s">
        <v>246</v>
      </c>
      <c r="HX337" t="s">
        <v>236</v>
      </c>
      <c r="IA337" t="s">
        <v>231</v>
      </c>
      <c r="IB337" t="s">
        <v>250</v>
      </c>
      <c r="IC337" s="447"/>
      <c r="ID337" s="447"/>
      <c r="IE337" s="447"/>
      <c r="IF337" s="447"/>
      <c r="IH337" t="s">
        <v>235</v>
      </c>
    </row>
    <row r="338" spans="1:242" ht="18" hidden="1" x14ac:dyDescent="0.35">
      <c r="A338" s="310" t="s">
        <v>1940</v>
      </c>
      <c r="B338" t="s">
        <v>1941</v>
      </c>
      <c r="C338" s="310" t="s">
        <v>1942</v>
      </c>
      <c r="D338" s="316"/>
      <c r="F338" t="s">
        <v>1943</v>
      </c>
      <c r="I338" s="310" t="s">
        <v>1944</v>
      </c>
      <c r="M338" s="313" t="s">
        <v>257</v>
      </c>
      <c r="O338" t="s">
        <v>221</v>
      </c>
      <c r="P338" s="381"/>
      <c r="Q338" t="s">
        <v>221</v>
      </c>
      <c r="S338" t="s">
        <v>221</v>
      </c>
      <c r="T338" s="8"/>
      <c r="U338" t="s">
        <v>221</v>
      </c>
      <c r="V338" s="313"/>
      <c r="W338" t="s">
        <v>220</v>
      </c>
      <c r="X338" t="s">
        <v>220</v>
      </c>
      <c r="Z338" t="s">
        <v>220</v>
      </c>
      <c r="AB338"/>
      <c r="AD338" s="8" t="s">
        <v>699</v>
      </c>
      <c r="AF338" s="8" t="s">
        <v>222</v>
      </c>
      <c r="AG338"/>
      <c r="AH338" t="s">
        <v>312</v>
      </c>
      <c r="AI338"/>
      <c r="AJ338" t="s">
        <v>221</v>
      </c>
      <c r="AK338">
        <v>0</v>
      </c>
      <c r="AL338">
        <v>1</v>
      </c>
      <c r="AM338" t="s">
        <v>221</v>
      </c>
      <c r="AN338" t="s">
        <v>249</v>
      </c>
      <c r="AO338" t="s">
        <v>224</v>
      </c>
      <c r="AP338"/>
      <c r="AQ338" t="s">
        <v>221</v>
      </c>
      <c r="AR338"/>
      <c r="AS338" t="s">
        <v>221</v>
      </c>
      <c r="AT338"/>
      <c r="AU338" t="s">
        <v>220</v>
      </c>
      <c r="AV338"/>
      <c r="AW338" s="313" t="s">
        <v>220</v>
      </c>
      <c r="AX338" t="s">
        <v>226</v>
      </c>
      <c r="AY338" s="313" t="s">
        <v>220</v>
      </c>
      <c r="AZ338" s="313">
        <v>0.34200000000000003</v>
      </c>
      <c r="BB338" s="313" t="s">
        <v>220</v>
      </c>
      <c r="BC338">
        <v>0.222</v>
      </c>
      <c r="BD338" t="s">
        <v>227</v>
      </c>
      <c r="BE338">
        <v>0.23799999999999999</v>
      </c>
      <c r="BF338" s="2" t="s">
        <v>257</v>
      </c>
      <c r="BH338" s="2" t="s">
        <v>228</v>
      </c>
      <c r="BI338" s="2" t="s">
        <v>1945</v>
      </c>
      <c r="BL338" s="2" t="s">
        <v>316</v>
      </c>
      <c r="BM338" t="s">
        <v>317</v>
      </c>
      <c r="BO338" t="s">
        <v>257</v>
      </c>
      <c r="BP338" s="8" t="s">
        <v>316</v>
      </c>
      <c r="BQ338" t="s">
        <v>319</v>
      </c>
      <c r="BR338" t="s">
        <v>319</v>
      </c>
      <c r="BS338" t="s">
        <v>320</v>
      </c>
      <c r="BU338" t="s">
        <v>293</v>
      </c>
      <c r="BV338" t="s">
        <v>249</v>
      </c>
      <c r="BW338" t="s">
        <v>321</v>
      </c>
      <c r="BX338" t="s">
        <v>256</v>
      </c>
      <c r="BY338" t="s">
        <v>257</v>
      </c>
      <c r="BZ338">
        <v>0.626</v>
      </c>
      <c r="CA338" t="s">
        <v>234</v>
      </c>
      <c r="CF338" t="s">
        <v>227</v>
      </c>
      <c r="CG338">
        <v>0.56799999999999995</v>
      </c>
      <c r="CH338" t="s">
        <v>227</v>
      </c>
      <c r="CI338">
        <v>0.56999999999999995</v>
      </c>
      <c r="CK338" t="s">
        <v>220</v>
      </c>
      <c r="CL338"/>
      <c r="CM338" t="s">
        <v>317</v>
      </c>
      <c r="CN338" s="2" t="s">
        <v>316</v>
      </c>
      <c r="CP338" t="s">
        <v>257</v>
      </c>
      <c r="CQ338" t="s">
        <v>257</v>
      </c>
      <c r="CS338" s="8" t="s">
        <v>316</v>
      </c>
      <c r="CW338" t="s">
        <v>220</v>
      </c>
      <c r="CX338" t="s">
        <v>227</v>
      </c>
      <c r="CY338" t="s">
        <v>231</v>
      </c>
      <c r="CZ338" t="s">
        <v>257</v>
      </c>
      <c r="DA338" t="s">
        <v>257</v>
      </c>
      <c r="DB338" t="s">
        <v>227</v>
      </c>
      <c r="DC338" t="s">
        <v>257</v>
      </c>
      <c r="DD338" t="s">
        <v>257</v>
      </c>
      <c r="DE338" t="s">
        <v>257</v>
      </c>
      <c r="DF338" t="s">
        <v>257</v>
      </c>
      <c r="DG338" t="s">
        <v>257</v>
      </c>
      <c r="DH338" s="323" t="s">
        <v>316</v>
      </c>
      <c r="DI338" s="323"/>
      <c r="DJ338" s="323"/>
      <c r="DL338" t="s">
        <v>257</v>
      </c>
      <c r="DM338" t="s">
        <v>257</v>
      </c>
      <c r="DN338" t="s">
        <v>257</v>
      </c>
      <c r="DO338" t="s">
        <v>257</v>
      </c>
      <c r="DP338" t="s">
        <v>257</v>
      </c>
      <c r="DQ338" s="332" t="s">
        <v>1946</v>
      </c>
      <c r="DR338" s="332" t="s">
        <v>1947</v>
      </c>
      <c r="DS338" s="309">
        <v>227.42400000000001</v>
      </c>
      <c r="DU338" s="309">
        <v>172.405</v>
      </c>
      <c r="DW338">
        <v>49.7</v>
      </c>
      <c r="DX338" t="s">
        <v>238</v>
      </c>
      <c r="DY338">
        <v>53.9</v>
      </c>
      <c r="DZ338" t="s">
        <v>238</v>
      </c>
      <c r="EA338"/>
      <c r="EB338"/>
      <c r="ED338" s="410"/>
      <c r="EE338" s="1"/>
      <c r="EG338" s="410"/>
      <c r="EI338" s="410"/>
      <c r="EK338" s="1"/>
      <c r="EM338"/>
      <c r="EQ338" s="344"/>
      <c r="EU338" s="344"/>
      <c r="EW338" s="409"/>
      <c r="EY338" s="1"/>
      <c r="FA338">
        <v>5.3</v>
      </c>
      <c r="FB338" t="s">
        <v>225</v>
      </c>
      <c r="FC338" s="7">
        <v>108.39269140212046</v>
      </c>
      <c r="FD338" s="357" t="s">
        <v>225</v>
      </c>
      <c r="FE338" s="8">
        <v>25.176769277588562</v>
      </c>
      <c r="FF338" t="s">
        <v>237</v>
      </c>
      <c r="FH338" s="9">
        <v>161.32437825159127</v>
      </c>
      <c r="FI338" s="9" t="s">
        <v>225</v>
      </c>
      <c r="FJ338">
        <v>167</v>
      </c>
      <c r="FK338" t="s">
        <v>238</v>
      </c>
      <c r="FL338">
        <v>55.6</v>
      </c>
      <c r="FM338">
        <v>79.286637487854833</v>
      </c>
      <c r="FN338" s="419" t="s">
        <v>237</v>
      </c>
      <c r="FV338" s="8"/>
      <c r="FW338" s="8"/>
      <c r="FX338" s="8"/>
      <c r="GC338" s="7">
        <v>2.5000000000000001E-3</v>
      </c>
      <c r="GH338" s="7"/>
      <c r="GI338" s="441" t="s">
        <v>395</v>
      </c>
      <c r="GJ338" s="441" t="s">
        <v>395</v>
      </c>
      <c r="GK338" s="441" t="s">
        <v>395</v>
      </c>
      <c r="GL338" s="441" t="s">
        <v>395</v>
      </c>
      <c r="GM338" s="452" t="s">
        <v>230</v>
      </c>
      <c r="GN338" s="6" t="s">
        <v>395</v>
      </c>
      <c r="GO338" s="6" t="s">
        <v>395</v>
      </c>
      <c r="GP338" s="6" t="s">
        <v>395</v>
      </c>
      <c r="GQ338" s="6" t="s">
        <v>395</v>
      </c>
      <c r="GR338" s="6" t="s">
        <v>230</v>
      </c>
      <c r="GU338" t="s">
        <v>243</v>
      </c>
      <c r="GV338" t="s">
        <v>223</v>
      </c>
      <c r="GW338" t="s">
        <v>244</v>
      </c>
      <c r="GX338" t="s">
        <v>236</v>
      </c>
      <c r="GY338" t="s">
        <v>245</v>
      </c>
      <c r="HE338" t="s">
        <v>246</v>
      </c>
      <c r="HF338" t="s">
        <v>236</v>
      </c>
      <c r="HG338" t="s">
        <v>231</v>
      </c>
      <c r="HH338" t="s">
        <v>223</v>
      </c>
      <c r="HI338" t="s">
        <v>247</v>
      </c>
      <c r="HJ338" t="s">
        <v>223</v>
      </c>
      <c r="HK338" t="s">
        <v>248</v>
      </c>
      <c r="HL338" t="s">
        <v>231</v>
      </c>
      <c r="HM338" t="s">
        <v>231</v>
      </c>
      <c r="HO338" t="s">
        <v>231</v>
      </c>
      <c r="HP338" t="s">
        <v>249</v>
      </c>
      <c r="HQ338" t="s">
        <v>231</v>
      </c>
      <c r="HR338" t="s">
        <v>249</v>
      </c>
      <c r="HU338" t="s">
        <v>231</v>
      </c>
      <c r="HV338" t="s">
        <v>223</v>
      </c>
      <c r="HW338" t="s">
        <v>246</v>
      </c>
      <c r="HX338" t="s">
        <v>236</v>
      </c>
      <c r="IA338" t="s">
        <v>231</v>
      </c>
      <c r="IB338" t="s">
        <v>250</v>
      </c>
      <c r="IC338" t="s">
        <v>395</v>
      </c>
      <c r="ID338" t="s">
        <v>395</v>
      </c>
      <c r="IE338" t="s">
        <v>395</v>
      </c>
      <c r="IF338" t="s">
        <v>395</v>
      </c>
      <c r="IH338" t="s">
        <v>235</v>
      </c>
    </row>
    <row r="339" spans="1:242" x14ac:dyDescent="0.35">
      <c r="A339" s="310" t="s">
        <v>1948</v>
      </c>
      <c r="B339" t="s">
        <v>1949</v>
      </c>
      <c r="C339" s="310" t="s">
        <v>1950</v>
      </c>
      <c r="D339" s="316"/>
      <c r="F339" t="s">
        <v>1951</v>
      </c>
      <c r="I339" s="310" t="s">
        <v>1952</v>
      </c>
      <c r="M339" s="313"/>
      <c r="O339" t="s">
        <v>221</v>
      </c>
      <c r="P339" s="381"/>
      <c r="Q339" t="s">
        <v>221</v>
      </c>
      <c r="T339" s="8"/>
      <c r="U339" t="s">
        <v>221</v>
      </c>
      <c r="V339" s="313"/>
      <c r="W339" t="s">
        <v>220</v>
      </c>
      <c r="X339" t="s">
        <v>220</v>
      </c>
      <c r="Z339" t="s">
        <v>220</v>
      </c>
      <c r="AB339"/>
      <c r="AD339" s="8" t="s">
        <v>222</v>
      </c>
      <c r="AF339" s="8" t="s">
        <v>230</v>
      </c>
      <c r="AG339"/>
      <c r="AH339"/>
      <c r="AI339"/>
      <c r="AJ339" t="s">
        <v>221</v>
      </c>
      <c r="AK339">
        <v>0</v>
      </c>
      <c r="AL339">
        <v>1</v>
      </c>
      <c r="AM339" t="s">
        <v>221</v>
      </c>
      <c r="AN339" t="s">
        <v>249</v>
      </c>
      <c r="AO339" t="s">
        <v>224</v>
      </c>
      <c r="AP339"/>
      <c r="AQ339" t="s">
        <v>221</v>
      </c>
      <c r="AR339" t="s">
        <v>225</v>
      </c>
      <c r="AS339" t="s">
        <v>221</v>
      </c>
      <c r="AT339"/>
      <c r="AU339" t="s">
        <v>220</v>
      </c>
      <c r="AV339"/>
      <c r="AW339" s="313" t="s">
        <v>220</v>
      </c>
      <c r="AX339" t="s">
        <v>226</v>
      </c>
      <c r="AY339" s="313" t="s">
        <v>220</v>
      </c>
      <c r="AZ339" s="313">
        <v>0.20699999999999999</v>
      </c>
      <c r="BB339" s="313" t="s">
        <v>220</v>
      </c>
      <c r="BC339">
        <v>0.13200000000000001</v>
      </c>
      <c r="BD339" t="s">
        <v>220</v>
      </c>
      <c r="BE339">
        <v>8.8300000000000003E-2</v>
      </c>
      <c r="BF339" s="2" t="s">
        <v>220</v>
      </c>
      <c r="BH339" s="2" t="s">
        <v>228</v>
      </c>
      <c r="BI339" s="2" t="s">
        <v>457</v>
      </c>
      <c r="BM339"/>
      <c r="BP339" s="8"/>
      <c r="BQ339" t="s">
        <v>230</v>
      </c>
      <c r="BR339" t="s">
        <v>222</v>
      </c>
      <c r="BU339" t="s">
        <v>293</v>
      </c>
      <c r="BV339" t="s">
        <v>236</v>
      </c>
      <c r="BW339" t="s">
        <v>232</v>
      </c>
      <c r="BX339" t="s">
        <v>276</v>
      </c>
      <c r="BY339" t="s">
        <v>220</v>
      </c>
      <c r="BZ339">
        <v>0.42499999999999999</v>
      </c>
      <c r="CA339" t="s">
        <v>234</v>
      </c>
      <c r="CF339" t="s">
        <v>220</v>
      </c>
      <c r="CG339">
        <v>0.39</v>
      </c>
      <c r="CH339" t="s">
        <v>220</v>
      </c>
      <c r="CI339">
        <v>0.27900000000000003</v>
      </c>
      <c r="CK339"/>
      <c r="CL339" t="s">
        <v>257</v>
      </c>
      <c r="CM339"/>
      <c r="CS339" s="8"/>
      <c r="CW339" t="s">
        <v>220</v>
      </c>
      <c r="CX339" t="s">
        <v>257</v>
      </c>
      <c r="CY339" t="s">
        <v>231</v>
      </c>
      <c r="CZ339" t="s">
        <v>257</v>
      </c>
      <c r="DA339" t="s">
        <v>220</v>
      </c>
      <c r="DB339" t="s">
        <v>220</v>
      </c>
      <c r="DC339"/>
      <c r="DD339"/>
      <c r="DE339"/>
      <c r="DF339"/>
      <c r="DG339"/>
      <c r="DH339" s="323"/>
      <c r="DI339" s="323"/>
      <c r="DJ339" s="323"/>
      <c r="DL339" t="s">
        <v>257</v>
      </c>
      <c r="DM339" t="s">
        <v>220</v>
      </c>
      <c r="DN339" t="s">
        <v>257</v>
      </c>
      <c r="DO339" t="s">
        <v>257</v>
      </c>
      <c r="DP339" t="s">
        <v>257</v>
      </c>
      <c r="DS339" s="309">
        <v>56.664000000000001</v>
      </c>
      <c r="DU339" s="309">
        <v>331.80799999999999</v>
      </c>
      <c r="DW339"/>
      <c r="DX339" t="s">
        <v>235</v>
      </c>
      <c r="DY339">
        <v>639</v>
      </c>
      <c r="DZ339" t="s">
        <v>238</v>
      </c>
      <c r="EA339"/>
      <c r="EB339"/>
      <c r="ED339" s="410"/>
      <c r="EE339" s="1"/>
      <c r="EG339" s="410"/>
      <c r="EI339" s="410"/>
      <c r="EK339" s="1"/>
      <c r="EM339"/>
      <c r="EQ339" s="344"/>
      <c r="EU339" s="344"/>
      <c r="EW339" s="409"/>
      <c r="EY339" s="1"/>
      <c r="FA339">
        <v>16.09</v>
      </c>
      <c r="FB339" t="s">
        <v>236</v>
      </c>
      <c r="FC339" s="7">
        <v>74.98942093324564</v>
      </c>
      <c r="FD339" s="357" t="s">
        <v>225</v>
      </c>
      <c r="FE339" s="8">
        <v>88.879171988482085</v>
      </c>
      <c r="FF339" t="s">
        <v>237</v>
      </c>
      <c r="FH339" s="9">
        <v>179.59738131969206</v>
      </c>
      <c r="FI339" s="9" t="s">
        <v>225</v>
      </c>
      <c r="FJ339">
        <v>333</v>
      </c>
      <c r="FK339" t="s">
        <v>238</v>
      </c>
      <c r="FL339">
        <v>97.7</v>
      </c>
      <c r="FM339">
        <v>196.2004503925647</v>
      </c>
      <c r="FN339" s="5" t="s">
        <v>237</v>
      </c>
      <c r="FP339" s="6">
        <v>8.0449999999999999</v>
      </c>
      <c r="FQ339" t="s">
        <v>275</v>
      </c>
      <c r="FS339" t="s">
        <v>240</v>
      </c>
      <c r="FT339" t="e">
        <f>FQ339=#REF!</f>
        <v>#REF!</v>
      </c>
      <c r="FU339" s="8">
        <v>2</v>
      </c>
      <c r="FV339" s="8">
        <v>10</v>
      </c>
      <c r="FW339" s="8">
        <v>10</v>
      </c>
      <c r="FX339" s="8">
        <v>1</v>
      </c>
      <c r="FY339" s="8">
        <v>3</v>
      </c>
      <c r="FZ339">
        <f t="shared" si="5"/>
        <v>600</v>
      </c>
      <c r="GA339" s="7" t="s">
        <v>241</v>
      </c>
      <c r="GB339" s="7" t="s">
        <v>241</v>
      </c>
      <c r="GC339" s="6">
        <v>30</v>
      </c>
      <c r="GD339" s="348" t="s">
        <v>242</v>
      </c>
      <c r="GF339" s="6">
        <v>2.9932896886615344E-2</v>
      </c>
      <c r="GH339" s="7"/>
      <c r="GI339" s="445"/>
      <c r="GJ339" s="445"/>
      <c r="GK339" s="445"/>
      <c r="GL339" s="445"/>
      <c r="GM339" s="453"/>
      <c r="GN339" s="6">
        <v>0.2</v>
      </c>
      <c r="GO339" s="6">
        <v>0.375</v>
      </c>
      <c r="GP339" s="6">
        <v>0.6</v>
      </c>
      <c r="GQ339" s="6">
        <v>1.5</v>
      </c>
      <c r="GR339" s="6" t="s">
        <v>230</v>
      </c>
      <c r="GU339" t="s">
        <v>365</v>
      </c>
      <c r="GV339" t="s">
        <v>236</v>
      </c>
      <c r="GW339" t="s">
        <v>244</v>
      </c>
      <c r="GX339" t="s">
        <v>236</v>
      </c>
      <c r="GY339" t="s">
        <v>900</v>
      </c>
      <c r="GZ339" t="s">
        <v>376</v>
      </c>
      <c r="HB339" t="s">
        <v>376</v>
      </c>
      <c r="HE339" t="s">
        <v>247</v>
      </c>
      <c r="HF339" t="s">
        <v>249</v>
      </c>
      <c r="HG339" t="s">
        <v>231</v>
      </c>
      <c r="HH339" t="s">
        <v>225</v>
      </c>
      <c r="HI339" t="s">
        <v>247</v>
      </c>
      <c r="HJ339" t="s">
        <v>249</v>
      </c>
      <c r="HK339" t="s">
        <v>248</v>
      </c>
      <c r="HL339" t="s">
        <v>231</v>
      </c>
      <c r="HM339" t="s">
        <v>231</v>
      </c>
      <c r="HO339" t="s">
        <v>231</v>
      </c>
      <c r="HP339" t="s">
        <v>249</v>
      </c>
      <c r="HQ339" t="s">
        <v>231</v>
      </c>
      <c r="HR339" t="s">
        <v>249</v>
      </c>
      <c r="HS339" t="s">
        <v>231</v>
      </c>
      <c r="HU339" t="s">
        <v>231</v>
      </c>
      <c r="HV339" t="s">
        <v>249</v>
      </c>
      <c r="HW339" t="s">
        <v>246</v>
      </c>
      <c r="HX339" t="s">
        <v>236</v>
      </c>
      <c r="IA339" t="s">
        <v>231</v>
      </c>
      <c r="IB339" t="s">
        <v>250</v>
      </c>
      <c r="IC339" s="447"/>
      <c r="ID339" s="447"/>
      <c r="IE339" s="447"/>
      <c r="IF339" s="447"/>
      <c r="IH339" t="s">
        <v>235</v>
      </c>
    </row>
    <row r="340" spans="1:242" x14ac:dyDescent="0.35">
      <c r="A340" s="310" t="s">
        <v>1953</v>
      </c>
      <c r="B340" t="s">
        <v>1954</v>
      </c>
      <c r="C340" s="310" t="s">
        <v>1955</v>
      </c>
      <c r="D340" s="316"/>
      <c r="F340" t="s">
        <v>1956</v>
      </c>
      <c r="I340" s="310" t="s">
        <v>1957</v>
      </c>
      <c r="M340" s="313"/>
      <c r="O340"/>
      <c r="P340" s="381"/>
      <c r="Q340"/>
      <c r="T340" s="8"/>
      <c r="U340"/>
      <c r="V340" s="313"/>
      <c r="W340"/>
      <c r="X340"/>
      <c r="Z340"/>
      <c r="AB340"/>
      <c r="AD340" s="8" t="s">
        <v>230</v>
      </c>
      <c r="AF340" s="8" t="s">
        <v>230</v>
      </c>
      <c r="AG340"/>
      <c r="AH340"/>
      <c r="AI340"/>
      <c r="AJ340" t="s">
        <v>221</v>
      </c>
      <c r="AK340">
        <v>0</v>
      </c>
      <c r="AL340">
        <v>0.5</v>
      </c>
      <c r="AM340" t="s">
        <v>221</v>
      </c>
      <c r="AN340" t="s">
        <v>225</v>
      </c>
      <c r="AO340" t="s">
        <v>224</v>
      </c>
      <c r="AP340" t="s">
        <v>225</v>
      </c>
      <c r="AQ340" t="s">
        <v>221</v>
      </c>
      <c r="AR340" t="s">
        <v>236</v>
      </c>
      <c r="AS340" t="s">
        <v>221</v>
      </c>
      <c r="AT340" t="s">
        <v>225</v>
      </c>
      <c r="AU340" t="s">
        <v>220</v>
      </c>
      <c r="AV340"/>
      <c r="AW340" s="313" t="s">
        <v>220</v>
      </c>
      <c r="AX340" t="s">
        <v>226</v>
      </c>
      <c r="AY340" s="313" t="s">
        <v>220</v>
      </c>
      <c r="AZ340" s="313">
        <v>0.155</v>
      </c>
      <c r="BB340" s="313" t="s">
        <v>220</v>
      </c>
      <c r="BC340">
        <v>9.3299999999999994E-2</v>
      </c>
      <c r="BD340" t="s">
        <v>220</v>
      </c>
      <c r="BE340">
        <v>0.18099999999999999</v>
      </c>
      <c r="BF340" s="2" t="s">
        <v>220</v>
      </c>
      <c r="BG340" s="2" t="s">
        <v>273</v>
      </c>
      <c r="BH340" s="2" t="s">
        <v>274</v>
      </c>
      <c r="BI340" s="2" t="s">
        <v>275</v>
      </c>
      <c r="BM340"/>
      <c r="BP340" s="8"/>
      <c r="BQ340" t="s">
        <v>230</v>
      </c>
      <c r="BR340" t="s">
        <v>230</v>
      </c>
      <c r="BU340" t="s">
        <v>317</v>
      </c>
      <c r="BV340" t="s">
        <v>236</v>
      </c>
      <c r="BW340" t="s">
        <v>232</v>
      </c>
      <c r="BX340" t="s">
        <v>276</v>
      </c>
      <c r="BY340" t="s">
        <v>220</v>
      </c>
      <c r="BZ340">
        <v>0.377</v>
      </c>
      <c r="CA340" t="s">
        <v>234</v>
      </c>
      <c r="CF340" t="s">
        <v>227</v>
      </c>
      <c r="CG340">
        <v>0.38700000000000001</v>
      </c>
      <c r="CH340" t="s">
        <v>227</v>
      </c>
      <c r="CI340">
        <v>0.40400000000000003</v>
      </c>
      <c r="CK340"/>
      <c r="CL340"/>
      <c r="CM340"/>
      <c r="CS340" s="8"/>
      <c r="CW340" t="s">
        <v>227</v>
      </c>
      <c r="CX340" t="s">
        <v>220</v>
      </c>
      <c r="CY340" t="s">
        <v>231</v>
      </c>
      <c r="CZ340" t="s">
        <v>227</v>
      </c>
      <c r="DA340" t="s">
        <v>227</v>
      </c>
      <c r="DB340" t="s">
        <v>227</v>
      </c>
      <c r="DC340"/>
      <c r="DD340"/>
      <c r="DE340"/>
      <c r="DF340"/>
      <c r="DG340"/>
      <c r="DH340" s="323"/>
      <c r="DI340" s="323"/>
      <c r="DJ340" s="323"/>
      <c r="DL340" t="s">
        <v>257</v>
      </c>
      <c r="DM340" t="s">
        <v>220</v>
      </c>
      <c r="DN340" t="s">
        <v>227</v>
      </c>
      <c r="DO340" t="s">
        <v>227</v>
      </c>
      <c r="DP340" t="s">
        <v>227</v>
      </c>
      <c r="DS340" s="309">
        <v>103.73399999999999</v>
      </c>
      <c r="DU340" s="309">
        <v>179.12700000000001</v>
      </c>
      <c r="DW340"/>
      <c r="DX340" t="s">
        <v>235</v>
      </c>
      <c r="DY340"/>
      <c r="DZ340" t="s">
        <v>235</v>
      </c>
      <c r="EA340"/>
      <c r="EB340"/>
      <c r="ED340" s="410"/>
      <c r="EE340" s="1"/>
      <c r="EG340" s="410"/>
      <c r="EI340" s="410"/>
      <c r="EK340" s="1"/>
      <c r="EM340"/>
      <c r="EQ340" s="344"/>
      <c r="EU340" s="344"/>
      <c r="EW340" s="409"/>
      <c r="EY340" s="1"/>
      <c r="FA340">
        <v>5.86</v>
      </c>
      <c r="FB340" t="s">
        <v>236</v>
      </c>
      <c r="FC340" s="7">
        <v>138.96326196366019</v>
      </c>
      <c r="FD340" s="357" t="s">
        <v>236</v>
      </c>
      <c r="FE340" s="8">
        <v>3.8556712755739437</v>
      </c>
      <c r="FF340" t="s">
        <v>237</v>
      </c>
      <c r="FH340" s="9">
        <v>37.20488787200874</v>
      </c>
      <c r="FI340" s="9" t="s">
        <v>236</v>
      </c>
      <c r="FK340" t="s">
        <v>235</v>
      </c>
      <c r="FL340">
        <v>62.1</v>
      </c>
      <c r="FM340">
        <v>16.028762722942975</v>
      </c>
      <c r="FN340" s="5" t="s">
        <v>237</v>
      </c>
      <c r="FP340" s="6">
        <v>0.80143813614714876</v>
      </c>
      <c r="FQ340" t="s">
        <v>277</v>
      </c>
      <c r="FS340" t="s">
        <v>240</v>
      </c>
      <c r="FT340" t="e">
        <f>FQ340=#REF!</f>
        <v>#REF!</v>
      </c>
      <c r="FU340" s="8">
        <v>2</v>
      </c>
      <c r="FV340" s="8">
        <v>10</v>
      </c>
      <c r="FW340" s="8">
        <v>10</v>
      </c>
      <c r="FX340" s="8">
        <v>10</v>
      </c>
      <c r="FY340" s="8">
        <v>3</v>
      </c>
      <c r="FZ340">
        <f t="shared" si="5"/>
        <v>6000</v>
      </c>
      <c r="GA340" s="7" t="s">
        <v>326</v>
      </c>
      <c r="GB340" s="7" t="s">
        <v>326</v>
      </c>
      <c r="GC340" s="6">
        <v>1.5</v>
      </c>
      <c r="GD340" s="348" t="s">
        <v>242</v>
      </c>
      <c r="GF340" s="6">
        <v>6.4261187926232402E-3</v>
      </c>
      <c r="GH340" s="7"/>
      <c r="GI340" s="441">
        <v>1.7999999999999999E-2</v>
      </c>
      <c r="GJ340" s="441">
        <v>3.3000000000000002E-2</v>
      </c>
      <c r="GK340" s="441">
        <v>5.2999999999999999E-2</v>
      </c>
      <c r="GL340" s="441">
        <v>0.13400000000000001</v>
      </c>
      <c r="GM340" s="452" t="s">
        <v>262</v>
      </c>
      <c r="GN340" s="6">
        <v>0.01</v>
      </c>
      <c r="GO340" s="6">
        <v>1.8749999999999999E-2</v>
      </c>
      <c r="GP340" s="6">
        <v>0.03</v>
      </c>
      <c r="GQ340" s="6">
        <v>7.4999999999999997E-2</v>
      </c>
      <c r="GR340" s="6" t="s">
        <v>230</v>
      </c>
      <c r="GU340" t="s">
        <v>243</v>
      </c>
      <c r="GV340" t="s">
        <v>236</v>
      </c>
      <c r="GW340" t="s">
        <v>244</v>
      </c>
      <c r="GX340" t="s">
        <v>236</v>
      </c>
      <c r="GY340" t="s">
        <v>245</v>
      </c>
      <c r="HE340" t="s">
        <v>246</v>
      </c>
      <c r="HF340" t="s">
        <v>236</v>
      </c>
      <c r="HG340" t="s">
        <v>231</v>
      </c>
      <c r="HH340" t="s">
        <v>225</v>
      </c>
      <c r="HI340" t="s">
        <v>247</v>
      </c>
      <c r="HJ340" t="s">
        <v>225</v>
      </c>
      <c r="HK340" t="s">
        <v>266</v>
      </c>
      <c r="HO340" t="s">
        <v>231</v>
      </c>
      <c r="HP340" t="s">
        <v>223</v>
      </c>
      <c r="HQ340" t="s">
        <v>231</v>
      </c>
      <c r="HR340" t="s">
        <v>223</v>
      </c>
      <c r="HU340" t="s">
        <v>231</v>
      </c>
      <c r="HV340" t="s">
        <v>223</v>
      </c>
      <c r="HW340" t="s">
        <v>246</v>
      </c>
      <c r="HX340" t="s">
        <v>236</v>
      </c>
      <c r="IA340" t="s">
        <v>231</v>
      </c>
      <c r="IB340" t="s">
        <v>250</v>
      </c>
      <c r="IC340">
        <v>1.7999999999999999E-2</v>
      </c>
      <c r="ID340">
        <v>3.3000000000000002E-2</v>
      </c>
      <c r="IE340">
        <v>5.2999999999999999E-2</v>
      </c>
      <c r="IF340">
        <v>0.13400000000000001</v>
      </c>
      <c r="IH340" t="s">
        <v>267</v>
      </c>
    </row>
    <row r="341" spans="1:242" x14ac:dyDescent="0.35">
      <c r="A341" s="310" t="s">
        <v>1958</v>
      </c>
      <c r="B341" t="s">
        <v>1959</v>
      </c>
      <c r="C341" s="310" t="s">
        <v>1960</v>
      </c>
      <c r="D341" s="316"/>
      <c r="F341" t="s">
        <v>1961</v>
      </c>
      <c r="I341" s="310" t="s">
        <v>1962</v>
      </c>
      <c r="M341" s="313"/>
      <c r="O341"/>
      <c r="P341" s="381"/>
      <c r="Q341"/>
      <c r="T341" s="8"/>
      <c r="U341"/>
      <c r="V341" s="313"/>
      <c r="W341" t="s">
        <v>301</v>
      </c>
      <c r="X341"/>
      <c r="Z341"/>
      <c r="AB341"/>
      <c r="AD341" s="8" t="s">
        <v>222</v>
      </c>
      <c r="AF341" s="8" t="s">
        <v>230</v>
      </c>
      <c r="AG341"/>
      <c r="AH341"/>
      <c r="AI341"/>
      <c r="AJ341" t="s">
        <v>221</v>
      </c>
      <c r="AK341">
        <v>0</v>
      </c>
      <c r="AL341">
        <v>0.67500000000000004</v>
      </c>
      <c r="AM341" t="s">
        <v>221</v>
      </c>
      <c r="AN341" t="s">
        <v>225</v>
      </c>
      <c r="AO341" t="s">
        <v>224</v>
      </c>
      <c r="AP341" t="s">
        <v>225</v>
      </c>
      <c r="AQ341" t="s">
        <v>221</v>
      </c>
      <c r="AR341" t="s">
        <v>223</v>
      </c>
      <c r="AS341" t="s">
        <v>221</v>
      </c>
      <c r="AT341" t="s">
        <v>225</v>
      </c>
      <c r="AU341" t="s">
        <v>220</v>
      </c>
      <c r="AV341"/>
      <c r="AW341" s="313" t="s">
        <v>220</v>
      </c>
      <c r="AX341" t="s">
        <v>226</v>
      </c>
      <c r="AY341" s="313" t="s">
        <v>220</v>
      </c>
      <c r="AZ341" s="313">
        <v>0.125</v>
      </c>
      <c r="BB341" s="313" t="s">
        <v>220</v>
      </c>
      <c r="BC341">
        <v>7.1999999999999995E-2</v>
      </c>
      <c r="BD341" t="s">
        <v>220</v>
      </c>
      <c r="BE341">
        <v>0.122</v>
      </c>
      <c r="BF341" s="2" t="s">
        <v>220</v>
      </c>
      <c r="BH341" s="2" t="s">
        <v>228</v>
      </c>
      <c r="BI341" s="2" t="s">
        <v>302</v>
      </c>
      <c r="BK341" s="2" t="s">
        <v>352</v>
      </c>
      <c r="BM341" t="s">
        <v>231</v>
      </c>
      <c r="BP341" s="8"/>
      <c r="BQ341" t="s">
        <v>230</v>
      </c>
      <c r="BR341" t="s">
        <v>230</v>
      </c>
      <c r="BU341" t="s">
        <v>293</v>
      </c>
      <c r="BV341" t="s">
        <v>249</v>
      </c>
      <c r="BW341" t="s">
        <v>232</v>
      </c>
      <c r="BX341" t="s">
        <v>276</v>
      </c>
      <c r="BY341" t="s">
        <v>220</v>
      </c>
      <c r="BZ341">
        <v>0.25600000000000001</v>
      </c>
      <c r="CA341" t="s">
        <v>234</v>
      </c>
      <c r="CF341" t="s">
        <v>220</v>
      </c>
      <c r="CG341">
        <v>0.25900000000000001</v>
      </c>
      <c r="CH341" t="s">
        <v>220</v>
      </c>
      <c r="CI341">
        <v>0.34399999999999997</v>
      </c>
      <c r="CK341"/>
      <c r="CL341"/>
      <c r="CM341"/>
      <c r="CS341" s="8"/>
      <c r="CW341" t="s">
        <v>220</v>
      </c>
      <c r="CX341" t="s">
        <v>220</v>
      </c>
      <c r="CY341" t="s">
        <v>231</v>
      </c>
      <c r="CZ341" t="s">
        <v>227</v>
      </c>
      <c r="DA341" t="s">
        <v>227</v>
      </c>
      <c r="DB341" t="s">
        <v>227</v>
      </c>
      <c r="DC341"/>
      <c r="DD341"/>
      <c r="DE341"/>
      <c r="DF341"/>
      <c r="DG341"/>
      <c r="DH341" s="323"/>
      <c r="DI341" s="323"/>
      <c r="DJ341" s="323"/>
      <c r="DL341" t="s">
        <v>257</v>
      </c>
      <c r="DM341" t="s">
        <v>220</v>
      </c>
      <c r="DN341" t="s">
        <v>227</v>
      </c>
      <c r="DO341" t="s">
        <v>220</v>
      </c>
      <c r="DP341" t="s">
        <v>220</v>
      </c>
      <c r="DS341" s="309">
        <v>24.667999999999999</v>
      </c>
      <c r="DU341" s="309">
        <v>239.304</v>
      </c>
      <c r="DW341">
        <v>248</v>
      </c>
      <c r="DX341" t="s">
        <v>238</v>
      </c>
      <c r="DY341">
        <v>658</v>
      </c>
      <c r="DZ341" t="s">
        <v>238</v>
      </c>
      <c r="EA341"/>
      <c r="EB341"/>
      <c r="ED341" s="410"/>
      <c r="EE341" s="1"/>
      <c r="EG341" s="410"/>
      <c r="EI341" s="410"/>
      <c r="EK341" s="1">
        <v>500</v>
      </c>
      <c r="EL341" s="8" t="s">
        <v>259</v>
      </c>
      <c r="EM341"/>
      <c r="EQ341" s="344"/>
      <c r="EU341" s="344"/>
      <c r="EW341" s="409"/>
      <c r="EY341" s="1"/>
      <c r="FA341">
        <v>17.850000000000001</v>
      </c>
      <c r="FB341" t="s">
        <v>223</v>
      </c>
      <c r="FC341" s="7">
        <v>98.559842315659594</v>
      </c>
      <c r="FD341" s="357" t="s">
        <v>225</v>
      </c>
      <c r="FE341" s="8">
        <v>76.471568843883489</v>
      </c>
      <c r="FF341" t="s">
        <v>237</v>
      </c>
      <c r="FH341" s="9">
        <v>291.60837985212328</v>
      </c>
      <c r="FI341" s="9" t="s">
        <v>223</v>
      </c>
      <c r="FJ341">
        <v>99.7</v>
      </c>
      <c r="FK341" t="s">
        <v>238</v>
      </c>
      <c r="FL341">
        <v>120</v>
      </c>
      <c r="FM341">
        <v>151.25160783963173</v>
      </c>
      <c r="FN341" s="5" t="s">
        <v>237</v>
      </c>
      <c r="FP341" s="6">
        <v>250</v>
      </c>
      <c r="FQ341" t="s">
        <v>260</v>
      </c>
      <c r="FS341" t="s">
        <v>261</v>
      </c>
      <c r="FT341" t="e">
        <f>FQ341=#REF!</f>
        <v>#REF!</v>
      </c>
      <c r="FU341" s="8">
        <v>2</v>
      </c>
      <c r="FV341" s="8">
        <v>10</v>
      </c>
      <c r="FW341" s="8">
        <v>10</v>
      </c>
      <c r="FX341" s="8">
        <v>1</v>
      </c>
      <c r="FY341" s="8">
        <v>3</v>
      </c>
      <c r="FZ341">
        <f t="shared" si="5"/>
        <v>600</v>
      </c>
      <c r="GA341" s="7" t="s">
        <v>241</v>
      </c>
      <c r="GB341" s="7" t="s">
        <v>241</v>
      </c>
      <c r="GC341" s="6">
        <v>30</v>
      </c>
      <c r="GD341" s="348" t="s">
        <v>242</v>
      </c>
      <c r="GF341" s="6">
        <v>2.9750000000000002E-2</v>
      </c>
      <c r="GH341" s="7"/>
      <c r="GI341" s="441">
        <v>5.556</v>
      </c>
      <c r="GJ341" s="441">
        <v>10.417</v>
      </c>
      <c r="GK341" s="441">
        <v>16.667000000000002</v>
      </c>
      <c r="GL341" s="441">
        <v>41.667000000000002</v>
      </c>
      <c r="GM341" s="452" t="s">
        <v>262</v>
      </c>
      <c r="GN341" s="6">
        <v>0.2</v>
      </c>
      <c r="GO341" s="6">
        <v>0.375</v>
      </c>
      <c r="GP341" s="6">
        <v>0.6</v>
      </c>
      <c r="GQ341" s="6">
        <v>1.5</v>
      </c>
      <c r="GR341" s="6" t="s">
        <v>230</v>
      </c>
      <c r="GU341" t="s">
        <v>365</v>
      </c>
      <c r="GV341" t="s">
        <v>223</v>
      </c>
      <c r="GW341" t="s">
        <v>244</v>
      </c>
      <c r="GX341" t="s">
        <v>225</v>
      </c>
      <c r="GY341" t="s">
        <v>900</v>
      </c>
      <c r="HE341" t="s">
        <v>384</v>
      </c>
      <c r="HF341" t="s">
        <v>225</v>
      </c>
      <c r="HG341" t="s">
        <v>231</v>
      </c>
      <c r="HH341" t="s">
        <v>225</v>
      </c>
      <c r="HI341" t="s">
        <v>247</v>
      </c>
      <c r="HJ341" t="s">
        <v>223</v>
      </c>
      <c r="HK341" t="s">
        <v>248</v>
      </c>
      <c r="HL341" t="s">
        <v>231</v>
      </c>
      <c r="HM341" t="s">
        <v>231</v>
      </c>
      <c r="HO341" t="s">
        <v>231</v>
      </c>
      <c r="HP341" t="s">
        <v>249</v>
      </c>
      <c r="HQ341" t="s">
        <v>231</v>
      </c>
      <c r="HR341" t="s">
        <v>249</v>
      </c>
      <c r="HS341" t="s">
        <v>231</v>
      </c>
      <c r="HU341" t="s">
        <v>231</v>
      </c>
      <c r="HV341" t="s">
        <v>249</v>
      </c>
      <c r="HW341" t="s">
        <v>246</v>
      </c>
      <c r="HX341" t="s">
        <v>236</v>
      </c>
      <c r="IA341" t="s">
        <v>231</v>
      </c>
      <c r="IB341" t="s">
        <v>250</v>
      </c>
      <c r="IC341">
        <v>5.556</v>
      </c>
      <c r="ID341">
        <v>10.417</v>
      </c>
      <c r="IE341">
        <v>16.667000000000002</v>
      </c>
      <c r="IF341">
        <v>41.667000000000002</v>
      </c>
      <c r="IH341" t="s">
        <v>267</v>
      </c>
    </row>
    <row r="342" spans="1:242" x14ac:dyDescent="0.35">
      <c r="A342" s="310" t="s">
        <v>1963</v>
      </c>
      <c r="B342" t="s">
        <v>1964</v>
      </c>
      <c r="C342" s="310" t="s">
        <v>1965</v>
      </c>
      <c r="D342" s="316"/>
      <c r="F342" t="s">
        <v>1965</v>
      </c>
      <c r="I342" s="310" t="s">
        <v>1966</v>
      </c>
      <c r="M342" s="313"/>
      <c r="O342"/>
      <c r="P342" s="381"/>
      <c r="Q342"/>
      <c r="T342" s="8"/>
      <c r="U342"/>
      <c r="V342" s="313"/>
      <c r="W342" t="s">
        <v>301</v>
      </c>
      <c r="X342"/>
      <c r="Z342"/>
      <c r="AB342"/>
      <c r="AD342" s="8" t="s">
        <v>222</v>
      </c>
      <c r="AF342" s="8" t="s">
        <v>230</v>
      </c>
      <c r="AG342"/>
      <c r="AH342"/>
      <c r="AI342"/>
      <c r="AJ342" t="s">
        <v>221</v>
      </c>
      <c r="AK342">
        <v>0</v>
      </c>
      <c r="AL342">
        <v>0.4</v>
      </c>
      <c r="AM342" t="s">
        <v>221</v>
      </c>
      <c r="AN342" t="s">
        <v>225</v>
      </c>
      <c r="AO342" t="s">
        <v>224</v>
      </c>
      <c r="AP342" t="s">
        <v>236</v>
      </c>
      <c r="AQ342" t="s">
        <v>221</v>
      </c>
      <c r="AR342" t="s">
        <v>236</v>
      </c>
      <c r="AS342" t="s">
        <v>221</v>
      </c>
      <c r="AT342" t="s">
        <v>225</v>
      </c>
      <c r="AU342" t="s">
        <v>220</v>
      </c>
      <c r="AV342"/>
      <c r="AW342" s="313" t="s">
        <v>220</v>
      </c>
      <c r="AX342" t="s">
        <v>226</v>
      </c>
      <c r="AY342" s="313" t="s">
        <v>220</v>
      </c>
      <c r="AZ342" s="313">
        <v>0.182</v>
      </c>
      <c r="BB342" s="313" t="s">
        <v>220</v>
      </c>
      <c r="BC342">
        <v>8.9599999999999999E-2</v>
      </c>
      <c r="BD342" t="s">
        <v>220</v>
      </c>
      <c r="BE342">
        <v>0.37</v>
      </c>
      <c r="BF342" s="2" t="s">
        <v>220</v>
      </c>
      <c r="BG342" s="2" t="s">
        <v>230</v>
      </c>
      <c r="BH342" s="2" t="s">
        <v>228</v>
      </c>
      <c r="BI342" s="2" t="s">
        <v>302</v>
      </c>
      <c r="BM342"/>
      <c r="BP342" s="8"/>
      <c r="BQ342" t="s">
        <v>230</v>
      </c>
      <c r="BR342" t="s">
        <v>230</v>
      </c>
      <c r="BU342" t="s">
        <v>293</v>
      </c>
      <c r="BV342" t="s">
        <v>236</v>
      </c>
      <c r="BW342" t="s">
        <v>232</v>
      </c>
      <c r="BX342" t="s">
        <v>1967</v>
      </c>
      <c r="BY342" t="s">
        <v>227</v>
      </c>
      <c r="BZ342">
        <v>0.64700000000000002</v>
      </c>
      <c r="CA342" t="s">
        <v>372</v>
      </c>
      <c r="CF342" t="s">
        <v>227</v>
      </c>
      <c r="CG342">
        <v>0.57199999999999995</v>
      </c>
      <c r="CH342" t="s">
        <v>257</v>
      </c>
      <c r="CI342">
        <v>0.69</v>
      </c>
      <c r="CK342"/>
      <c r="CL342"/>
      <c r="CM342"/>
      <c r="CS342" s="8"/>
      <c r="CW342" t="s">
        <v>227</v>
      </c>
      <c r="CX342" t="s">
        <v>257</v>
      </c>
      <c r="CY342" t="s">
        <v>231</v>
      </c>
      <c r="CZ342" t="s">
        <v>227</v>
      </c>
      <c r="DA342" t="s">
        <v>227</v>
      </c>
      <c r="DB342" t="s">
        <v>220</v>
      </c>
      <c r="DC342"/>
      <c r="DD342"/>
      <c r="DE342"/>
      <c r="DF342"/>
      <c r="DG342"/>
      <c r="DH342" s="323"/>
      <c r="DI342" s="323"/>
      <c r="DJ342" s="323"/>
      <c r="DL342" t="s">
        <v>227</v>
      </c>
      <c r="DM342" t="s">
        <v>257</v>
      </c>
      <c r="DN342" t="s">
        <v>227</v>
      </c>
      <c r="DO342" t="s">
        <v>227</v>
      </c>
      <c r="DP342" t="s">
        <v>227</v>
      </c>
      <c r="DS342" s="309">
        <v>30.81</v>
      </c>
      <c r="DU342" s="309">
        <v>392.99900000000002</v>
      </c>
      <c r="DW342"/>
      <c r="DX342" t="s">
        <v>235</v>
      </c>
      <c r="DY342"/>
      <c r="DZ342" t="s">
        <v>235</v>
      </c>
      <c r="EA342"/>
      <c r="EB342"/>
      <c r="ED342" s="410"/>
      <c r="EE342" s="1"/>
      <c r="EG342" s="410"/>
      <c r="EI342" s="410"/>
      <c r="EK342" s="1"/>
      <c r="EM342"/>
      <c r="EQ342" s="344"/>
      <c r="EU342" s="344"/>
      <c r="EW342" s="409"/>
      <c r="EY342" s="1"/>
      <c r="FA342">
        <v>114.41</v>
      </c>
      <c r="FB342" t="s">
        <v>236</v>
      </c>
      <c r="FC342" s="7">
        <v>102.16449673558577</v>
      </c>
      <c r="FD342" s="357" t="s">
        <v>236</v>
      </c>
      <c r="FE342" s="8">
        <v>692.78743127451753</v>
      </c>
      <c r="FF342" t="s">
        <v>237</v>
      </c>
      <c r="FH342" s="9">
        <v>116.25188403280006</v>
      </c>
      <c r="FI342" s="9" t="s">
        <v>236</v>
      </c>
      <c r="FK342" t="s">
        <v>235</v>
      </c>
      <c r="FL342">
        <v>192</v>
      </c>
      <c r="FM342">
        <v>725.77165026742807</v>
      </c>
      <c r="FN342" s="5" t="s">
        <v>237</v>
      </c>
      <c r="FP342" s="6">
        <v>19.2</v>
      </c>
      <c r="FQ342" t="s">
        <v>239</v>
      </c>
      <c r="FS342" t="s">
        <v>240</v>
      </c>
      <c r="FT342" t="e">
        <f>FQ342=#REF!</f>
        <v>#REF!</v>
      </c>
      <c r="FU342" s="8">
        <v>1</v>
      </c>
      <c r="FV342" s="8">
        <v>10</v>
      </c>
      <c r="FW342" s="8">
        <v>10</v>
      </c>
      <c r="FX342" s="8">
        <v>10</v>
      </c>
      <c r="FY342" s="8">
        <v>3</v>
      </c>
      <c r="FZ342">
        <f t="shared" si="5"/>
        <v>3000</v>
      </c>
      <c r="GA342" s="7" t="s">
        <v>241</v>
      </c>
      <c r="GB342" s="7" t="s">
        <v>241</v>
      </c>
      <c r="GC342" s="6">
        <v>30</v>
      </c>
      <c r="GD342" s="348" t="s">
        <v>242</v>
      </c>
      <c r="GF342" s="6">
        <v>6.4000000000000001E-2</v>
      </c>
      <c r="GH342" s="7"/>
      <c r="GI342" s="441">
        <v>0.42699999999999999</v>
      </c>
      <c r="GJ342" s="441">
        <v>0.8</v>
      </c>
      <c r="GK342" s="441">
        <v>1.28</v>
      </c>
      <c r="GL342" s="441">
        <v>3.2</v>
      </c>
      <c r="GM342" s="452" t="s">
        <v>262</v>
      </c>
      <c r="GN342" s="6">
        <v>0.2</v>
      </c>
      <c r="GO342" s="6">
        <v>0.375</v>
      </c>
      <c r="GP342" s="6">
        <v>0.6</v>
      </c>
      <c r="GQ342" s="6">
        <v>1.5</v>
      </c>
      <c r="GR342" s="6" t="s">
        <v>230</v>
      </c>
      <c r="GU342" t="s">
        <v>365</v>
      </c>
      <c r="GV342" t="s">
        <v>236</v>
      </c>
      <c r="GW342" t="s">
        <v>359</v>
      </c>
      <c r="GX342" t="s">
        <v>236</v>
      </c>
      <c r="GY342" t="s">
        <v>245</v>
      </c>
      <c r="HE342" t="s">
        <v>384</v>
      </c>
      <c r="HF342" t="s">
        <v>225</v>
      </c>
      <c r="HG342" t="s">
        <v>231</v>
      </c>
      <c r="HH342" t="s">
        <v>236</v>
      </c>
      <c r="HI342" t="s">
        <v>247</v>
      </c>
      <c r="HJ342" t="s">
        <v>225</v>
      </c>
      <c r="HK342" t="s">
        <v>266</v>
      </c>
      <c r="HO342" t="s">
        <v>231</v>
      </c>
      <c r="HP342" t="s">
        <v>223</v>
      </c>
      <c r="HQ342" t="s">
        <v>231</v>
      </c>
      <c r="HR342" t="s">
        <v>223</v>
      </c>
      <c r="HU342" t="s">
        <v>231</v>
      </c>
      <c r="HV342" t="s">
        <v>236</v>
      </c>
      <c r="HW342" t="s">
        <v>246</v>
      </c>
      <c r="HX342" t="s">
        <v>236</v>
      </c>
      <c r="IA342" t="s">
        <v>231</v>
      </c>
      <c r="IB342" t="s">
        <v>250</v>
      </c>
      <c r="IC342">
        <v>0.42699999999999999</v>
      </c>
      <c r="ID342">
        <v>0.8</v>
      </c>
      <c r="IE342">
        <v>1.28</v>
      </c>
      <c r="IF342">
        <v>3.2</v>
      </c>
      <c r="IH342" t="s">
        <v>267</v>
      </c>
    </row>
    <row r="343" spans="1:242" x14ac:dyDescent="0.35">
      <c r="A343" s="310" t="s">
        <v>1968</v>
      </c>
      <c r="B343" t="s">
        <v>1969</v>
      </c>
      <c r="C343" s="310" t="s">
        <v>1970</v>
      </c>
      <c r="D343" s="316"/>
      <c r="F343" t="s">
        <v>1971</v>
      </c>
      <c r="I343" s="310" t="s">
        <v>1972</v>
      </c>
      <c r="M343" s="313" t="s">
        <v>220</v>
      </c>
      <c r="O343" t="s">
        <v>221</v>
      </c>
      <c r="P343" s="381"/>
      <c r="Q343" t="s">
        <v>221</v>
      </c>
      <c r="T343" s="8"/>
      <c r="U343" t="s">
        <v>221</v>
      </c>
      <c r="V343" s="313"/>
      <c r="W343" t="s">
        <v>220</v>
      </c>
      <c r="X343" t="s">
        <v>220</v>
      </c>
      <c r="Z343"/>
      <c r="AB343"/>
      <c r="AD343" s="8" t="s">
        <v>222</v>
      </c>
      <c r="AF343" s="8" t="s">
        <v>230</v>
      </c>
      <c r="AG343"/>
      <c r="AH343"/>
      <c r="AI343"/>
      <c r="AJ343" t="s">
        <v>221</v>
      </c>
      <c r="AK343">
        <v>0</v>
      </c>
      <c r="AL343">
        <v>1</v>
      </c>
      <c r="AM343" t="s">
        <v>221</v>
      </c>
      <c r="AN343" t="s">
        <v>249</v>
      </c>
      <c r="AO343" t="s">
        <v>224</v>
      </c>
      <c r="AP343"/>
      <c r="AQ343" t="s">
        <v>414</v>
      </c>
      <c r="AR343" t="s">
        <v>236</v>
      </c>
      <c r="AS343" t="s">
        <v>221</v>
      </c>
      <c r="AT343"/>
      <c r="AU343" t="s">
        <v>220</v>
      </c>
      <c r="AV343"/>
      <c r="AW343" s="313" t="s">
        <v>220</v>
      </c>
      <c r="AX343" t="s">
        <v>226</v>
      </c>
      <c r="AY343" s="313" t="s">
        <v>220</v>
      </c>
      <c r="AZ343" s="313">
        <v>0.215</v>
      </c>
      <c r="BB343" s="313" t="s">
        <v>220</v>
      </c>
      <c r="BC343">
        <v>9.6799999999999997E-2</v>
      </c>
      <c r="BD343" t="s">
        <v>220</v>
      </c>
      <c r="BE343">
        <v>7.9699999999999993E-2</v>
      </c>
      <c r="BF343" s="2" t="s">
        <v>220</v>
      </c>
      <c r="BH343" s="2" t="s">
        <v>228</v>
      </c>
      <c r="BI343" s="2" t="s">
        <v>457</v>
      </c>
      <c r="BM343"/>
      <c r="BP343" s="8"/>
      <c r="BQ343" t="s">
        <v>230</v>
      </c>
      <c r="BR343" t="s">
        <v>230</v>
      </c>
      <c r="BU343" t="s">
        <v>293</v>
      </c>
      <c r="BV343" t="s">
        <v>236</v>
      </c>
      <c r="BW343" t="s">
        <v>232</v>
      </c>
      <c r="BX343" t="s">
        <v>284</v>
      </c>
      <c r="BY343" t="s">
        <v>257</v>
      </c>
      <c r="BZ343">
        <v>0.51</v>
      </c>
      <c r="CA343" t="s">
        <v>372</v>
      </c>
      <c r="CF343" t="s">
        <v>220</v>
      </c>
      <c r="CG343">
        <v>0.41099999999999998</v>
      </c>
      <c r="CH343" t="s">
        <v>220</v>
      </c>
      <c r="CI343">
        <v>0.23899999999999999</v>
      </c>
      <c r="CK343"/>
      <c r="CL343"/>
      <c r="CM343"/>
      <c r="CS343" s="8"/>
      <c r="CW343" t="s">
        <v>220</v>
      </c>
      <c r="CX343" t="s">
        <v>257</v>
      </c>
      <c r="CY343" t="s">
        <v>231</v>
      </c>
      <c r="CZ343" t="s">
        <v>220</v>
      </c>
      <c r="DA343" t="s">
        <v>220</v>
      </c>
      <c r="DB343" t="s">
        <v>227</v>
      </c>
      <c r="DC343"/>
      <c r="DD343"/>
      <c r="DE343"/>
      <c r="DF343"/>
      <c r="DG343"/>
      <c r="DH343" s="323"/>
      <c r="DI343" s="323"/>
      <c r="DJ343" s="323"/>
      <c r="DL343" t="s">
        <v>257</v>
      </c>
      <c r="DM343" t="s">
        <v>257</v>
      </c>
      <c r="DN343" t="s">
        <v>257</v>
      </c>
      <c r="DO343" t="s">
        <v>227</v>
      </c>
      <c r="DP343" t="s">
        <v>227</v>
      </c>
      <c r="DS343" s="309">
        <v>42.040999999999997</v>
      </c>
      <c r="DU343" s="309">
        <v>262.42399999999998</v>
      </c>
      <c r="DW343">
        <v>614</v>
      </c>
      <c r="DX343" t="s">
        <v>238</v>
      </c>
      <c r="DY343">
        <v>239</v>
      </c>
      <c r="DZ343" t="s">
        <v>238</v>
      </c>
      <c r="EA343"/>
      <c r="EB343"/>
      <c r="ED343" s="410"/>
      <c r="EE343" s="1"/>
      <c r="EG343" s="410"/>
      <c r="EI343" s="410"/>
      <c r="EK343" s="1"/>
      <c r="EM343"/>
      <c r="EQ343" s="344"/>
      <c r="EU343" s="344"/>
      <c r="EW343" s="409"/>
      <c r="EY343" s="1"/>
      <c r="FA343">
        <v>22.07</v>
      </c>
      <c r="FB343" t="s">
        <v>236</v>
      </c>
      <c r="FC343" s="7">
        <v>72.227070431217271</v>
      </c>
      <c r="FD343" s="357" t="s">
        <v>225</v>
      </c>
      <c r="FE343" s="8">
        <v>241.43487297141525</v>
      </c>
      <c r="FF343" t="s">
        <v>237</v>
      </c>
      <c r="FH343" s="9">
        <v>227.66695553309046</v>
      </c>
      <c r="FI343" s="9" t="s">
        <v>236</v>
      </c>
      <c r="FJ343">
        <v>4.99</v>
      </c>
      <c r="FK343" t="s">
        <v>238</v>
      </c>
      <c r="FL343">
        <v>97.7</v>
      </c>
      <c r="FM343">
        <v>590.47294040698682</v>
      </c>
      <c r="FN343" s="5" t="s">
        <v>237</v>
      </c>
      <c r="FP343" s="6">
        <v>0.499</v>
      </c>
      <c r="FQ343" t="s">
        <v>450</v>
      </c>
      <c r="FS343" t="s">
        <v>240</v>
      </c>
      <c r="FT343" t="e">
        <f>FQ343=#REF!</f>
        <v>#REF!</v>
      </c>
      <c r="FU343" s="8">
        <v>1</v>
      </c>
      <c r="FV343" s="8">
        <v>10</v>
      </c>
      <c r="FW343" s="8">
        <v>10</v>
      </c>
      <c r="FX343" s="8">
        <v>10</v>
      </c>
      <c r="FY343" s="8">
        <v>3</v>
      </c>
      <c r="FZ343">
        <f t="shared" si="5"/>
        <v>3000</v>
      </c>
      <c r="GA343" s="7" t="s">
        <v>241</v>
      </c>
      <c r="GB343" s="7" t="s">
        <v>241</v>
      </c>
      <c r="GC343" s="6">
        <v>30</v>
      </c>
      <c r="GD343" s="348" t="s">
        <v>242</v>
      </c>
      <c r="GF343" s="6">
        <v>1.6633333333333333E-3</v>
      </c>
      <c r="GH343" s="7"/>
      <c r="GI343" s="445"/>
      <c r="GJ343" s="445"/>
      <c r="GK343" s="445"/>
      <c r="GL343" s="445"/>
      <c r="GM343" s="453"/>
      <c r="GN343" s="6">
        <v>0.2</v>
      </c>
      <c r="GO343" s="6">
        <v>0.375</v>
      </c>
      <c r="GP343" s="6">
        <v>0.6</v>
      </c>
      <c r="GQ343" s="6">
        <v>1.5</v>
      </c>
      <c r="GR343" s="6" t="s">
        <v>230</v>
      </c>
      <c r="GU343" t="s">
        <v>365</v>
      </c>
      <c r="GV343" t="s">
        <v>236</v>
      </c>
      <c r="GW343" t="s">
        <v>244</v>
      </c>
      <c r="GX343" t="s">
        <v>236</v>
      </c>
      <c r="GY343" t="s">
        <v>1032</v>
      </c>
      <c r="HE343" t="s">
        <v>384</v>
      </c>
      <c r="HF343" t="s">
        <v>223</v>
      </c>
      <c r="HG343" t="s">
        <v>231</v>
      </c>
      <c r="HH343" t="s">
        <v>225</v>
      </c>
      <c r="HI343" t="s">
        <v>247</v>
      </c>
      <c r="HJ343" t="s">
        <v>223</v>
      </c>
      <c r="HK343" t="s">
        <v>248</v>
      </c>
      <c r="HO343" t="s">
        <v>231</v>
      </c>
      <c r="HP343" t="s">
        <v>223</v>
      </c>
      <c r="HQ343" t="s">
        <v>231</v>
      </c>
      <c r="HR343" t="s">
        <v>223</v>
      </c>
      <c r="HU343" t="s">
        <v>231</v>
      </c>
      <c r="HV343" t="s">
        <v>223</v>
      </c>
      <c r="HW343" t="s">
        <v>246</v>
      </c>
      <c r="HX343" t="s">
        <v>236</v>
      </c>
      <c r="IA343" t="s">
        <v>231</v>
      </c>
      <c r="IB343" t="s">
        <v>250</v>
      </c>
      <c r="IC343" s="447"/>
      <c r="ID343" s="447"/>
      <c r="IE343" s="447"/>
      <c r="IF343" s="447"/>
      <c r="IH343" t="s">
        <v>235</v>
      </c>
    </row>
    <row r="344" spans="1:242" hidden="1" x14ac:dyDescent="0.35">
      <c r="A344" s="310" t="s">
        <v>1973</v>
      </c>
      <c r="B344" t="s">
        <v>1974</v>
      </c>
      <c r="C344" s="310" t="s">
        <v>1975</v>
      </c>
      <c r="D344" s="316"/>
      <c r="F344" t="s">
        <v>1976</v>
      </c>
      <c r="I344" s="310" t="s">
        <v>1977</v>
      </c>
      <c r="M344" s="313"/>
      <c r="O344" t="s">
        <v>414</v>
      </c>
      <c r="P344" s="381"/>
      <c r="Q344" t="s">
        <v>414</v>
      </c>
      <c r="T344" s="8"/>
      <c r="U344" t="s">
        <v>414</v>
      </c>
      <c r="V344" s="313"/>
      <c r="W344" t="s">
        <v>257</v>
      </c>
      <c r="X344" t="s">
        <v>257</v>
      </c>
      <c r="Z344" t="s">
        <v>257</v>
      </c>
      <c r="AB344"/>
      <c r="AD344" s="8" t="s">
        <v>230</v>
      </c>
      <c r="AF344" s="8" t="s">
        <v>230</v>
      </c>
      <c r="AG344"/>
      <c r="AH344"/>
      <c r="AI344"/>
      <c r="AJ344" t="s">
        <v>414</v>
      </c>
      <c r="AK344">
        <v>1</v>
      </c>
      <c r="AL344">
        <v>0</v>
      </c>
      <c r="AM344" t="s">
        <v>414</v>
      </c>
      <c r="AN344" t="s">
        <v>249</v>
      </c>
      <c r="AO344" t="s">
        <v>224</v>
      </c>
      <c r="AP344"/>
      <c r="AQ344" t="s">
        <v>414</v>
      </c>
      <c r="AR344" t="s">
        <v>223</v>
      </c>
      <c r="AS344" t="s">
        <v>414</v>
      </c>
      <c r="AT344"/>
      <c r="AU344" t="s">
        <v>257</v>
      </c>
      <c r="AV344"/>
      <c r="AW344" s="313" t="s">
        <v>257</v>
      </c>
      <c r="AX344" t="s">
        <v>768</v>
      </c>
      <c r="AY344" s="313" t="s">
        <v>257</v>
      </c>
      <c r="AZ344" s="313">
        <v>0.63700000000000001</v>
      </c>
      <c r="BB344" s="313" t="s">
        <v>257</v>
      </c>
      <c r="BC344">
        <v>0.73799999999999999</v>
      </c>
      <c r="BD344" t="s">
        <v>431</v>
      </c>
      <c r="BE344">
        <v>0.56599999999999995</v>
      </c>
      <c r="BF344" s="2" t="s">
        <v>257</v>
      </c>
      <c r="BH344" s="2" t="s">
        <v>228</v>
      </c>
      <c r="BI344" s="2" t="s">
        <v>424</v>
      </c>
      <c r="BM344"/>
      <c r="BP344" s="8"/>
      <c r="BQ344" t="s">
        <v>230</v>
      </c>
      <c r="BR344" t="s">
        <v>230</v>
      </c>
      <c r="BU344" t="s">
        <v>317</v>
      </c>
      <c r="BV344" t="s">
        <v>225</v>
      </c>
      <c r="BW344" t="s">
        <v>232</v>
      </c>
      <c r="BX344" t="s">
        <v>276</v>
      </c>
      <c r="BY344" t="s">
        <v>220</v>
      </c>
      <c r="BZ344">
        <v>0.34200000000000003</v>
      </c>
      <c r="CA344" t="s">
        <v>372</v>
      </c>
      <c r="CF344" t="s">
        <v>227</v>
      </c>
      <c r="CG344">
        <v>0.56399999999999995</v>
      </c>
      <c r="CH344" t="s">
        <v>257</v>
      </c>
      <c r="CI344">
        <v>0.61899999999999999</v>
      </c>
      <c r="CK344"/>
      <c r="CL344"/>
      <c r="CM344"/>
      <c r="CS344" s="8"/>
      <c r="CW344" t="s">
        <v>227</v>
      </c>
      <c r="CX344" t="s">
        <v>257</v>
      </c>
      <c r="CY344" t="s">
        <v>231</v>
      </c>
      <c r="CZ344" t="s">
        <v>220</v>
      </c>
      <c r="DA344" t="s">
        <v>227</v>
      </c>
      <c r="DB344" t="s">
        <v>220</v>
      </c>
      <c r="DC344"/>
      <c r="DD344"/>
      <c r="DE344"/>
      <c r="DF344"/>
      <c r="DG344"/>
      <c r="DH344" s="323"/>
      <c r="DI344" s="323"/>
      <c r="DJ344" s="323"/>
      <c r="DL344" t="s">
        <v>257</v>
      </c>
      <c r="DM344" t="s">
        <v>220</v>
      </c>
      <c r="DN344" t="s">
        <v>257</v>
      </c>
      <c r="DO344" t="s">
        <v>220</v>
      </c>
      <c r="DP344" t="s">
        <v>220</v>
      </c>
      <c r="DS344" s="309">
        <v>35.378</v>
      </c>
      <c r="DU344" s="309">
        <v>318.89400000000001</v>
      </c>
      <c r="DW344">
        <v>14.7</v>
      </c>
      <c r="DX344" t="s">
        <v>238</v>
      </c>
      <c r="DY344"/>
      <c r="DZ344" t="s">
        <v>235</v>
      </c>
      <c r="EA344"/>
      <c r="EB344"/>
      <c r="ED344" s="410"/>
      <c r="EE344" s="1"/>
      <c r="EG344" s="410"/>
      <c r="EI344" s="410"/>
      <c r="EK344" s="1"/>
      <c r="EM344"/>
      <c r="EQ344" s="344"/>
      <c r="EU344" s="344"/>
      <c r="EW344" s="409"/>
      <c r="EY344" s="1"/>
      <c r="FA344">
        <v>72.680000000000007</v>
      </c>
      <c r="FB344" t="s">
        <v>236</v>
      </c>
      <c r="FC344" s="7">
        <v>93.454453031534058</v>
      </c>
      <c r="FD344" s="357" t="s">
        <v>236</v>
      </c>
      <c r="FE344" s="8">
        <v>45.972698853087245</v>
      </c>
      <c r="FF344" t="s">
        <v>237</v>
      </c>
      <c r="FH344" s="9">
        <v>43.792526354192617</v>
      </c>
      <c r="FI344" s="9" t="s">
        <v>236</v>
      </c>
      <c r="FK344" t="s">
        <v>235</v>
      </c>
      <c r="FL344">
        <v>109</v>
      </c>
      <c r="FM344">
        <v>81.133460522826383</v>
      </c>
      <c r="FN344" s="419" t="s">
        <v>237</v>
      </c>
      <c r="FV344" s="8"/>
      <c r="FW344" s="8"/>
      <c r="FX344" s="8"/>
      <c r="GC344" s="7">
        <v>2.5000000000000001E-3</v>
      </c>
      <c r="GH344" s="7"/>
      <c r="GI344" s="441" t="s">
        <v>395</v>
      </c>
      <c r="GJ344" s="441" t="s">
        <v>395</v>
      </c>
      <c r="GK344" s="441" t="s">
        <v>395</v>
      </c>
      <c r="GL344" s="441" t="s">
        <v>395</v>
      </c>
      <c r="GM344" s="452" t="s">
        <v>230</v>
      </c>
      <c r="GN344" s="6" t="s">
        <v>395</v>
      </c>
      <c r="GO344" s="6" t="s">
        <v>395</v>
      </c>
      <c r="GP344" s="6" t="s">
        <v>395</v>
      </c>
      <c r="GQ344" s="6" t="s">
        <v>395</v>
      </c>
      <c r="GR344" s="6" t="s">
        <v>230</v>
      </c>
      <c r="GU344" t="s">
        <v>243</v>
      </c>
      <c r="GV344" t="s">
        <v>236</v>
      </c>
      <c r="GW344" t="s">
        <v>359</v>
      </c>
      <c r="GX344" t="s">
        <v>225</v>
      </c>
      <c r="GY344" t="s">
        <v>245</v>
      </c>
      <c r="HE344" t="s">
        <v>384</v>
      </c>
      <c r="HF344" t="s">
        <v>225</v>
      </c>
      <c r="HG344" t="s">
        <v>231</v>
      </c>
      <c r="HH344" t="s">
        <v>225</v>
      </c>
      <c r="HI344" t="s">
        <v>247</v>
      </c>
      <c r="HJ344" t="s">
        <v>223</v>
      </c>
      <c r="HK344" t="s">
        <v>266</v>
      </c>
      <c r="HO344" t="s">
        <v>231</v>
      </c>
      <c r="HP344" t="s">
        <v>223</v>
      </c>
      <c r="HQ344" t="s">
        <v>231</v>
      </c>
      <c r="HR344" t="s">
        <v>223</v>
      </c>
      <c r="HU344" t="s">
        <v>231</v>
      </c>
      <c r="HV344" t="s">
        <v>223</v>
      </c>
      <c r="HW344" t="s">
        <v>246</v>
      </c>
      <c r="HX344" t="s">
        <v>236</v>
      </c>
      <c r="IA344" t="s">
        <v>231</v>
      </c>
      <c r="IB344" t="s">
        <v>250</v>
      </c>
      <c r="IC344" t="s">
        <v>395</v>
      </c>
      <c r="ID344" t="s">
        <v>395</v>
      </c>
      <c r="IE344" t="s">
        <v>395</v>
      </c>
      <c r="IF344" t="s">
        <v>395</v>
      </c>
      <c r="IH344" t="s">
        <v>235</v>
      </c>
    </row>
    <row r="345" spans="1:242" x14ac:dyDescent="0.35">
      <c r="A345" s="310" t="s">
        <v>1978</v>
      </c>
      <c r="B345" t="s">
        <v>1979</v>
      </c>
      <c r="C345" s="310" t="s">
        <v>1980</v>
      </c>
      <c r="D345" s="316"/>
      <c r="F345" t="s">
        <v>1981</v>
      </c>
      <c r="I345" s="310" t="s">
        <v>1982</v>
      </c>
      <c r="M345" s="313"/>
      <c r="O345"/>
      <c r="P345" s="381"/>
      <c r="Q345"/>
      <c r="T345" s="8"/>
      <c r="U345"/>
      <c r="V345" s="313"/>
      <c r="W345"/>
      <c r="X345"/>
      <c r="Z345"/>
      <c r="AB345"/>
      <c r="AD345" s="8" t="s">
        <v>230</v>
      </c>
      <c r="AF345" s="8" t="s">
        <v>230</v>
      </c>
      <c r="AG345"/>
      <c r="AH345"/>
      <c r="AI345"/>
      <c r="AJ345" t="s">
        <v>221</v>
      </c>
      <c r="AK345">
        <v>0</v>
      </c>
      <c r="AL345">
        <v>0.82499999999999996</v>
      </c>
      <c r="AM345" t="s">
        <v>221</v>
      </c>
      <c r="AN345" t="s">
        <v>223</v>
      </c>
      <c r="AO345" t="s">
        <v>224</v>
      </c>
      <c r="AP345" t="s">
        <v>223</v>
      </c>
      <c r="AQ345" t="s">
        <v>221</v>
      </c>
      <c r="AR345" t="s">
        <v>225</v>
      </c>
      <c r="AS345" t="s">
        <v>221</v>
      </c>
      <c r="AT345" t="s">
        <v>223</v>
      </c>
      <c r="AU345" t="s">
        <v>220</v>
      </c>
      <c r="AV345"/>
      <c r="AW345" s="313" t="s">
        <v>220</v>
      </c>
      <c r="AX345" t="s">
        <v>226</v>
      </c>
      <c r="AY345" s="313" t="s">
        <v>220</v>
      </c>
      <c r="AZ345" s="313">
        <v>0.20699999999999999</v>
      </c>
      <c r="BB345" s="313" t="s">
        <v>220</v>
      </c>
      <c r="BC345">
        <v>0.151</v>
      </c>
      <c r="BD345" t="s">
        <v>220</v>
      </c>
      <c r="BE345">
        <v>0.20899999999999999</v>
      </c>
      <c r="BF345" s="2" t="s">
        <v>220</v>
      </c>
      <c r="BG345" s="2" t="s">
        <v>273</v>
      </c>
      <c r="BH345" s="2" t="s">
        <v>274</v>
      </c>
      <c r="BI345" s="2" t="s">
        <v>275</v>
      </c>
      <c r="BM345"/>
      <c r="BP345" s="8"/>
      <c r="BQ345" t="s">
        <v>230</v>
      </c>
      <c r="BR345" t="s">
        <v>230</v>
      </c>
      <c r="BU345" t="s">
        <v>293</v>
      </c>
      <c r="BV345" t="s">
        <v>236</v>
      </c>
      <c r="BW345" t="s">
        <v>232</v>
      </c>
      <c r="BX345" t="s">
        <v>276</v>
      </c>
      <c r="BY345" t="s">
        <v>220</v>
      </c>
      <c r="BZ345">
        <v>0.377</v>
      </c>
      <c r="CA345" t="s">
        <v>234</v>
      </c>
      <c r="CF345" t="s">
        <v>220</v>
      </c>
      <c r="CG345">
        <v>0.375</v>
      </c>
      <c r="CH345" t="s">
        <v>220</v>
      </c>
      <c r="CI345">
        <v>0.495</v>
      </c>
      <c r="CK345"/>
      <c r="CL345"/>
      <c r="CM345"/>
      <c r="CS345" s="8"/>
      <c r="CW345" t="s">
        <v>227</v>
      </c>
      <c r="CX345" t="s">
        <v>220</v>
      </c>
      <c r="CY345" t="s">
        <v>231</v>
      </c>
      <c r="CZ345" t="s">
        <v>220</v>
      </c>
      <c r="DA345" t="s">
        <v>220</v>
      </c>
      <c r="DB345" t="s">
        <v>220</v>
      </c>
      <c r="DC345"/>
      <c r="DD345"/>
      <c r="DE345"/>
      <c r="DF345"/>
      <c r="DG345"/>
      <c r="DH345" s="323"/>
      <c r="DI345" s="323"/>
      <c r="DJ345" s="323"/>
      <c r="DL345" t="s">
        <v>257</v>
      </c>
      <c r="DM345" t="s">
        <v>220</v>
      </c>
      <c r="DN345" t="s">
        <v>257</v>
      </c>
      <c r="DO345" t="s">
        <v>220</v>
      </c>
      <c r="DP345" t="s">
        <v>220</v>
      </c>
      <c r="DS345" s="309">
        <v>131.58799999999999</v>
      </c>
      <c r="DU345" s="309">
        <v>191.173</v>
      </c>
      <c r="DW345"/>
      <c r="DX345" t="s">
        <v>235</v>
      </c>
      <c r="DY345"/>
      <c r="DZ345" t="s">
        <v>235</v>
      </c>
      <c r="EA345"/>
      <c r="EB345"/>
      <c r="ED345" s="410"/>
      <c r="EE345" s="1"/>
      <c r="EG345" s="410"/>
      <c r="EI345" s="410"/>
      <c r="EK345" s="1"/>
      <c r="EM345"/>
      <c r="EQ345" s="344"/>
      <c r="EU345" s="344"/>
      <c r="EW345" s="409"/>
      <c r="EY345" s="1"/>
      <c r="FA345">
        <v>66.16</v>
      </c>
      <c r="FB345" t="s">
        <v>236</v>
      </c>
      <c r="FC345" s="7">
        <v>112.02114309051136</v>
      </c>
      <c r="FD345" s="357" t="s">
        <v>225</v>
      </c>
      <c r="FE345" s="8">
        <v>28.398800706985824</v>
      </c>
      <c r="FF345" t="s">
        <v>237</v>
      </c>
      <c r="FH345" s="9">
        <v>66.069344800759623</v>
      </c>
      <c r="FI345" s="9" t="s">
        <v>225</v>
      </c>
      <c r="FK345" t="s">
        <v>235</v>
      </c>
      <c r="FL345">
        <v>68.099999999999994</v>
      </c>
      <c r="FM345">
        <v>45.845846924932616</v>
      </c>
      <c r="FN345" s="5" t="s">
        <v>237</v>
      </c>
      <c r="FP345" s="6">
        <v>2.2922923462466307</v>
      </c>
      <c r="FQ345" t="s">
        <v>277</v>
      </c>
      <c r="FS345" t="s">
        <v>240</v>
      </c>
      <c r="FT345" t="e">
        <f>FQ345=#REF!</f>
        <v>#REF!</v>
      </c>
      <c r="FU345" s="8">
        <v>2</v>
      </c>
      <c r="FV345" s="8">
        <v>10</v>
      </c>
      <c r="FW345" s="8">
        <v>10</v>
      </c>
      <c r="FX345" s="8">
        <v>10</v>
      </c>
      <c r="FY345" s="8">
        <v>3</v>
      </c>
      <c r="FZ345">
        <f t="shared" si="5"/>
        <v>6000</v>
      </c>
      <c r="GA345" s="7" t="s">
        <v>241</v>
      </c>
      <c r="GB345" s="7" t="s">
        <v>241</v>
      </c>
      <c r="GC345" s="6">
        <v>30</v>
      </c>
      <c r="GD345" s="348" t="s">
        <v>242</v>
      </c>
      <c r="GF345" s="6">
        <v>2.2700000000000001E-2</v>
      </c>
      <c r="GH345" s="7"/>
      <c r="GI345" s="445"/>
      <c r="GJ345" s="445"/>
      <c r="GK345" s="445"/>
      <c r="GL345" s="445"/>
      <c r="GM345" s="453"/>
      <c r="GN345" s="6">
        <v>0.2</v>
      </c>
      <c r="GO345" s="6">
        <v>0.375</v>
      </c>
      <c r="GP345" s="6">
        <v>0.6</v>
      </c>
      <c r="GQ345" s="6">
        <v>1.5</v>
      </c>
      <c r="GR345" s="6" t="s">
        <v>230</v>
      </c>
      <c r="GU345" t="s">
        <v>243</v>
      </c>
      <c r="GV345" t="s">
        <v>236</v>
      </c>
      <c r="GW345" t="s">
        <v>359</v>
      </c>
      <c r="GX345" t="s">
        <v>223</v>
      </c>
      <c r="GY345" t="s">
        <v>245</v>
      </c>
      <c r="HE345" t="s">
        <v>246</v>
      </c>
      <c r="HF345" t="s">
        <v>236</v>
      </c>
      <c r="HG345" t="s">
        <v>231</v>
      </c>
      <c r="HH345" t="s">
        <v>223</v>
      </c>
      <c r="HI345" t="s">
        <v>247</v>
      </c>
      <c r="HJ345" t="s">
        <v>223</v>
      </c>
      <c r="HK345" t="s">
        <v>266</v>
      </c>
      <c r="HO345" t="s">
        <v>231</v>
      </c>
      <c r="HP345" t="s">
        <v>223</v>
      </c>
      <c r="HQ345" t="s">
        <v>231</v>
      </c>
      <c r="HR345" t="s">
        <v>223</v>
      </c>
      <c r="HU345" t="s">
        <v>231</v>
      </c>
      <c r="HV345" t="s">
        <v>223</v>
      </c>
      <c r="HW345" t="s">
        <v>246</v>
      </c>
      <c r="HX345" t="s">
        <v>236</v>
      </c>
      <c r="IA345" t="s">
        <v>231</v>
      </c>
      <c r="IB345" t="s">
        <v>250</v>
      </c>
      <c r="IC345" s="447"/>
      <c r="ID345" s="447"/>
      <c r="IE345" s="447"/>
      <c r="IF345" s="447"/>
      <c r="IH345" t="s">
        <v>235</v>
      </c>
    </row>
    <row r="346" spans="1:242" x14ac:dyDescent="0.35">
      <c r="A346" s="310" t="s">
        <v>1983</v>
      </c>
      <c r="B346" t="s">
        <v>1984</v>
      </c>
      <c r="C346" s="310" t="s">
        <v>1985</v>
      </c>
      <c r="D346" s="316"/>
      <c r="F346" t="s">
        <v>1986</v>
      </c>
      <c r="I346" s="310" t="s">
        <v>1987</v>
      </c>
      <c r="M346" s="313"/>
      <c r="O346"/>
      <c r="P346" s="381"/>
      <c r="Q346"/>
      <c r="T346" s="8"/>
      <c r="U346"/>
      <c r="V346" s="313"/>
      <c r="W346"/>
      <c r="X346"/>
      <c r="Z346"/>
      <c r="AB346"/>
      <c r="AD346" s="8" t="s">
        <v>230</v>
      </c>
      <c r="AF346" s="8" t="s">
        <v>230</v>
      </c>
      <c r="AG346"/>
      <c r="AH346"/>
      <c r="AI346"/>
      <c r="AJ346" t="s">
        <v>221</v>
      </c>
      <c r="AK346">
        <v>0</v>
      </c>
      <c r="AL346">
        <v>0.5</v>
      </c>
      <c r="AM346" t="s">
        <v>221</v>
      </c>
      <c r="AN346" t="s">
        <v>225</v>
      </c>
      <c r="AO346" t="s">
        <v>221</v>
      </c>
      <c r="AP346" t="s">
        <v>225</v>
      </c>
      <c r="AQ346" t="s">
        <v>221</v>
      </c>
      <c r="AR346" t="s">
        <v>225</v>
      </c>
      <c r="AS346" t="s">
        <v>221</v>
      </c>
      <c r="AT346" t="s">
        <v>236</v>
      </c>
      <c r="AU346" t="s">
        <v>220</v>
      </c>
      <c r="AV346"/>
      <c r="AW346" s="313" t="s">
        <v>220</v>
      </c>
      <c r="AX346" t="s">
        <v>226</v>
      </c>
      <c r="AY346" s="313" t="s">
        <v>220</v>
      </c>
      <c r="AZ346" s="313">
        <v>0.23</v>
      </c>
      <c r="BB346" s="313" t="s">
        <v>220</v>
      </c>
      <c r="BC346">
        <v>0.153</v>
      </c>
      <c r="BD346" t="s">
        <v>220</v>
      </c>
      <c r="BE346">
        <v>0.13400000000000001</v>
      </c>
      <c r="BF346" s="2" t="s">
        <v>220</v>
      </c>
      <c r="BG346" s="2" t="s">
        <v>273</v>
      </c>
      <c r="BH346" s="2" t="s">
        <v>274</v>
      </c>
      <c r="BI346" s="2" t="s">
        <v>275</v>
      </c>
      <c r="BM346"/>
      <c r="BP346" s="8"/>
      <c r="BQ346" t="s">
        <v>230</v>
      </c>
      <c r="BR346" t="s">
        <v>230</v>
      </c>
      <c r="BU346" t="s">
        <v>231</v>
      </c>
      <c r="BV346" t="s">
        <v>223</v>
      </c>
      <c r="BW346" t="s">
        <v>232</v>
      </c>
      <c r="BX346" t="s">
        <v>276</v>
      </c>
      <c r="BY346" t="s">
        <v>220</v>
      </c>
      <c r="BZ346">
        <v>0.35799999999999998</v>
      </c>
      <c r="CA346" t="s">
        <v>372</v>
      </c>
      <c r="CF346" t="s">
        <v>220</v>
      </c>
      <c r="CG346">
        <v>0.35799999999999998</v>
      </c>
      <c r="CH346" t="s">
        <v>257</v>
      </c>
      <c r="CI346">
        <v>0.53400000000000003</v>
      </c>
      <c r="CK346"/>
      <c r="CL346"/>
      <c r="CM346"/>
      <c r="CS346" s="8"/>
      <c r="CW346" t="s">
        <v>257</v>
      </c>
      <c r="CX346" t="s">
        <v>220</v>
      </c>
      <c r="CY346" t="s">
        <v>231</v>
      </c>
      <c r="CZ346" t="s">
        <v>227</v>
      </c>
      <c r="DA346" t="s">
        <v>227</v>
      </c>
      <c r="DB346" t="s">
        <v>227</v>
      </c>
      <c r="DC346"/>
      <c r="DD346"/>
      <c r="DE346"/>
      <c r="DF346"/>
      <c r="DG346"/>
      <c r="DH346" s="323"/>
      <c r="DI346" s="323"/>
      <c r="DJ346" s="323"/>
      <c r="DL346" t="s">
        <v>257</v>
      </c>
      <c r="DM346" t="s">
        <v>220</v>
      </c>
      <c r="DN346" t="s">
        <v>227</v>
      </c>
      <c r="DO346" t="s">
        <v>220</v>
      </c>
      <c r="DP346" t="s">
        <v>257</v>
      </c>
      <c r="DS346" s="309">
        <v>122.783</v>
      </c>
      <c r="DU346" s="309">
        <v>1134.2449999999999</v>
      </c>
      <c r="DW346"/>
      <c r="DX346" t="s">
        <v>235</v>
      </c>
      <c r="DY346"/>
      <c r="DZ346" t="s">
        <v>235</v>
      </c>
      <c r="EA346"/>
      <c r="EB346"/>
      <c r="ED346" s="410"/>
      <c r="EE346" s="1"/>
      <c r="EG346" s="410"/>
      <c r="EI346" s="410"/>
      <c r="EK346" s="1"/>
      <c r="EM346"/>
      <c r="EQ346" s="344"/>
      <c r="EU346" s="344"/>
      <c r="EW346" s="409"/>
      <c r="EY346" s="1"/>
      <c r="FA346">
        <v>110.15</v>
      </c>
      <c r="FB346" t="s">
        <v>236</v>
      </c>
      <c r="FC346" s="7">
        <v>119.81191231900345</v>
      </c>
      <c r="FD346" s="357" t="s">
        <v>225</v>
      </c>
      <c r="FE346" s="8">
        <v>59.786069135249306</v>
      </c>
      <c r="FF346" t="s">
        <v>237</v>
      </c>
      <c r="FH346" s="9">
        <v>154.77471037349204</v>
      </c>
      <c r="FI346" s="9" t="s">
        <v>225</v>
      </c>
      <c r="FK346" t="s">
        <v>235</v>
      </c>
      <c r="FL346">
        <v>148</v>
      </c>
      <c r="FM346">
        <v>117.65218576672277</v>
      </c>
      <c r="FN346" s="5" t="s">
        <v>237</v>
      </c>
      <c r="FP346" s="6">
        <v>5.8826092883361385</v>
      </c>
      <c r="FQ346" t="s">
        <v>277</v>
      </c>
      <c r="FS346" t="s">
        <v>240</v>
      </c>
      <c r="FT346" t="e">
        <f>FQ346=#REF!</f>
        <v>#REF!</v>
      </c>
      <c r="FU346" s="8">
        <v>2</v>
      </c>
      <c r="FV346" s="8">
        <v>10</v>
      </c>
      <c r="FW346" s="8">
        <v>10</v>
      </c>
      <c r="FX346" s="8">
        <v>10</v>
      </c>
      <c r="FY346" s="8">
        <v>3</v>
      </c>
      <c r="FZ346">
        <f t="shared" si="5"/>
        <v>6000</v>
      </c>
      <c r="GA346" s="7" t="s">
        <v>326</v>
      </c>
      <c r="GB346" s="7" t="s">
        <v>326</v>
      </c>
      <c r="GC346" s="6">
        <v>1.5</v>
      </c>
      <c r="GD346" s="348" t="s">
        <v>242</v>
      </c>
      <c r="GF346" s="6">
        <v>4.9333333333333333E-2</v>
      </c>
      <c r="GH346" s="7"/>
      <c r="GI346" s="441">
        <v>0.13100000000000001</v>
      </c>
      <c r="GJ346" s="441">
        <v>0.245</v>
      </c>
      <c r="GK346" s="441">
        <v>0.39200000000000002</v>
      </c>
      <c r="GL346" s="441">
        <v>0.98</v>
      </c>
      <c r="GM346" s="452" t="s">
        <v>262</v>
      </c>
      <c r="GN346" s="6">
        <v>0.01</v>
      </c>
      <c r="GO346" s="6">
        <v>1.8749999999999999E-2</v>
      </c>
      <c r="GP346" s="6">
        <v>0.03</v>
      </c>
      <c r="GQ346" s="6">
        <v>7.4999999999999997E-2</v>
      </c>
      <c r="GR346" s="6" t="s">
        <v>230</v>
      </c>
      <c r="GU346" t="s">
        <v>243</v>
      </c>
      <c r="GV346" t="s">
        <v>236</v>
      </c>
      <c r="GW346" t="s">
        <v>244</v>
      </c>
      <c r="GX346" t="s">
        <v>236</v>
      </c>
      <c r="GY346" t="s">
        <v>245</v>
      </c>
      <c r="HE346" t="s">
        <v>384</v>
      </c>
      <c r="HF346" t="s">
        <v>223</v>
      </c>
      <c r="HG346" t="s">
        <v>231</v>
      </c>
      <c r="HH346" t="s">
        <v>223</v>
      </c>
      <c r="HI346" t="s">
        <v>247</v>
      </c>
      <c r="HJ346" t="s">
        <v>223</v>
      </c>
      <c r="HK346" t="s">
        <v>266</v>
      </c>
      <c r="HO346" t="s">
        <v>231</v>
      </c>
      <c r="HP346" t="s">
        <v>223</v>
      </c>
      <c r="HQ346" t="s">
        <v>231</v>
      </c>
      <c r="HR346" t="s">
        <v>223</v>
      </c>
      <c r="HU346" t="s">
        <v>231</v>
      </c>
      <c r="HV346" t="s">
        <v>223</v>
      </c>
      <c r="HW346" t="s">
        <v>246</v>
      </c>
      <c r="HX346" t="s">
        <v>236</v>
      </c>
      <c r="IA346" t="s">
        <v>231</v>
      </c>
      <c r="IB346" t="s">
        <v>250</v>
      </c>
      <c r="IC346">
        <v>0.13100000000000001</v>
      </c>
      <c r="ID346">
        <v>0.245</v>
      </c>
      <c r="IE346">
        <v>0.39200000000000002</v>
      </c>
      <c r="IF346">
        <v>0.98</v>
      </c>
      <c r="IH346" t="s">
        <v>267</v>
      </c>
    </row>
    <row r="347" spans="1:242" x14ac:dyDescent="0.35">
      <c r="A347" s="310" t="s">
        <v>1988</v>
      </c>
      <c r="B347" t="s">
        <v>1989</v>
      </c>
      <c r="C347" s="310" t="s">
        <v>1990</v>
      </c>
      <c r="D347" s="316"/>
      <c r="F347" t="s">
        <v>1991</v>
      </c>
      <c r="I347" s="310" t="s">
        <v>1992</v>
      </c>
      <c r="M347" s="313"/>
      <c r="O347"/>
      <c r="P347" s="381"/>
      <c r="Q347"/>
      <c r="T347" s="8"/>
      <c r="U347"/>
      <c r="V347" s="313"/>
      <c r="W347"/>
      <c r="X347"/>
      <c r="Z347"/>
      <c r="AB347"/>
      <c r="AD347" s="8" t="s">
        <v>230</v>
      </c>
      <c r="AF347" s="8" t="s">
        <v>230</v>
      </c>
      <c r="AG347"/>
      <c r="AH347"/>
      <c r="AI347"/>
      <c r="AJ347" t="s">
        <v>221</v>
      </c>
      <c r="AK347">
        <v>0</v>
      </c>
      <c r="AL347">
        <v>0.9</v>
      </c>
      <c r="AM347" t="s">
        <v>221</v>
      </c>
      <c r="AN347" t="s">
        <v>223</v>
      </c>
      <c r="AO347" t="s">
        <v>224</v>
      </c>
      <c r="AP347" t="s">
        <v>223</v>
      </c>
      <c r="AQ347" t="s">
        <v>221</v>
      </c>
      <c r="AR347" t="s">
        <v>223</v>
      </c>
      <c r="AS347" t="s">
        <v>221</v>
      </c>
      <c r="AT347" t="s">
        <v>223</v>
      </c>
      <c r="AU347" t="s">
        <v>220</v>
      </c>
      <c r="AV347"/>
      <c r="AW347" s="313" t="s">
        <v>220</v>
      </c>
      <c r="AX347" t="s">
        <v>226</v>
      </c>
      <c r="AY347" s="313" t="s">
        <v>220</v>
      </c>
      <c r="AZ347" s="313">
        <v>0.22</v>
      </c>
      <c r="BB347" s="313" t="s">
        <v>220</v>
      </c>
      <c r="BC347">
        <v>0.129</v>
      </c>
      <c r="BD347" t="s">
        <v>220</v>
      </c>
      <c r="BE347">
        <v>0.2</v>
      </c>
      <c r="BF347" s="2" t="s">
        <v>220</v>
      </c>
      <c r="BG347" s="2" t="s">
        <v>273</v>
      </c>
      <c r="BH347" s="2" t="s">
        <v>274</v>
      </c>
      <c r="BI347" s="2" t="s">
        <v>275</v>
      </c>
      <c r="BM347"/>
      <c r="BP347" s="8"/>
      <c r="BQ347" t="s">
        <v>230</v>
      </c>
      <c r="BR347" t="s">
        <v>230</v>
      </c>
      <c r="BU347" t="s">
        <v>317</v>
      </c>
      <c r="BV347" t="s">
        <v>236</v>
      </c>
      <c r="BW347" t="s">
        <v>232</v>
      </c>
      <c r="BX347" t="s">
        <v>233</v>
      </c>
      <c r="BY347" t="s">
        <v>220</v>
      </c>
      <c r="BZ347">
        <v>0.45600000000000002</v>
      </c>
      <c r="CA347" t="s">
        <v>234</v>
      </c>
      <c r="CF347" t="s">
        <v>257</v>
      </c>
      <c r="CG347">
        <v>0.52400000000000002</v>
      </c>
      <c r="CH347" t="s">
        <v>220</v>
      </c>
      <c r="CI347">
        <v>0.49</v>
      </c>
      <c r="CK347"/>
      <c r="CL347"/>
      <c r="CM347"/>
      <c r="CS347" s="8"/>
      <c r="CW347" t="s">
        <v>220</v>
      </c>
      <c r="CX347" t="s">
        <v>257</v>
      </c>
      <c r="CY347" t="s">
        <v>231</v>
      </c>
      <c r="CZ347" t="s">
        <v>220</v>
      </c>
      <c r="DA347" t="s">
        <v>220</v>
      </c>
      <c r="DB347" t="s">
        <v>220</v>
      </c>
      <c r="DC347"/>
      <c r="DD347"/>
      <c r="DE347"/>
      <c r="DF347"/>
      <c r="DG347"/>
      <c r="DH347" s="323"/>
      <c r="DI347" s="323"/>
      <c r="DJ347" s="323"/>
      <c r="DL347" t="s">
        <v>257</v>
      </c>
      <c r="DM347" t="s">
        <v>220</v>
      </c>
      <c r="DN347" t="s">
        <v>257</v>
      </c>
      <c r="DO347" t="s">
        <v>220</v>
      </c>
      <c r="DP347" t="s">
        <v>220</v>
      </c>
      <c r="DS347" s="309">
        <v>45.674999999999997</v>
      </c>
      <c r="DU347" s="309">
        <v>320.846</v>
      </c>
      <c r="DW347"/>
      <c r="DX347" t="s">
        <v>235</v>
      </c>
      <c r="DY347"/>
      <c r="DZ347" t="s">
        <v>235</v>
      </c>
      <c r="EA347"/>
      <c r="EB347"/>
      <c r="ED347" s="410"/>
      <c r="EE347" s="1"/>
      <c r="EG347" s="410"/>
      <c r="EI347" s="410"/>
      <c r="EK347" s="1"/>
      <c r="EM347"/>
      <c r="EQ347" s="344"/>
      <c r="EU347" s="344"/>
      <c r="EW347" s="409"/>
      <c r="EY347" s="1"/>
      <c r="FA347">
        <v>70.239999999999995</v>
      </c>
      <c r="FB347" t="s">
        <v>225</v>
      </c>
      <c r="FC347" s="7">
        <v>115.26567556717848</v>
      </c>
      <c r="FD347" s="357" t="s">
        <v>225</v>
      </c>
      <c r="FE347" s="8">
        <v>47.599237966725013</v>
      </c>
      <c r="FF347" t="s">
        <v>237</v>
      </c>
      <c r="FH347" s="9">
        <v>90.260970747097559</v>
      </c>
      <c r="FI347" s="9" t="s">
        <v>225</v>
      </c>
      <c r="FK347" t="s">
        <v>235</v>
      </c>
      <c r="FL347">
        <v>144</v>
      </c>
      <c r="FM347">
        <v>84.023351390769236</v>
      </c>
      <c r="FN347" s="5" t="s">
        <v>237</v>
      </c>
      <c r="FP347" s="6">
        <v>4.2011675695384616</v>
      </c>
      <c r="FQ347" t="s">
        <v>277</v>
      </c>
      <c r="FS347" t="s">
        <v>240</v>
      </c>
      <c r="FT347" t="e">
        <f>FQ347=#REF!</f>
        <v>#REF!</v>
      </c>
      <c r="FU347" s="8">
        <v>2</v>
      </c>
      <c r="FV347" s="8">
        <v>10</v>
      </c>
      <c r="FW347" s="8">
        <v>10</v>
      </c>
      <c r="FX347" s="8">
        <v>10</v>
      </c>
      <c r="FY347" s="8">
        <v>3</v>
      </c>
      <c r="FZ347">
        <f t="shared" si="5"/>
        <v>6000</v>
      </c>
      <c r="GA347" s="7" t="s">
        <v>241</v>
      </c>
      <c r="GB347" s="7" t="s">
        <v>241</v>
      </c>
      <c r="GC347" s="6">
        <v>30</v>
      </c>
      <c r="GD347" s="348" t="s">
        <v>242</v>
      </c>
      <c r="GF347" s="6">
        <v>4.8000000000000001E-2</v>
      </c>
      <c r="GH347" s="7"/>
      <c r="GI347" s="445"/>
      <c r="GJ347" s="445"/>
      <c r="GK347" s="445"/>
      <c r="GL347" s="445"/>
      <c r="GM347" s="453"/>
      <c r="GN347" s="6">
        <v>0.2</v>
      </c>
      <c r="GO347" s="6">
        <v>0.375</v>
      </c>
      <c r="GP347" s="6">
        <v>0.6</v>
      </c>
      <c r="GQ347" s="6">
        <v>1.5</v>
      </c>
      <c r="GR347" s="6" t="s">
        <v>230</v>
      </c>
      <c r="GU347" t="s">
        <v>243</v>
      </c>
      <c r="GV347" t="s">
        <v>236</v>
      </c>
      <c r="GW347" t="s">
        <v>244</v>
      </c>
      <c r="GX347" t="s">
        <v>236</v>
      </c>
      <c r="GY347" t="s">
        <v>245</v>
      </c>
      <c r="HE347" t="s">
        <v>384</v>
      </c>
      <c r="HF347" t="s">
        <v>223</v>
      </c>
      <c r="HG347" t="s">
        <v>231</v>
      </c>
      <c r="HH347" t="s">
        <v>225</v>
      </c>
      <c r="HI347" t="s">
        <v>247</v>
      </c>
      <c r="HJ347" t="s">
        <v>223</v>
      </c>
      <c r="HK347" t="s">
        <v>266</v>
      </c>
      <c r="HO347" t="s">
        <v>231</v>
      </c>
      <c r="HP347" t="s">
        <v>223</v>
      </c>
      <c r="HQ347" t="s">
        <v>231</v>
      </c>
      <c r="HR347" t="s">
        <v>223</v>
      </c>
      <c r="HU347" t="s">
        <v>231</v>
      </c>
      <c r="HV347" t="s">
        <v>223</v>
      </c>
      <c r="HW347" t="s">
        <v>506</v>
      </c>
      <c r="HX347" t="s">
        <v>236</v>
      </c>
      <c r="IA347" t="s">
        <v>231</v>
      </c>
      <c r="IB347" t="s">
        <v>250</v>
      </c>
      <c r="IC347" s="447"/>
      <c r="ID347" s="447"/>
      <c r="IE347" s="447"/>
      <c r="IF347" s="447"/>
      <c r="IH347" t="s">
        <v>235</v>
      </c>
    </row>
    <row r="348" spans="1:242" x14ac:dyDescent="0.35">
      <c r="A348" s="310" t="s">
        <v>1993</v>
      </c>
      <c r="B348" t="s">
        <v>1994</v>
      </c>
      <c r="C348" s="310" t="s">
        <v>1995</v>
      </c>
      <c r="D348" s="316"/>
      <c r="F348" t="s">
        <v>1996</v>
      </c>
      <c r="I348" s="310" t="s">
        <v>1997</v>
      </c>
      <c r="M348" s="313"/>
      <c r="O348"/>
      <c r="P348" s="381"/>
      <c r="Q348"/>
      <c r="T348" s="8"/>
      <c r="U348"/>
      <c r="V348" s="313"/>
      <c r="W348"/>
      <c r="X348"/>
      <c r="Z348"/>
      <c r="AB348"/>
      <c r="AD348" s="8" t="s">
        <v>230</v>
      </c>
      <c r="AF348" s="8" t="s">
        <v>230</v>
      </c>
      <c r="AG348"/>
      <c r="AH348"/>
      <c r="AI348"/>
      <c r="AJ348" t="s">
        <v>221</v>
      </c>
      <c r="AK348">
        <v>0</v>
      </c>
      <c r="AL348">
        <v>0.5</v>
      </c>
      <c r="AM348" t="s">
        <v>221</v>
      </c>
      <c r="AN348" t="s">
        <v>225</v>
      </c>
      <c r="AO348" t="s">
        <v>221</v>
      </c>
      <c r="AP348" t="s">
        <v>225</v>
      </c>
      <c r="AQ348" t="s">
        <v>221</v>
      </c>
      <c r="AR348" t="s">
        <v>225</v>
      </c>
      <c r="AS348" t="s">
        <v>221</v>
      </c>
      <c r="AT348" t="s">
        <v>236</v>
      </c>
      <c r="AU348" t="s">
        <v>220</v>
      </c>
      <c r="AV348"/>
      <c r="AW348" s="313" t="s">
        <v>220</v>
      </c>
      <c r="AX348" t="s">
        <v>226</v>
      </c>
      <c r="AY348" s="313" t="s">
        <v>220</v>
      </c>
      <c r="AZ348" s="313">
        <v>0.17499999999999999</v>
      </c>
      <c r="BB348" s="313" t="s">
        <v>220</v>
      </c>
      <c r="BC348">
        <v>9.7900000000000001E-2</v>
      </c>
      <c r="BD348" t="s">
        <v>220</v>
      </c>
      <c r="BE348">
        <v>0.14399999999999999</v>
      </c>
      <c r="BF348" s="2" t="s">
        <v>220</v>
      </c>
      <c r="BG348" s="2" t="s">
        <v>273</v>
      </c>
      <c r="BH348" s="2" t="s">
        <v>274</v>
      </c>
      <c r="BI348" s="2" t="s">
        <v>275</v>
      </c>
      <c r="BM348"/>
      <c r="BP348" s="8"/>
      <c r="BQ348" t="s">
        <v>230</v>
      </c>
      <c r="BR348" t="s">
        <v>230</v>
      </c>
      <c r="BU348" t="s">
        <v>231</v>
      </c>
      <c r="BV348" t="s">
        <v>223</v>
      </c>
      <c r="BW348" t="s">
        <v>232</v>
      </c>
      <c r="BX348" t="s">
        <v>276</v>
      </c>
      <c r="BY348" t="s">
        <v>220</v>
      </c>
      <c r="BZ348">
        <v>0.35499999999999998</v>
      </c>
      <c r="CA348" t="s">
        <v>234</v>
      </c>
      <c r="CF348" t="s">
        <v>220</v>
      </c>
      <c r="CG348">
        <v>0.35299999999999998</v>
      </c>
      <c r="CH348" t="s">
        <v>220</v>
      </c>
      <c r="CI348">
        <v>0.45400000000000001</v>
      </c>
      <c r="CK348"/>
      <c r="CL348"/>
      <c r="CM348"/>
      <c r="CS348" s="8"/>
      <c r="CW348" t="s">
        <v>220</v>
      </c>
      <c r="CX348" t="s">
        <v>220</v>
      </c>
      <c r="CY348" t="s">
        <v>231</v>
      </c>
      <c r="CZ348" t="s">
        <v>257</v>
      </c>
      <c r="DA348" t="s">
        <v>227</v>
      </c>
      <c r="DB348" t="s">
        <v>220</v>
      </c>
      <c r="DC348"/>
      <c r="DD348"/>
      <c r="DE348"/>
      <c r="DF348"/>
      <c r="DG348"/>
      <c r="DH348" s="323"/>
      <c r="DI348" s="323"/>
      <c r="DJ348" s="323"/>
      <c r="DL348" t="s">
        <v>257</v>
      </c>
      <c r="DM348" t="s">
        <v>220</v>
      </c>
      <c r="DN348" t="s">
        <v>227</v>
      </c>
      <c r="DO348" t="s">
        <v>220</v>
      </c>
      <c r="DP348" t="s">
        <v>257</v>
      </c>
      <c r="DS348" s="309">
        <v>34.262</v>
      </c>
      <c r="DU348" s="309">
        <v>751.57600000000002</v>
      </c>
      <c r="DW348"/>
      <c r="DX348" t="s">
        <v>235</v>
      </c>
      <c r="DY348"/>
      <c r="DZ348" t="s">
        <v>235</v>
      </c>
      <c r="EA348"/>
      <c r="EB348"/>
      <c r="ED348" s="410"/>
      <c r="EE348" s="1"/>
      <c r="EG348" s="410"/>
      <c r="EI348" s="410"/>
      <c r="EK348" s="1"/>
      <c r="EM348"/>
      <c r="EQ348" s="344"/>
      <c r="EU348" s="344"/>
      <c r="EW348" s="409"/>
      <c r="EY348" s="1"/>
      <c r="FA348">
        <v>121</v>
      </c>
      <c r="FB348" t="s">
        <v>223</v>
      </c>
      <c r="FC348" s="7">
        <v>225.42392121524315</v>
      </c>
      <c r="FD348" s="357" t="s">
        <v>225</v>
      </c>
      <c r="FE348" s="8">
        <v>83.368118461963448</v>
      </c>
      <c r="FF348" t="s">
        <v>237</v>
      </c>
      <c r="FH348" s="9">
        <v>219.98851090492505</v>
      </c>
      <c r="FI348" s="9" t="s">
        <v>225</v>
      </c>
      <c r="FK348" t="s">
        <v>235</v>
      </c>
      <c r="FL348">
        <v>207</v>
      </c>
      <c r="FM348">
        <v>195.25402712986477</v>
      </c>
      <c r="FN348" s="5" t="s">
        <v>237</v>
      </c>
      <c r="FP348" s="6">
        <v>9.7627013564932383</v>
      </c>
      <c r="FQ348" t="s">
        <v>277</v>
      </c>
      <c r="FS348" t="s">
        <v>240</v>
      </c>
      <c r="FT348" t="e">
        <f>FQ348=#REF!</f>
        <v>#REF!</v>
      </c>
      <c r="FU348" s="8">
        <v>2</v>
      </c>
      <c r="FV348" s="8">
        <v>10</v>
      </c>
      <c r="FW348" s="8">
        <v>10</v>
      </c>
      <c r="FX348" s="8">
        <v>10</v>
      </c>
      <c r="FY348" s="8">
        <v>3</v>
      </c>
      <c r="FZ348">
        <f t="shared" si="5"/>
        <v>6000</v>
      </c>
      <c r="GA348" s="7" t="s">
        <v>326</v>
      </c>
      <c r="GB348" s="7" t="s">
        <v>326</v>
      </c>
      <c r="GC348" s="6">
        <v>1.5</v>
      </c>
      <c r="GD348" s="348" t="s">
        <v>242</v>
      </c>
      <c r="GF348" s="6">
        <v>6.8999999999999992E-2</v>
      </c>
      <c r="GH348" s="7"/>
      <c r="GI348" s="441">
        <v>0.217</v>
      </c>
      <c r="GJ348" s="441">
        <v>0.40699999999999997</v>
      </c>
      <c r="GK348" s="441">
        <v>0.65100000000000002</v>
      </c>
      <c r="GL348" s="441">
        <v>1.627</v>
      </c>
      <c r="GM348" s="452" t="s">
        <v>262</v>
      </c>
      <c r="GN348" s="6">
        <v>0.01</v>
      </c>
      <c r="GO348" s="6">
        <v>1.8749999999999999E-2</v>
      </c>
      <c r="GP348" s="6">
        <v>0.03</v>
      </c>
      <c r="GQ348" s="6">
        <v>7.4999999999999997E-2</v>
      </c>
      <c r="GR348" s="6" t="s">
        <v>230</v>
      </c>
      <c r="GU348" t="s">
        <v>243</v>
      </c>
      <c r="GV348" t="s">
        <v>236</v>
      </c>
      <c r="GW348" t="s">
        <v>244</v>
      </c>
      <c r="GX348" t="s">
        <v>236</v>
      </c>
      <c r="GY348" t="s">
        <v>245</v>
      </c>
      <c r="HE348" t="s">
        <v>384</v>
      </c>
      <c r="HF348" t="s">
        <v>223</v>
      </c>
      <c r="HG348" t="s">
        <v>231</v>
      </c>
      <c r="HH348" t="s">
        <v>223</v>
      </c>
      <c r="HI348" t="s">
        <v>247</v>
      </c>
      <c r="HJ348" t="s">
        <v>223</v>
      </c>
      <c r="HK348" t="s">
        <v>266</v>
      </c>
      <c r="HO348" t="s">
        <v>231</v>
      </c>
      <c r="HP348" t="s">
        <v>223</v>
      </c>
      <c r="HQ348" t="s">
        <v>231</v>
      </c>
      <c r="HR348" t="s">
        <v>223</v>
      </c>
      <c r="HU348" t="s">
        <v>231</v>
      </c>
      <c r="HV348" t="s">
        <v>223</v>
      </c>
      <c r="HW348" t="s">
        <v>246</v>
      </c>
      <c r="HX348" t="s">
        <v>236</v>
      </c>
      <c r="IA348" t="s">
        <v>231</v>
      </c>
      <c r="IB348" t="s">
        <v>250</v>
      </c>
      <c r="IC348">
        <v>0.217</v>
      </c>
      <c r="ID348">
        <v>0.40699999999999997</v>
      </c>
      <c r="IE348">
        <v>0.65100000000000002</v>
      </c>
      <c r="IF348">
        <v>1.627</v>
      </c>
      <c r="IH348" t="s">
        <v>267</v>
      </c>
    </row>
    <row r="349" spans="1:242" hidden="1" x14ac:dyDescent="0.35">
      <c r="A349" s="310" t="s">
        <v>1998</v>
      </c>
      <c r="B349" t="s">
        <v>1999</v>
      </c>
      <c r="C349" s="310" t="s">
        <v>2000</v>
      </c>
      <c r="D349" s="316"/>
      <c r="F349" t="s">
        <v>2001</v>
      </c>
      <c r="I349" s="310" t="s">
        <v>2002</v>
      </c>
      <c r="M349" s="313" t="s">
        <v>220</v>
      </c>
      <c r="O349"/>
      <c r="P349" s="381"/>
      <c r="Q349"/>
      <c r="T349" s="8"/>
      <c r="U349"/>
      <c r="V349" s="313"/>
      <c r="W349"/>
      <c r="X349"/>
      <c r="Z349"/>
      <c r="AB349"/>
      <c r="AD349" s="8" t="s">
        <v>230</v>
      </c>
      <c r="AF349" s="8" t="s">
        <v>230</v>
      </c>
      <c r="AG349"/>
      <c r="AH349"/>
      <c r="AI349"/>
      <c r="AJ349" t="s">
        <v>414</v>
      </c>
      <c r="AK349">
        <v>0.2</v>
      </c>
      <c r="AL349">
        <v>0.1</v>
      </c>
      <c r="AM349" t="s">
        <v>414</v>
      </c>
      <c r="AN349" t="s">
        <v>225</v>
      </c>
      <c r="AO349" t="s">
        <v>224</v>
      </c>
      <c r="AP349" t="s">
        <v>236</v>
      </c>
      <c r="AQ349" t="s">
        <v>221</v>
      </c>
      <c r="AR349" t="s">
        <v>236</v>
      </c>
      <c r="AS349" t="s">
        <v>414</v>
      </c>
      <c r="AT349" t="s">
        <v>236</v>
      </c>
      <c r="AU349" t="s">
        <v>220</v>
      </c>
      <c r="AV349"/>
      <c r="AW349" s="313" t="s">
        <v>220</v>
      </c>
      <c r="AX349" t="s">
        <v>226</v>
      </c>
      <c r="AY349" s="313" t="s">
        <v>220</v>
      </c>
      <c r="AZ349" s="313">
        <v>0.39</v>
      </c>
      <c r="BB349" s="313" t="s">
        <v>220</v>
      </c>
      <c r="BC349">
        <v>0.34499999999999997</v>
      </c>
      <c r="BD349" t="s">
        <v>227</v>
      </c>
      <c r="BE349">
        <v>0.318</v>
      </c>
      <c r="BF349" s="2" t="s">
        <v>257</v>
      </c>
      <c r="BG349" s="2" t="s">
        <v>230</v>
      </c>
      <c r="BH349" s="2" t="s">
        <v>274</v>
      </c>
      <c r="BI349" s="2" t="s">
        <v>275</v>
      </c>
      <c r="BM349"/>
      <c r="BP349" s="8"/>
      <c r="BQ349" t="s">
        <v>230</v>
      </c>
      <c r="BR349" t="s">
        <v>230</v>
      </c>
      <c r="BU349" t="s">
        <v>317</v>
      </c>
      <c r="BV349" t="s">
        <v>236</v>
      </c>
      <c r="BW349" t="s">
        <v>232</v>
      </c>
      <c r="BX349" t="s">
        <v>276</v>
      </c>
      <c r="BY349" t="s">
        <v>227</v>
      </c>
      <c r="BZ349">
        <v>0.61499999999999999</v>
      </c>
      <c r="CA349" t="s">
        <v>234</v>
      </c>
      <c r="CF349" t="s">
        <v>220</v>
      </c>
      <c r="CG349">
        <v>0.48799999999999999</v>
      </c>
      <c r="CH349" t="s">
        <v>257</v>
      </c>
      <c r="CI349">
        <v>0.73099999999999998</v>
      </c>
      <c r="CK349"/>
      <c r="CL349"/>
      <c r="CM349"/>
      <c r="CS349" s="8"/>
      <c r="CW349" t="s">
        <v>227</v>
      </c>
      <c r="CX349" t="s">
        <v>220</v>
      </c>
      <c r="CY349" t="s">
        <v>231</v>
      </c>
      <c r="CZ349" t="s">
        <v>227</v>
      </c>
      <c r="DA349" t="s">
        <v>227</v>
      </c>
      <c r="DB349" t="s">
        <v>220</v>
      </c>
      <c r="DC349"/>
      <c r="DD349"/>
      <c r="DE349"/>
      <c r="DF349"/>
      <c r="DG349"/>
      <c r="DH349" s="323"/>
      <c r="DI349" s="323"/>
      <c r="DJ349" s="323"/>
      <c r="DL349" t="s">
        <v>227</v>
      </c>
      <c r="DM349" t="s">
        <v>220</v>
      </c>
      <c r="DN349" t="s">
        <v>227</v>
      </c>
      <c r="DO349" t="s">
        <v>227</v>
      </c>
      <c r="DP349" t="s">
        <v>227</v>
      </c>
      <c r="DS349" s="309">
        <v>74.153999999999996</v>
      </c>
      <c r="DU349" s="309">
        <v>177.381</v>
      </c>
      <c r="DW349">
        <v>23.1</v>
      </c>
      <c r="DX349" t="s">
        <v>238</v>
      </c>
      <c r="DY349"/>
      <c r="DZ349" t="s">
        <v>235</v>
      </c>
      <c r="EA349"/>
      <c r="EB349"/>
      <c r="ED349" s="410"/>
      <c r="EE349" s="1"/>
      <c r="EG349" s="410"/>
      <c r="EI349" s="410"/>
      <c r="EK349" s="1"/>
      <c r="EM349"/>
      <c r="EQ349" s="344"/>
      <c r="EU349" s="344"/>
      <c r="EW349" s="409"/>
      <c r="EY349" s="1"/>
      <c r="FA349">
        <v>76.56</v>
      </c>
      <c r="FB349" t="s">
        <v>236</v>
      </c>
      <c r="FC349" s="7">
        <v>130.55695126911002</v>
      </c>
      <c r="FD349" s="357" t="s">
        <v>225</v>
      </c>
      <c r="FE349" s="8">
        <v>25.550535105132621</v>
      </c>
      <c r="FF349" t="s">
        <v>237</v>
      </c>
      <c r="FH349" s="9">
        <v>72.077547336952833</v>
      </c>
      <c r="FI349" s="9" t="s">
        <v>225</v>
      </c>
      <c r="FK349" t="s">
        <v>235</v>
      </c>
      <c r="FL349">
        <v>264</v>
      </c>
      <c r="FM349">
        <v>36.736688011030353</v>
      </c>
      <c r="FN349" s="419" t="s">
        <v>237</v>
      </c>
      <c r="FV349" s="8"/>
      <c r="FW349" s="8"/>
      <c r="FX349" s="8"/>
      <c r="GC349" s="7">
        <v>2.5000000000000001E-3</v>
      </c>
      <c r="GH349" s="7"/>
      <c r="GI349" s="441" t="s">
        <v>395</v>
      </c>
      <c r="GJ349" s="441" t="s">
        <v>395</v>
      </c>
      <c r="GK349" s="441" t="s">
        <v>395</v>
      </c>
      <c r="GL349" s="441" t="s">
        <v>395</v>
      </c>
      <c r="GM349" s="452" t="s">
        <v>230</v>
      </c>
      <c r="GN349" s="6" t="s">
        <v>395</v>
      </c>
      <c r="GO349" s="6" t="s">
        <v>395</v>
      </c>
      <c r="GP349" s="6" t="s">
        <v>395</v>
      </c>
      <c r="GQ349" s="6" t="s">
        <v>395</v>
      </c>
      <c r="GR349" s="6" t="s">
        <v>230</v>
      </c>
      <c r="GU349" t="s">
        <v>243</v>
      </c>
      <c r="GV349" t="s">
        <v>236</v>
      </c>
      <c r="GW349" t="s">
        <v>244</v>
      </c>
      <c r="GX349" t="s">
        <v>236</v>
      </c>
      <c r="GY349" t="s">
        <v>245</v>
      </c>
      <c r="HE349" t="s">
        <v>246</v>
      </c>
      <c r="HF349" t="s">
        <v>236</v>
      </c>
      <c r="HG349" t="s">
        <v>231</v>
      </c>
      <c r="HH349" t="s">
        <v>225</v>
      </c>
      <c r="HI349" t="s">
        <v>247</v>
      </c>
      <c r="HJ349" t="s">
        <v>223</v>
      </c>
      <c r="HK349" t="s">
        <v>266</v>
      </c>
      <c r="HL349" t="s">
        <v>231</v>
      </c>
      <c r="HM349" t="s">
        <v>231</v>
      </c>
      <c r="HO349" t="s">
        <v>231</v>
      </c>
      <c r="HP349" t="s">
        <v>249</v>
      </c>
      <c r="HQ349" t="s">
        <v>231</v>
      </c>
      <c r="HR349" t="s">
        <v>249</v>
      </c>
      <c r="HU349" t="s">
        <v>231</v>
      </c>
      <c r="HV349" t="s">
        <v>223</v>
      </c>
      <c r="HW349" t="s">
        <v>246</v>
      </c>
      <c r="HX349" t="s">
        <v>236</v>
      </c>
      <c r="IA349" t="s">
        <v>231</v>
      </c>
      <c r="IB349" t="s">
        <v>250</v>
      </c>
      <c r="IC349" t="s">
        <v>395</v>
      </c>
      <c r="ID349" t="s">
        <v>395</v>
      </c>
      <c r="IE349" t="s">
        <v>395</v>
      </c>
      <c r="IF349" t="s">
        <v>395</v>
      </c>
      <c r="IH349" t="s">
        <v>235</v>
      </c>
    </row>
    <row r="350" spans="1:242" hidden="1" x14ac:dyDescent="0.35">
      <c r="A350" s="310" t="s">
        <v>2003</v>
      </c>
      <c r="B350" t="s">
        <v>2004</v>
      </c>
      <c r="C350" s="310" t="s">
        <v>2005</v>
      </c>
      <c r="D350" s="316"/>
      <c r="F350" t="s">
        <v>2006</v>
      </c>
      <c r="I350" s="310" t="s">
        <v>2007</v>
      </c>
      <c r="M350" s="313" t="s">
        <v>220</v>
      </c>
      <c r="O350" t="s">
        <v>414</v>
      </c>
      <c r="P350" s="381"/>
      <c r="Q350" t="s">
        <v>414</v>
      </c>
      <c r="T350" s="8"/>
      <c r="U350" t="s">
        <v>414</v>
      </c>
      <c r="V350" s="313"/>
      <c r="W350" t="s">
        <v>257</v>
      </c>
      <c r="X350" t="s">
        <v>257</v>
      </c>
      <c r="Z350"/>
      <c r="AB350"/>
      <c r="AD350" s="8" t="s">
        <v>230</v>
      </c>
      <c r="AF350" s="8" t="s">
        <v>230</v>
      </c>
      <c r="AG350"/>
      <c r="AH350"/>
      <c r="AI350"/>
      <c r="AJ350" t="s">
        <v>414</v>
      </c>
      <c r="AK350">
        <v>1</v>
      </c>
      <c r="AL350">
        <v>0</v>
      </c>
      <c r="AM350" t="s">
        <v>414</v>
      </c>
      <c r="AN350" t="s">
        <v>249</v>
      </c>
      <c r="AO350" t="s">
        <v>224</v>
      </c>
      <c r="AP350"/>
      <c r="AQ350" t="s">
        <v>414</v>
      </c>
      <c r="AR350" t="s">
        <v>225</v>
      </c>
      <c r="AS350" t="s">
        <v>414</v>
      </c>
      <c r="AT350"/>
      <c r="AU350" t="s">
        <v>257</v>
      </c>
      <c r="AV350"/>
      <c r="AW350" s="313" t="s">
        <v>257</v>
      </c>
      <c r="AX350" t="s">
        <v>768</v>
      </c>
      <c r="AY350" s="313" t="s">
        <v>257</v>
      </c>
      <c r="AZ350" s="313">
        <v>0.55300000000000005</v>
      </c>
      <c r="BB350" s="313" t="s">
        <v>257</v>
      </c>
      <c r="BC350">
        <v>0.626</v>
      </c>
      <c r="BD350" t="s">
        <v>431</v>
      </c>
      <c r="BE350">
        <v>0.437</v>
      </c>
      <c r="BF350" s="2" t="s">
        <v>257</v>
      </c>
      <c r="BH350" s="2" t="s">
        <v>228</v>
      </c>
      <c r="BI350" s="2" t="s">
        <v>424</v>
      </c>
      <c r="BM350"/>
      <c r="BP350" s="8"/>
      <c r="BQ350" t="s">
        <v>230</v>
      </c>
      <c r="BR350" t="s">
        <v>230</v>
      </c>
      <c r="BU350" t="s">
        <v>317</v>
      </c>
      <c r="BV350" t="s">
        <v>236</v>
      </c>
      <c r="BW350" t="s">
        <v>232</v>
      </c>
      <c r="BX350" t="s">
        <v>284</v>
      </c>
      <c r="BY350" t="s">
        <v>220</v>
      </c>
      <c r="BZ350">
        <v>0.27400000000000002</v>
      </c>
      <c r="CA350" t="s">
        <v>372</v>
      </c>
      <c r="CF350" t="s">
        <v>220</v>
      </c>
      <c r="CG350">
        <v>0.41499999999999998</v>
      </c>
      <c r="CH350" t="s">
        <v>220</v>
      </c>
      <c r="CI350">
        <v>0.46500000000000002</v>
      </c>
      <c r="CK350"/>
      <c r="CL350"/>
      <c r="CM350"/>
      <c r="CS350" s="8"/>
      <c r="CW350" t="s">
        <v>227</v>
      </c>
      <c r="CX350" t="s">
        <v>220</v>
      </c>
      <c r="CY350" t="s">
        <v>231</v>
      </c>
      <c r="CZ350" t="s">
        <v>220</v>
      </c>
      <c r="DA350" t="s">
        <v>220</v>
      </c>
      <c r="DB350" t="s">
        <v>220</v>
      </c>
      <c r="DC350"/>
      <c r="DD350"/>
      <c r="DE350"/>
      <c r="DF350"/>
      <c r="DG350"/>
      <c r="DH350" s="323"/>
      <c r="DI350" s="323"/>
      <c r="DJ350" s="323"/>
      <c r="DL350" t="s">
        <v>257</v>
      </c>
      <c r="DM350" t="s">
        <v>220</v>
      </c>
      <c r="DN350" t="s">
        <v>257</v>
      </c>
      <c r="DO350" t="s">
        <v>220</v>
      </c>
      <c r="DP350" t="s">
        <v>220</v>
      </c>
      <c r="DS350" s="309">
        <v>40.201999999999998</v>
      </c>
      <c r="DU350" s="309">
        <v>351.19499999999999</v>
      </c>
      <c r="DW350"/>
      <c r="DX350" t="s">
        <v>235</v>
      </c>
      <c r="DY350"/>
      <c r="DZ350" t="s">
        <v>235</v>
      </c>
      <c r="EA350"/>
      <c r="EB350"/>
      <c r="ED350" s="410"/>
      <c r="EE350" s="1"/>
      <c r="EG350" s="410"/>
      <c r="EI350" s="410">
        <v>80</v>
      </c>
      <c r="EJ350" s="8" t="s">
        <v>259</v>
      </c>
      <c r="EK350" s="1"/>
      <c r="EM350"/>
      <c r="EQ350" s="344"/>
      <c r="EU350" s="344"/>
      <c r="EW350" s="409"/>
      <c r="EY350" s="1"/>
      <c r="FA350">
        <v>76.56</v>
      </c>
      <c r="FB350" t="s">
        <v>236</v>
      </c>
      <c r="FC350" s="7">
        <v>122.7439231158408</v>
      </c>
      <c r="FD350" s="357" t="s">
        <v>236</v>
      </c>
      <c r="FE350" s="8">
        <v>43.231469691088357</v>
      </c>
      <c r="FF350" t="s">
        <v>237</v>
      </c>
      <c r="FH350" s="9">
        <v>67.266681043109969</v>
      </c>
      <c r="FI350" s="9" t="s">
        <v>236</v>
      </c>
      <c r="FK350" t="s">
        <v>235</v>
      </c>
      <c r="FL350">
        <v>124</v>
      </c>
      <c r="FM350">
        <v>80.53784411990668</v>
      </c>
      <c r="FN350" s="419" t="s">
        <v>237</v>
      </c>
      <c r="FV350" s="8"/>
      <c r="FW350" s="8"/>
      <c r="FX350" s="8"/>
      <c r="GC350" s="7">
        <v>2.5000000000000001E-3</v>
      </c>
      <c r="GH350" s="7"/>
      <c r="GI350" s="441" t="s">
        <v>395</v>
      </c>
      <c r="GJ350" s="441" t="s">
        <v>395</v>
      </c>
      <c r="GK350" s="441" t="s">
        <v>395</v>
      </c>
      <c r="GL350" s="441" t="s">
        <v>395</v>
      </c>
      <c r="GM350" s="452" t="s">
        <v>230</v>
      </c>
      <c r="GN350" s="6" t="s">
        <v>395</v>
      </c>
      <c r="GO350" s="6" t="s">
        <v>395</v>
      </c>
      <c r="GP350" s="6" t="s">
        <v>395</v>
      </c>
      <c r="GQ350" s="6" t="s">
        <v>395</v>
      </c>
      <c r="GR350" s="6" t="s">
        <v>230</v>
      </c>
      <c r="GU350" t="s">
        <v>243</v>
      </c>
      <c r="GV350" t="s">
        <v>236</v>
      </c>
      <c r="GW350" t="s">
        <v>244</v>
      </c>
      <c r="GX350" t="s">
        <v>236</v>
      </c>
      <c r="GY350" t="s">
        <v>245</v>
      </c>
      <c r="GZ350" t="s">
        <v>376</v>
      </c>
      <c r="HB350" t="s">
        <v>376</v>
      </c>
      <c r="HE350" t="s">
        <v>247</v>
      </c>
      <c r="HF350" t="s">
        <v>249</v>
      </c>
      <c r="HG350" t="s">
        <v>231</v>
      </c>
      <c r="HH350" t="s">
        <v>225</v>
      </c>
      <c r="HI350" t="s">
        <v>247</v>
      </c>
      <c r="HJ350" t="s">
        <v>249</v>
      </c>
      <c r="HK350" t="s">
        <v>266</v>
      </c>
      <c r="HL350" t="s">
        <v>231</v>
      </c>
      <c r="HM350" t="s">
        <v>231</v>
      </c>
      <c r="HO350" t="s">
        <v>231</v>
      </c>
      <c r="HP350" t="s">
        <v>249</v>
      </c>
      <c r="HQ350" t="s">
        <v>231</v>
      </c>
      <c r="HR350" t="s">
        <v>249</v>
      </c>
      <c r="HU350" t="s">
        <v>231</v>
      </c>
      <c r="HV350" t="s">
        <v>223</v>
      </c>
      <c r="HW350" t="s">
        <v>246</v>
      </c>
      <c r="HX350" t="s">
        <v>236</v>
      </c>
      <c r="IA350" t="s">
        <v>231</v>
      </c>
      <c r="IB350" t="s">
        <v>250</v>
      </c>
      <c r="IC350" t="s">
        <v>395</v>
      </c>
      <c r="ID350" t="s">
        <v>395</v>
      </c>
      <c r="IE350" t="s">
        <v>395</v>
      </c>
      <c r="IF350" t="s">
        <v>395</v>
      </c>
      <c r="IH350" t="s">
        <v>235</v>
      </c>
    </row>
    <row r="351" spans="1:242" x14ac:dyDescent="0.35">
      <c r="A351" s="310" t="s">
        <v>2008</v>
      </c>
      <c r="B351" t="s">
        <v>2009</v>
      </c>
      <c r="C351" s="310" t="s">
        <v>2010</v>
      </c>
      <c r="D351" s="316"/>
      <c r="F351" t="s">
        <v>2011</v>
      </c>
      <c r="I351" s="310" t="s">
        <v>2012</v>
      </c>
      <c r="M351" s="313"/>
      <c r="O351"/>
      <c r="P351" s="381"/>
      <c r="Q351"/>
      <c r="T351" s="8"/>
      <c r="U351"/>
      <c r="V351" s="313"/>
      <c r="W351"/>
      <c r="X351"/>
      <c r="Z351"/>
      <c r="AB351"/>
      <c r="AD351" s="8" t="s">
        <v>230</v>
      </c>
      <c r="AF351" s="8" t="s">
        <v>230</v>
      </c>
      <c r="AG351"/>
      <c r="AH351"/>
      <c r="AI351"/>
      <c r="AJ351" t="s">
        <v>221</v>
      </c>
      <c r="AK351">
        <v>0</v>
      </c>
      <c r="AL351">
        <v>0.82499999999999996</v>
      </c>
      <c r="AM351" t="s">
        <v>221</v>
      </c>
      <c r="AN351" t="s">
        <v>223</v>
      </c>
      <c r="AO351" t="s">
        <v>221</v>
      </c>
      <c r="AP351" t="s">
        <v>223</v>
      </c>
      <c r="AQ351" t="s">
        <v>221</v>
      </c>
      <c r="AR351" t="s">
        <v>223</v>
      </c>
      <c r="AS351" t="s">
        <v>221</v>
      </c>
      <c r="AT351" t="s">
        <v>225</v>
      </c>
      <c r="AU351" t="s">
        <v>220</v>
      </c>
      <c r="AV351"/>
      <c r="AW351" s="313" t="s">
        <v>220</v>
      </c>
      <c r="AX351" t="s">
        <v>226</v>
      </c>
      <c r="AY351" s="313" t="s">
        <v>220</v>
      </c>
      <c r="AZ351" s="313">
        <v>0.122</v>
      </c>
      <c r="BB351" s="313" t="s">
        <v>220</v>
      </c>
      <c r="BC351">
        <v>3.9E-2</v>
      </c>
      <c r="BD351" t="s">
        <v>220</v>
      </c>
      <c r="BE351">
        <v>1.38E-2</v>
      </c>
      <c r="BF351" s="2" t="s">
        <v>220</v>
      </c>
      <c r="BG351" s="2" t="s">
        <v>273</v>
      </c>
      <c r="BH351" s="2" t="s">
        <v>274</v>
      </c>
      <c r="BI351" s="2" t="s">
        <v>275</v>
      </c>
      <c r="BM351"/>
      <c r="BP351" s="8"/>
      <c r="BQ351" t="s">
        <v>230</v>
      </c>
      <c r="BR351" t="s">
        <v>230</v>
      </c>
      <c r="BU351" t="s">
        <v>231</v>
      </c>
      <c r="BV351" t="s">
        <v>225</v>
      </c>
      <c r="BW351" t="s">
        <v>232</v>
      </c>
      <c r="BX351" t="s">
        <v>276</v>
      </c>
      <c r="BY351" t="s">
        <v>220</v>
      </c>
      <c r="BZ351">
        <v>0.20699999999999999</v>
      </c>
      <c r="CA351" t="s">
        <v>234</v>
      </c>
      <c r="CF351" t="s">
        <v>220</v>
      </c>
      <c r="CG351">
        <v>3.7600000000000001E-2</v>
      </c>
      <c r="CH351" t="s">
        <v>220</v>
      </c>
      <c r="CI351">
        <v>2.76E-2</v>
      </c>
      <c r="CK351"/>
      <c r="CL351"/>
      <c r="CM351"/>
      <c r="CS351" s="8"/>
      <c r="CW351" t="s">
        <v>220</v>
      </c>
      <c r="CX351" t="s">
        <v>220</v>
      </c>
      <c r="CY351" t="s">
        <v>231</v>
      </c>
      <c r="CZ351" t="s">
        <v>227</v>
      </c>
      <c r="DA351" t="s">
        <v>227</v>
      </c>
      <c r="DB351" t="s">
        <v>227</v>
      </c>
      <c r="DC351"/>
      <c r="DD351"/>
      <c r="DE351"/>
      <c r="DF351"/>
      <c r="DG351"/>
      <c r="DH351" s="323"/>
      <c r="DI351" s="323"/>
      <c r="DJ351" s="323"/>
      <c r="DL351" t="s">
        <v>220</v>
      </c>
      <c r="DM351" t="s">
        <v>220</v>
      </c>
      <c r="DN351" t="s">
        <v>227</v>
      </c>
      <c r="DO351" t="s">
        <v>227</v>
      </c>
      <c r="DP351" t="s">
        <v>227</v>
      </c>
      <c r="DS351" s="309">
        <v>186.012</v>
      </c>
      <c r="DU351" s="309">
        <v>671.99199999999996</v>
      </c>
      <c r="DW351"/>
      <c r="DX351" t="s">
        <v>235</v>
      </c>
      <c r="DY351"/>
      <c r="DZ351" t="s">
        <v>235</v>
      </c>
      <c r="EA351"/>
      <c r="EB351"/>
      <c r="ED351" s="410"/>
      <c r="EE351" s="1"/>
      <c r="EG351" s="410"/>
      <c r="EI351" s="410"/>
      <c r="EK351" s="1"/>
      <c r="EM351"/>
      <c r="EQ351" s="344"/>
      <c r="EU351" s="344"/>
      <c r="EW351" s="409"/>
      <c r="EY351" s="1"/>
      <c r="FA351">
        <v>47.58</v>
      </c>
      <c r="FB351" t="s">
        <v>225</v>
      </c>
      <c r="FC351" s="7">
        <v>260.55535300499696</v>
      </c>
      <c r="FD351" s="357" t="s">
        <v>236</v>
      </c>
      <c r="FE351" s="8">
        <v>0.76260561741867239</v>
      </c>
      <c r="FF351" t="s">
        <v>237</v>
      </c>
      <c r="FH351" s="9">
        <v>404.57589169744324</v>
      </c>
      <c r="FI351" s="9" t="s">
        <v>236</v>
      </c>
      <c r="FK351" t="s">
        <v>235</v>
      </c>
      <c r="FL351">
        <v>32.799999999999997</v>
      </c>
      <c r="FM351">
        <v>2.3399145610550995</v>
      </c>
      <c r="FN351" s="5" t="s">
        <v>237</v>
      </c>
      <c r="FP351" s="6">
        <v>0.11699572805275497</v>
      </c>
      <c r="FQ351" t="s">
        <v>277</v>
      </c>
      <c r="FS351" t="s">
        <v>240</v>
      </c>
      <c r="FT351" t="e">
        <f>FQ351=#REF!</f>
        <v>#REF!</v>
      </c>
      <c r="FU351" s="8">
        <v>2</v>
      </c>
      <c r="FV351" s="8">
        <v>10</v>
      </c>
      <c r="FW351" s="8">
        <v>10</v>
      </c>
      <c r="FX351" s="8">
        <v>10</v>
      </c>
      <c r="FY351" s="8">
        <v>1</v>
      </c>
      <c r="FZ351">
        <f t="shared" si="5"/>
        <v>2000</v>
      </c>
      <c r="GA351" s="7" t="s">
        <v>326</v>
      </c>
      <c r="GB351" s="7" t="s">
        <v>326</v>
      </c>
      <c r="GC351" s="6">
        <v>1.5</v>
      </c>
      <c r="GD351" s="348" t="s">
        <v>242</v>
      </c>
      <c r="GF351" s="6">
        <v>1.2710093623644538E-3</v>
      </c>
      <c r="GH351" s="7"/>
      <c r="GI351" s="445"/>
      <c r="GJ351" s="445"/>
      <c r="GK351" s="445"/>
      <c r="GL351" s="445"/>
      <c r="GM351" s="453"/>
      <c r="GN351" s="6">
        <v>0.01</v>
      </c>
      <c r="GO351" s="6">
        <v>1.8749999999999999E-2</v>
      </c>
      <c r="GP351" s="6">
        <v>0.03</v>
      </c>
      <c r="GQ351" s="6">
        <v>7.4999999999999997E-2</v>
      </c>
      <c r="GR351" s="6" t="s">
        <v>230</v>
      </c>
      <c r="GU351" t="s">
        <v>365</v>
      </c>
      <c r="GV351" t="s">
        <v>223</v>
      </c>
      <c r="GW351" t="s">
        <v>244</v>
      </c>
      <c r="GX351" t="s">
        <v>236</v>
      </c>
      <c r="GY351" t="s">
        <v>1032</v>
      </c>
      <c r="HE351" t="s">
        <v>247</v>
      </c>
      <c r="HF351" t="s">
        <v>223</v>
      </c>
      <c r="HG351" t="s">
        <v>231</v>
      </c>
      <c r="HH351" t="s">
        <v>236</v>
      </c>
      <c r="HI351" t="s">
        <v>247</v>
      </c>
      <c r="HJ351" t="s">
        <v>225</v>
      </c>
      <c r="HK351" t="s">
        <v>536</v>
      </c>
      <c r="HO351" t="s">
        <v>231</v>
      </c>
      <c r="HP351" t="s">
        <v>223</v>
      </c>
      <c r="HQ351" t="s">
        <v>231</v>
      </c>
      <c r="HR351" t="s">
        <v>223</v>
      </c>
      <c r="HU351" t="s">
        <v>231</v>
      </c>
      <c r="HV351" t="s">
        <v>225</v>
      </c>
      <c r="HW351" t="s">
        <v>246</v>
      </c>
      <c r="HX351" t="s">
        <v>236</v>
      </c>
      <c r="IA351" t="s">
        <v>317</v>
      </c>
      <c r="IB351" t="s">
        <v>250</v>
      </c>
      <c r="IC351" s="447"/>
      <c r="ID351" s="447"/>
      <c r="IE351" s="447"/>
      <c r="IF351" s="447"/>
      <c r="IH351" t="s">
        <v>235</v>
      </c>
    </row>
    <row r="352" spans="1:242" x14ac:dyDescent="0.35">
      <c r="A352" s="310" t="s">
        <v>2013</v>
      </c>
      <c r="B352" s="313" t="s">
        <v>2014</v>
      </c>
      <c r="C352" s="310" t="s">
        <v>2015</v>
      </c>
      <c r="D352" s="316"/>
      <c r="F352" t="s">
        <v>2016</v>
      </c>
      <c r="I352" s="310" t="s">
        <v>2017</v>
      </c>
      <c r="M352" s="313" t="s">
        <v>759</v>
      </c>
      <c r="O352"/>
      <c r="P352" s="381"/>
      <c r="Q352"/>
      <c r="T352" s="8"/>
      <c r="U352"/>
      <c r="V352" s="313"/>
      <c r="W352" t="s">
        <v>301</v>
      </c>
      <c r="X352"/>
      <c r="Z352"/>
      <c r="AB352"/>
      <c r="AD352" s="8" t="s">
        <v>222</v>
      </c>
      <c r="AF352" s="8" t="s">
        <v>230</v>
      </c>
      <c r="AG352"/>
      <c r="AH352"/>
      <c r="AI352"/>
      <c r="AJ352" t="s">
        <v>221</v>
      </c>
      <c r="AK352">
        <v>0</v>
      </c>
      <c r="AL352">
        <v>0.82499999999999996</v>
      </c>
      <c r="AM352" t="s">
        <v>221</v>
      </c>
      <c r="AN352" t="s">
        <v>223</v>
      </c>
      <c r="AO352" t="s">
        <v>221</v>
      </c>
      <c r="AP352" t="s">
        <v>223</v>
      </c>
      <c r="AQ352" t="s">
        <v>221</v>
      </c>
      <c r="AR352" t="s">
        <v>225</v>
      </c>
      <c r="AS352" t="s">
        <v>221</v>
      </c>
      <c r="AT352" t="s">
        <v>223</v>
      </c>
      <c r="AU352" t="s">
        <v>220</v>
      </c>
      <c r="AV352"/>
      <c r="AW352" s="313" t="s">
        <v>220</v>
      </c>
      <c r="AX352" t="s">
        <v>226</v>
      </c>
      <c r="AY352" s="313" t="s">
        <v>220</v>
      </c>
      <c r="AZ352" s="313">
        <v>0.17399999999999999</v>
      </c>
      <c r="BB352" s="313" t="s">
        <v>220</v>
      </c>
      <c r="BC352">
        <v>9.6100000000000005E-2</v>
      </c>
      <c r="BD352" t="s">
        <v>220</v>
      </c>
      <c r="BE352">
        <v>0.13600000000000001</v>
      </c>
      <c r="BF352" s="2" t="s">
        <v>220</v>
      </c>
      <c r="BH352" s="2" t="s">
        <v>228</v>
      </c>
      <c r="BI352" s="2" t="s">
        <v>302</v>
      </c>
      <c r="BM352"/>
      <c r="BP352" s="8"/>
      <c r="BQ352" t="s">
        <v>230</v>
      </c>
      <c r="BR352" t="s">
        <v>230</v>
      </c>
      <c r="BU352" t="s">
        <v>231</v>
      </c>
      <c r="BV352" t="s">
        <v>223</v>
      </c>
      <c r="BW352" t="s">
        <v>232</v>
      </c>
      <c r="BX352" t="s">
        <v>284</v>
      </c>
      <c r="BY352" t="s">
        <v>220</v>
      </c>
      <c r="BZ352">
        <v>0.34599999999999997</v>
      </c>
      <c r="CA352" t="s">
        <v>234</v>
      </c>
      <c r="CF352" t="s">
        <v>220</v>
      </c>
      <c r="CG352">
        <v>0.34599999999999997</v>
      </c>
      <c r="CH352" t="s">
        <v>220</v>
      </c>
      <c r="CI352">
        <v>0.42499999999999999</v>
      </c>
      <c r="CK352"/>
      <c r="CL352"/>
      <c r="CM352"/>
      <c r="CS352" s="8"/>
      <c r="CW352" t="s">
        <v>220</v>
      </c>
      <c r="CX352" t="s">
        <v>220</v>
      </c>
      <c r="CY352" t="s">
        <v>231</v>
      </c>
      <c r="CZ352" t="s">
        <v>257</v>
      </c>
      <c r="DA352" t="s">
        <v>227</v>
      </c>
      <c r="DB352" t="s">
        <v>220</v>
      </c>
      <c r="DC352"/>
      <c r="DD352"/>
      <c r="DE352"/>
      <c r="DF352"/>
      <c r="DG352"/>
      <c r="DH352" s="323"/>
      <c r="DI352" s="323"/>
      <c r="DJ352" s="323"/>
      <c r="DL352" t="s">
        <v>257</v>
      </c>
      <c r="DM352" t="s">
        <v>220</v>
      </c>
      <c r="DN352" t="s">
        <v>227</v>
      </c>
      <c r="DO352" t="s">
        <v>220</v>
      </c>
      <c r="DP352" t="s">
        <v>257</v>
      </c>
      <c r="DS352" s="309">
        <v>49.667999999999999</v>
      </c>
      <c r="DU352" s="309">
        <v>349.26799999999997</v>
      </c>
      <c r="DW352">
        <v>15</v>
      </c>
      <c r="DX352" t="s">
        <v>238</v>
      </c>
      <c r="DY352">
        <v>429</v>
      </c>
      <c r="DZ352" t="s">
        <v>238</v>
      </c>
      <c r="EA352">
        <v>20</v>
      </c>
      <c r="EB352"/>
      <c r="ED352" s="410"/>
      <c r="EE352" s="1">
        <v>20</v>
      </c>
      <c r="EF352" s="8" t="s">
        <v>259</v>
      </c>
      <c r="EG352" s="410"/>
      <c r="EI352" s="410">
        <v>20</v>
      </c>
      <c r="EJ352" s="8" t="s">
        <v>259</v>
      </c>
      <c r="EK352" s="1"/>
      <c r="EM352"/>
      <c r="EQ352" s="344"/>
      <c r="EU352" s="344"/>
      <c r="EW352" s="409"/>
      <c r="EY352" s="1"/>
      <c r="FA352">
        <v>73.41</v>
      </c>
      <c r="FB352"/>
      <c r="FC352" s="7">
        <v>118.82285961900008</v>
      </c>
      <c r="FD352" s="357" t="s">
        <v>225</v>
      </c>
      <c r="FE352" s="8">
        <v>42.481515351464616</v>
      </c>
      <c r="FF352" t="s">
        <v>237</v>
      </c>
      <c r="FH352" s="9">
        <v>69.278743127451804</v>
      </c>
      <c r="FI352" s="9" t="s">
        <v>225</v>
      </c>
      <c r="FJ352">
        <v>423</v>
      </c>
      <c r="FK352" t="s">
        <v>238</v>
      </c>
      <c r="FL352">
        <v>140</v>
      </c>
      <c r="FM352">
        <v>99.014773877660346</v>
      </c>
      <c r="FN352" s="5" t="s">
        <v>237</v>
      </c>
      <c r="FP352" s="6">
        <v>10</v>
      </c>
      <c r="FQ352" t="s">
        <v>535</v>
      </c>
      <c r="FS352" t="s">
        <v>261</v>
      </c>
      <c r="FT352" t="e">
        <f>FQ352=#REF!</f>
        <v>#REF!</v>
      </c>
      <c r="FU352" s="8">
        <v>2</v>
      </c>
      <c r="FV352" s="8">
        <v>10</v>
      </c>
      <c r="FW352" s="8">
        <v>10</v>
      </c>
      <c r="FX352" s="8">
        <v>1</v>
      </c>
      <c r="FY352" s="8">
        <v>3</v>
      </c>
      <c r="FZ352">
        <f t="shared" si="5"/>
        <v>600</v>
      </c>
      <c r="GA352" s="7" t="s">
        <v>303</v>
      </c>
      <c r="GB352" s="7" t="s">
        <v>303</v>
      </c>
      <c r="GC352" s="6">
        <v>9</v>
      </c>
      <c r="GD352" s="348" t="s">
        <v>242</v>
      </c>
      <c r="GF352" s="6">
        <v>3.3333333333333333E-2</v>
      </c>
      <c r="GH352" s="7"/>
      <c r="GI352" s="441">
        <v>0.222</v>
      </c>
      <c r="GJ352" s="441">
        <v>0.41699999999999998</v>
      </c>
      <c r="GK352" s="441">
        <v>0.66700000000000004</v>
      </c>
      <c r="GL352" s="441">
        <v>1.667</v>
      </c>
      <c r="GM352" s="452" t="s">
        <v>262</v>
      </c>
      <c r="GN352" s="6">
        <v>0.06</v>
      </c>
      <c r="GO352" s="6">
        <v>0.1125</v>
      </c>
      <c r="GP352" s="6">
        <v>0.18</v>
      </c>
      <c r="GQ352" s="6">
        <v>0.45</v>
      </c>
      <c r="GR352" s="6" t="s">
        <v>230</v>
      </c>
      <c r="GU352" t="s">
        <v>243</v>
      </c>
      <c r="GV352" t="s">
        <v>236</v>
      </c>
      <c r="GW352" t="s">
        <v>244</v>
      </c>
      <c r="GX352" t="s">
        <v>236</v>
      </c>
      <c r="GY352" t="s">
        <v>245</v>
      </c>
      <c r="GZ352" t="s">
        <v>376</v>
      </c>
      <c r="HB352" t="s">
        <v>376</v>
      </c>
      <c r="HE352" t="s">
        <v>247</v>
      </c>
      <c r="HF352" t="s">
        <v>249</v>
      </c>
      <c r="HG352" t="s">
        <v>231</v>
      </c>
      <c r="HH352" t="s">
        <v>223</v>
      </c>
      <c r="HI352" t="s">
        <v>247</v>
      </c>
      <c r="HJ352" t="s">
        <v>249</v>
      </c>
      <c r="HK352" t="s">
        <v>266</v>
      </c>
      <c r="HL352" t="s">
        <v>231</v>
      </c>
      <c r="HM352" t="s">
        <v>231</v>
      </c>
      <c r="HO352" t="s">
        <v>231</v>
      </c>
      <c r="HP352" t="s">
        <v>249</v>
      </c>
      <c r="HQ352" t="s">
        <v>231</v>
      </c>
      <c r="HR352" t="s">
        <v>249</v>
      </c>
      <c r="HU352" t="s">
        <v>231</v>
      </c>
      <c r="HV352" t="s">
        <v>223</v>
      </c>
      <c r="HW352" t="s">
        <v>246</v>
      </c>
      <c r="HX352" t="s">
        <v>236</v>
      </c>
      <c r="IA352" t="s">
        <v>231</v>
      </c>
      <c r="IB352" t="s">
        <v>250</v>
      </c>
      <c r="IC352">
        <v>0.222</v>
      </c>
      <c r="ID352">
        <v>0.41699999999999998</v>
      </c>
      <c r="IE352">
        <v>0.66700000000000004</v>
      </c>
      <c r="IF352">
        <v>1.667</v>
      </c>
      <c r="IH352" t="s">
        <v>267</v>
      </c>
    </row>
    <row r="353" spans="1:242" x14ac:dyDescent="0.35">
      <c r="A353" s="310" t="s">
        <v>2018</v>
      </c>
      <c r="B353" t="s">
        <v>2019</v>
      </c>
      <c r="C353" s="310" t="s">
        <v>2020</v>
      </c>
      <c r="D353" s="316"/>
      <c r="F353" t="s">
        <v>2020</v>
      </c>
      <c r="I353" s="310" t="s">
        <v>2021</v>
      </c>
      <c r="M353" s="313"/>
      <c r="O353"/>
      <c r="P353" s="381"/>
      <c r="Q353"/>
      <c r="T353" s="8"/>
      <c r="U353"/>
      <c r="V353" s="313"/>
      <c r="W353"/>
      <c r="X353"/>
      <c r="Z353"/>
      <c r="AB353"/>
      <c r="AD353" s="8" t="s">
        <v>230</v>
      </c>
      <c r="AF353" s="8" t="s">
        <v>230</v>
      </c>
      <c r="AG353"/>
      <c r="AH353"/>
      <c r="AI353"/>
      <c r="AJ353" t="s">
        <v>221</v>
      </c>
      <c r="AK353">
        <v>0.05</v>
      </c>
      <c r="AL353">
        <v>0.45</v>
      </c>
      <c r="AM353" t="s">
        <v>221</v>
      </c>
      <c r="AN353" t="s">
        <v>225</v>
      </c>
      <c r="AO353" t="s">
        <v>221</v>
      </c>
      <c r="AP353" t="s">
        <v>225</v>
      </c>
      <c r="AQ353" t="s">
        <v>221</v>
      </c>
      <c r="AR353" t="s">
        <v>225</v>
      </c>
      <c r="AS353" t="s">
        <v>414</v>
      </c>
      <c r="AT353" t="s">
        <v>236</v>
      </c>
      <c r="AU353" t="s">
        <v>220</v>
      </c>
      <c r="AV353"/>
      <c r="AW353" s="313" t="s">
        <v>220</v>
      </c>
      <c r="AX353" t="s">
        <v>226</v>
      </c>
      <c r="AY353" s="313" t="s">
        <v>220</v>
      </c>
      <c r="AZ353" s="313">
        <v>0.20499999999999999</v>
      </c>
      <c r="BA353" s="3" t="s">
        <v>415</v>
      </c>
      <c r="BB353" s="313" t="s">
        <v>220</v>
      </c>
      <c r="BC353">
        <v>0.151</v>
      </c>
      <c r="BD353" t="s">
        <v>220</v>
      </c>
      <c r="BE353">
        <v>0.20200000000000001</v>
      </c>
      <c r="BF353" s="2" t="s">
        <v>220</v>
      </c>
      <c r="BG353" s="2" t="s">
        <v>653</v>
      </c>
      <c r="BH353" s="2" t="s">
        <v>274</v>
      </c>
      <c r="BI353" s="2" t="s">
        <v>275</v>
      </c>
      <c r="BM353"/>
      <c r="BP353" s="8"/>
      <c r="BQ353" t="s">
        <v>230</v>
      </c>
      <c r="BR353" t="s">
        <v>230</v>
      </c>
      <c r="BU353" t="s">
        <v>231</v>
      </c>
      <c r="BV353" t="s">
        <v>223</v>
      </c>
      <c r="BW353" t="s">
        <v>232</v>
      </c>
      <c r="BX353" t="s">
        <v>284</v>
      </c>
      <c r="BY353" t="s">
        <v>220</v>
      </c>
      <c r="BZ353">
        <v>0.36799999999999999</v>
      </c>
      <c r="CA353" t="s">
        <v>234</v>
      </c>
      <c r="CF353" t="s">
        <v>220</v>
      </c>
      <c r="CG353">
        <v>0.248</v>
      </c>
      <c r="CH353" t="s">
        <v>220</v>
      </c>
      <c r="CI353">
        <v>0.377</v>
      </c>
      <c r="CK353"/>
      <c r="CL353"/>
      <c r="CM353"/>
      <c r="CS353" s="8"/>
      <c r="CW353" t="s">
        <v>227</v>
      </c>
      <c r="CX353" t="s">
        <v>220</v>
      </c>
      <c r="CY353" t="s">
        <v>231</v>
      </c>
      <c r="CZ353" t="s">
        <v>220</v>
      </c>
      <c r="DA353" t="s">
        <v>220</v>
      </c>
      <c r="DB353" t="s">
        <v>220</v>
      </c>
      <c r="DC353"/>
      <c r="DD353"/>
      <c r="DE353"/>
      <c r="DF353"/>
      <c r="DG353"/>
      <c r="DH353" s="323"/>
      <c r="DI353" s="323"/>
      <c r="DJ353" s="323"/>
      <c r="DL353" t="s">
        <v>257</v>
      </c>
      <c r="DM353" t="s">
        <v>220</v>
      </c>
      <c r="DN353" t="s">
        <v>257</v>
      </c>
      <c r="DO353" t="s">
        <v>220</v>
      </c>
      <c r="DP353" t="s">
        <v>220</v>
      </c>
      <c r="DS353" s="309">
        <v>144.364</v>
      </c>
      <c r="DU353" s="309">
        <v>214.44200000000001</v>
      </c>
      <c r="DW353"/>
      <c r="DX353" t="s">
        <v>235</v>
      </c>
      <c r="DY353"/>
      <c r="DZ353" t="s">
        <v>235</v>
      </c>
      <c r="EA353"/>
      <c r="EB353"/>
      <c r="ED353" s="410"/>
      <c r="EE353" s="1"/>
      <c r="EG353" s="410"/>
      <c r="EI353" s="410"/>
      <c r="EK353" s="1"/>
      <c r="EM353"/>
      <c r="EQ353" s="344"/>
      <c r="EU353" s="344"/>
      <c r="EW353" s="409"/>
      <c r="EY353" s="1"/>
      <c r="FA353">
        <v>73.41</v>
      </c>
      <c r="FB353" t="s">
        <v>225</v>
      </c>
      <c r="FC353" s="7">
        <v>156.2068231361298</v>
      </c>
      <c r="FD353" s="357" t="s">
        <v>225</v>
      </c>
      <c r="FE353" s="8">
        <v>17.226617073800444</v>
      </c>
      <c r="FF353" t="s">
        <v>237</v>
      </c>
      <c r="FH353" s="9">
        <v>41.82153799140228</v>
      </c>
      <c r="FI353" s="9" t="s">
        <v>225</v>
      </c>
      <c r="FK353" t="s">
        <v>235</v>
      </c>
      <c r="FL353">
        <v>89.8</v>
      </c>
      <c r="FM353">
        <v>21.968479539297238</v>
      </c>
      <c r="FN353" s="5" t="s">
        <v>237</v>
      </c>
      <c r="FP353" s="6">
        <v>1.0984239769648618</v>
      </c>
      <c r="FQ353" t="s">
        <v>277</v>
      </c>
      <c r="FS353" t="s">
        <v>240</v>
      </c>
      <c r="FT353" t="e">
        <f>FQ353=#REF!</f>
        <v>#REF!</v>
      </c>
      <c r="FU353" s="8">
        <v>2</v>
      </c>
      <c r="FV353" s="8">
        <v>10</v>
      </c>
      <c r="FW353" s="8">
        <v>10</v>
      </c>
      <c r="FX353" s="8">
        <v>10</v>
      </c>
      <c r="FY353" s="8">
        <v>3</v>
      </c>
      <c r="FZ353">
        <f t="shared" si="5"/>
        <v>6000</v>
      </c>
      <c r="GA353" s="7" t="s">
        <v>241</v>
      </c>
      <c r="GB353" s="7" t="s">
        <v>241</v>
      </c>
      <c r="GC353" s="6">
        <v>30</v>
      </c>
      <c r="GD353" s="348" t="s">
        <v>242</v>
      </c>
      <c r="GF353" s="6">
        <v>2.8711028456334074E-2</v>
      </c>
      <c r="GH353" s="7"/>
      <c r="GI353" s="445"/>
      <c r="GJ353" s="445"/>
      <c r="GK353" s="445"/>
      <c r="GL353" s="445"/>
      <c r="GM353" s="453"/>
      <c r="GN353" s="6">
        <v>0.2</v>
      </c>
      <c r="GO353" s="6">
        <v>0.375</v>
      </c>
      <c r="GP353" s="6">
        <v>0.6</v>
      </c>
      <c r="GQ353" s="6">
        <v>1.5</v>
      </c>
      <c r="GR353" s="6" t="s">
        <v>230</v>
      </c>
      <c r="GU353" t="s">
        <v>243</v>
      </c>
      <c r="GV353" t="s">
        <v>236</v>
      </c>
      <c r="GW353" t="s">
        <v>359</v>
      </c>
      <c r="GX353" t="s">
        <v>225</v>
      </c>
      <c r="GY353" t="s">
        <v>245</v>
      </c>
      <c r="HE353" t="s">
        <v>246</v>
      </c>
      <c r="HF353" t="s">
        <v>236</v>
      </c>
      <c r="HG353" t="s">
        <v>231</v>
      </c>
      <c r="HH353" t="s">
        <v>223</v>
      </c>
      <c r="HI353" t="s">
        <v>247</v>
      </c>
      <c r="HJ353" t="s">
        <v>223</v>
      </c>
      <c r="HK353" t="s">
        <v>266</v>
      </c>
      <c r="HO353" t="s">
        <v>231</v>
      </c>
      <c r="HP353" t="s">
        <v>223</v>
      </c>
      <c r="HQ353" t="s">
        <v>231</v>
      </c>
      <c r="HR353" t="s">
        <v>223</v>
      </c>
      <c r="HU353" t="s">
        <v>231</v>
      </c>
      <c r="HV353" t="s">
        <v>223</v>
      </c>
      <c r="HW353" t="s">
        <v>246</v>
      </c>
      <c r="HX353" t="s">
        <v>236</v>
      </c>
      <c r="IA353" t="s">
        <v>231</v>
      </c>
      <c r="IB353" t="s">
        <v>250</v>
      </c>
      <c r="IC353" s="447"/>
      <c r="ID353" s="447"/>
      <c r="IE353" s="447"/>
      <c r="IF353" s="447"/>
      <c r="IH353" t="s">
        <v>235</v>
      </c>
    </row>
    <row r="354" spans="1:242" x14ac:dyDescent="0.35">
      <c r="A354" s="310" t="s">
        <v>2022</v>
      </c>
      <c r="B354" t="s">
        <v>2023</v>
      </c>
      <c r="C354" s="310" t="s">
        <v>2024</v>
      </c>
      <c r="D354" s="316"/>
      <c r="F354" t="s">
        <v>2025</v>
      </c>
      <c r="I354" s="310" t="s">
        <v>2026</v>
      </c>
      <c r="M354" s="313" t="s">
        <v>220</v>
      </c>
      <c r="O354"/>
      <c r="P354" s="381"/>
      <c r="Q354"/>
      <c r="T354" s="8"/>
      <c r="U354"/>
      <c r="V354" s="313"/>
      <c r="W354"/>
      <c r="X354"/>
      <c r="Z354"/>
      <c r="AB354"/>
      <c r="AD354" s="8" t="s">
        <v>230</v>
      </c>
      <c r="AF354" s="8" t="s">
        <v>230</v>
      </c>
      <c r="AG354"/>
      <c r="AH354"/>
      <c r="AI354"/>
      <c r="AJ354" t="s">
        <v>221</v>
      </c>
      <c r="AK354">
        <v>0</v>
      </c>
      <c r="AL354">
        <v>0.82499999999999996</v>
      </c>
      <c r="AM354" t="s">
        <v>221</v>
      </c>
      <c r="AN354" t="s">
        <v>223</v>
      </c>
      <c r="AO354" t="s">
        <v>224</v>
      </c>
      <c r="AP354" t="s">
        <v>223</v>
      </c>
      <c r="AQ354" t="s">
        <v>221</v>
      </c>
      <c r="AR354" t="s">
        <v>225</v>
      </c>
      <c r="AS354" t="s">
        <v>221</v>
      </c>
      <c r="AT354" t="s">
        <v>223</v>
      </c>
      <c r="AU354" t="s">
        <v>220</v>
      </c>
      <c r="AV354"/>
      <c r="AW354" s="313" t="s">
        <v>220</v>
      </c>
      <c r="AX354" t="s">
        <v>226</v>
      </c>
      <c r="AY354" s="313" t="s">
        <v>220</v>
      </c>
      <c r="AZ354" s="313">
        <v>0.23</v>
      </c>
      <c r="BB354" s="313" t="s">
        <v>220</v>
      </c>
      <c r="BC354">
        <v>0.151</v>
      </c>
      <c r="BD354" t="s">
        <v>220</v>
      </c>
      <c r="BE354">
        <v>0.13</v>
      </c>
      <c r="BF354" s="2" t="s">
        <v>220</v>
      </c>
      <c r="BG354" s="2" t="s">
        <v>273</v>
      </c>
      <c r="BH354" s="2" t="s">
        <v>274</v>
      </c>
      <c r="BI354" s="2" t="s">
        <v>275</v>
      </c>
      <c r="BM354"/>
      <c r="BP354" s="8"/>
      <c r="BQ354" t="s">
        <v>230</v>
      </c>
      <c r="BR354" t="s">
        <v>230</v>
      </c>
      <c r="BU354" t="s">
        <v>231</v>
      </c>
      <c r="BV354" t="s">
        <v>223</v>
      </c>
      <c r="BW354" t="s">
        <v>232</v>
      </c>
      <c r="BX354" t="s">
        <v>276</v>
      </c>
      <c r="BY354" t="s">
        <v>220</v>
      </c>
      <c r="BZ354">
        <v>0.35599999999999998</v>
      </c>
      <c r="CA354" t="s">
        <v>234</v>
      </c>
      <c r="CF354" t="s">
        <v>220</v>
      </c>
      <c r="CG354">
        <v>0.36799999999999999</v>
      </c>
      <c r="CH354" t="s">
        <v>257</v>
      </c>
      <c r="CI354">
        <v>0.52200000000000002</v>
      </c>
      <c r="CK354"/>
      <c r="CL354"/>
      <c r="CM354"/>
      <c r="CS354" s="8"/>
      <c r="CW354" t="s">
        <v>257</v>
      </c>
      <c r="CX354" t="s">
        <v>220</v>
      </c>
      <c r="CY354" t="s">
        <v>231</v>
      </c>
      <c r="CZ354" t="s">
        <v>257</v>
      </c>
      <c r="DA354" t="s">
        <v>227</v>
      </c>
      <c r="DB354" t="s">
        <v>220</v>
      </c>
      <c r="DC354"/>
      <c r="DD354"/>
      <c r="DE354"/>
      <c r="DF354"/>
      <c r="DG354"/>
      <c r="DH354" s="323"/>
      <c r="DI354" s="323"/>
      <c r="DJ354" s="323"/>
      <c r="DL354" t="s">
        <v>257</v>
      </c>
      <c r="DM354" t="s">
        <v>220</v>
      </c>
      <c r="DN354" t="s">
        <v>227</v>
      </c>
      <c r="DO354" t="s">
        <v>220</v>
      </c>
      <c r="DP354" t="s">
        <v>257</v>
      </c>
      <c r="DS354" s="309">
        <v>53.112000000000002</v>
      </c>
      <c r="DU354" s="309">
        <v>334.995</v>
      </c>
      <c r="DW354"/>
      <c r="DX354" t="s">
        <v>235</v>
      </c>
      <c r="DY354"/>
      <c r="DZ354" t="s">
        <v>235</v>
      </c>
      <c r="EA354"/>
      <c r="EB354"/>
      <c r="ED354" s="410"/>
      <c r="EE354" s="1"/>
      <c r="EG354" s="410"/>
      <c r="EI354" s="410"/>
      <c r="EK354" s="1"/>
      <c r="EM354"/>
      <c r="EQ354" s="344"/>
      <c r="EU354" s="344"/>
      <c r="EW354" s="409"/>
      <c r="EY354" s="1"/>
      <c r="FA354">
        <v>63.44</v>
      </c>
      <c r="FB354" t="s">
        <v>236</v>
      </c>
      <c r="FC354" s="7">
        <v>93.432936825731417</v>
      </c>
      <c r="FD354" s="357" t="s">
        <v>236</v>
      </c>
      <c r="FE354" s="8">
        <v>32.389183499687746</v>
      </c>
      <c r="FF354" t="s">
        <v>237</v>
      </c>
      <c r="FH354" s="9">
        <v>147.84273904006704</v>
      </c>
      <c r="FI354" s="9" t="s">
        <v>225</v>
      </c>
      <c r="FK354" t="s">
        <v>235</v>
      </c>
      <c r="FL354">
        <v>89.2</v>
      </c>
      <c r="FM354">
        <v>60.103532805024159</v>
      </c>
      <c r="FN354" s="5" t="s">
        <v>237</v>
      </c>
      <c r="FP354" s="6">
        <v>3.0051766402512081</v>
      </c>
      <c r="FQ354" t="s">
        <v>277</v>
      </c>
      <c r="FS354" t="s">
        <v>240</v>
      </c>
      <c r="FT354" t="e">
        <f>FQ354=#REF!</f>
        <v>#REF!</v>
      </c>
      <c r="FU354" s="8">
        <v>2</v>
      </c>
      <c r="FV354" s="8">
        <v>10</v>
      </c>
      <c r="FW354" s="8">
        <v>10</v>
      </c>
      <c r="FX354" s="8">
        <v>10</v>
      </c>
      <c r="FY354" s="8">
        <v>3</v>
      </c>
      <c r="FZ354">
        <f t="shared" si="5"/>
        <v>6000</v>
      </c>
      <c r="GA354" s="7" t="s">
        <v>303</v>
      </c>
      <c r="GB354" s="7" t="s">
        <v>303</v>
      </c>
      <c r="GC354" s="6">
        <v>9</v>
      </c>
      <c r="GD354" s="348" t="s">
        <v>383</v>
      </c>
      <c r="GF354" s="6">
        <v>2.973333333333333E-2</v>
      </c>
      <c r="GH354" s="7"/>
      <c r="GI354" s="441" t="s">
        <v>395</v>
      </c>
      <c r="GJ354" s="441" t="s">
        <v>395</v>
      </c>
      <c r="GK354" s="441" t="s">
        <v>395</v>
      </c>
      <c r="GL354" s="441" t="s">
        <v>395</v>
      </c>
      <c r="GM354" s="452" t="s">
        <v>529</v>
      </c>
      <c r="GN354" s="6">
        <v>0.06</v>
      </c>
      <c r="GO354" s="6">
        <v>0.1125</v>
      </c>
      <c r="GP354" s="6">
        <v>0.18</v>
      </c>
      <c r="GQ354" s="6">
        <v>0.45</v>
      </c>
      <c r="GR354" s="6" t="s">
        <v>230</v>
      </c>
      <c r="GU354" t="s">
        <v>365</v>
      </c>
      <c r="GV354" t="s">
        <v>223</v>
      </c>
      <c r="GW354" t="s">
        <v>244</v>
      </c>
      <c r="GX354" t="s">
        <v>236</v>
      </c>
      <c r="GY354" t="s">
        <v>245</v>
      </c>
      <c r="HE354" t="s">
        <v>384</v>
      </c>
      <c r="HF354" t="s">
        <v>223</v>
      </c>
      <c r="HG354" t="s">
        <v>231</v>
      </c>
      <c r="HH354" t="s">
        <v>223</v>
      </c>
      <c r="HI354" t="s">
        <v>247</v>
      </c>
      <c r="HJ354" t="s">
        <v>223</v>
      </c>
      <c r="HK354" t="s">
        <v>266</v>
      </c>
      <c r="HL354" t="s">
        <v>231</v>
      </c>
      <c r="HM354" t="s">
        <v>231</v>
      </c>
      <c r="HO354" t="s">
        <v>231</v>
      </c>
      <c r="HP354" t="s">
        <v>249</v>
      </c>
      <c r="HQ354" t="s">
        <v>231</v>
      </c>
      <c r="HR354" t="s">
        <v>249</v>
      </c>
      <c r="HU354" t="s">
        <v>231</v>
      </c>
      <c r="HV354" t="s">
        <v>223</v>
      </c>
      <c r="HW354" t="s">
        <v>246</v>
      </c>
      <c r="HX354" t="s">
        <v>236</v>
      </c>
      <c r="IA354" t="s">
        <v>231</v>
      </c>
      <c r="IB354" t="s">
        <v>250</v>
      </c>
      <c r="IC354" t="s">
        <v>395</v>
      </c>
      <c r="ID354" t="s">
        <v>395</v>
      </c>
      <c r="IE354" t="s">
        <v>395</v>
      </c>
      <c r="IF354" t="s">
        <v>395</v>
      </c>
      <c r="IH354" t="s">
        <v>235</v>
      </c>
    </row>
    <row r="355" spans="1:242" ht="72.5" x14ac:dyDescent="0.35">
      <c r="A355" s="310" t="s">
        <v>2027</v>
      </c>
      <c r="B355" t="s">
        <v>2028</v>
      </c>
      <c r="C355" s="310" t="s">
        <v>2029</v>
      </c>
      <c r="D355" s="316"/>
      <c r="F355" t="s">
        <v>2030</v>
      </c>
      <c r="I355" s="310" t="s">
        <v>2031</v>
      </c>
      <c r="M355" s="313"/>
      <c r="O355" t="s">
        <v>221</v>
      </c>
      <c r="P355" s="381"/>
      <c r="Q355" t="s">
        <v>221</v>
      </c>
      <c r="T355" s="8"/>
      <c r="U355" t="s">
        <v>221</v>
      </c>
      <c r="V355" s="313"/>
      <c r="W355" t="s">
        <v>301</v>
      </c>
      <c r="X355" t="s">
        <v>220</v>
      </c>
      <c r="Z355" t="s">
        <v>220</v>
      </c>
      <c r="AB355"/>
      <c r="AD355" s="8" t="s">
        <v>222</v>
      </c>
      <c r="AF355" s="8" t="s">
        <v>230</v>
      </c>
      <c r="AG355"/>
      <c r="AH355"/>
      <c r="AI355"/>
      <c r="AJ355" t="s">
        <v>221</v>
      </c>
      <c r="AK355">
        <v>0</v>
      </c>
      <c r="AL355">
        <v>1</v>
      </c>
      <c r="AM355" t="s">
        <v>221</v>
      </c>
      <c r="AN355" t="s">
        <v>249</v>
      </c>
      <c r="AO355" t="s">
        <v>221</v>
      </c>
      <c r="AP355"/>
      <c r="AQ355" t="s">
        <v>221</v>
      </c>
      <c r="AR355" t="s">
        <v>225</v>
      </c>
      <c r="AS355" t="s">
        <v>221</v>
      </c>
      <c r="AT355"/>
      <c r="AU355" t="s">
        <v>220</v>
      </c>
      <c r="AV355"/>
      <c r="AW355" s="313" t="s">
        <v>1184</v>
      </c>
      <c r="AX355" t="s">
        <v>226</v>
      </c>
      <c r="AY355" s="313" t="s">
        <v>220</v>
      </c>
      <c r="AZ355" s="313">
        <v>5.7299999999999997E-2</v>
      </c>
      <c r="BB355" s="313" t="s">
        <v>220</v>
      </c>
      <c r="BC355">
        <v>3.44E-2</v>
      </c>
      <c r="BD355" t="s">
        <v>220</v>
      </c>
      <c r="BE355">
        <v>5.3100000000000001E-2</v>
      </c>
      <c r="BF355" s="2" t="s">
        <v>220</v>
      </c>
      <c r="BH355" s="2" t="s">
        <v>228</v>
      </c>
      <c r="BI355" s="2" t="s">
        <v>2032</v>
      </c>
      <c r="BM355"/>
      <c r="BO355" t="s">
        <v>220</v>
      </c>
      <c r="BP355" s="8"/>
      <c r="BQ355" t="s">
        <v>230</v>
      </c>
      <c r="BR355" t="s">
        <v>222</v>
      </c>
      <c r="BU355" t="s">
        <v>231</v>
      </c>
      <c r="BV355" t="s">
        <v>223</v>
      </c>
      <c r="BW355" t="s">
        <v>232</v>
      </c>
      <c r="BX355" t="s">
        <v>284</v>
      </c>
      <c r="BY355" t="s">
        <v>220</v>
      </c>
      <c r="BZ355">
        <v>0.26700000000000002</v>
      </c>
      <c r="CA355" t="s">
        <v>234</v>
      </c>
      <c r="CF355" t="s">
        <v>220</v>
      </c>
      <c r="CG355">
        <v>0.15</v>
      </c>
      <c r="CH355" t="s">
        <v>220</v>
      </c>
      <c r="CI355">
        <v>6.6400000000000001E-2</v>
      </c>
      <c r="CK355"/>
      <c r="CL355"/>
      <c r="CM355"/>
      <c r="CP355" t="s">
        <v>257</v>
      </c>
      <c r="CR355" t="s">
        <v>257</v>
      </c>
      <c r="CS355" s="8"/>
      <c r="CW355" t="s">
        <v>220</v>
      </c>
      <c r="CX355" t="s">
        <v>220</v>
      </c>
      <c r="CY355" t="s">
        <v>231</v>
      </c>
      <c r="CZ355" t="s">
        <v>257</v>
      </c>
      <c r="DA355" t="s">
        <v>220</v>
      </c>
      <c r="DB355" t="s">
        <v>257</v>
      </c>
      <c r="DC355"/>
      <c r="DD355"/>
      <c r="DE355"/>
      <c r="DF355"/>
      <c r="DG355"/>
      <c r="DH355" s="323"/>
      <c r="DI355" s="323"/>
      <c r="DJ355" s="323"/>
      <c r="DL355" t="s">
        <v>257</v>
      </c>
      <c r="DM355" t="s">
        <v>220</v>
      </c>
      <c r="DN355" t="s">
        <v>257</v>
      </c>
      <c r="DO355" t="s">
        <v>220</v>
      </c>
      <c r="DP355" t="s">
        <v>257</v>
      </c>
      <c r="DS355" s="309">
        <v>274.21800000000002</v>
      </c>
      <c r="DU355" s="309">
        <v>210.28100000000001</v>
      </c>
      <c r="DW355">
        <v>14.3</v>
      </c>
      <c r="DX355" t="s">
        <v>238</v>
      </c>
      <c r="DY355">
        <v>872</v>
      </c>
      <c r="DZ355" t="s">
        <v>238</v>
      </c>
      <c r="EA355"/>
      <c r="EB355"/>
      <c r="ED355" s="410"/>
      <c r="EE355" s="1"/>
      <c r="EG355" s="410"/>
      <c r="EI355" s="410"/>
      <c r="EK355" s="1"/>
      <c r="EM355"/>
      <c r="EQ355" s="344"/>
      <c r="EU355" s="344"/>
      <c r="EW355" s="409"/>
      <c r="EY355" s="1"/>
      <c r="FA355">
        <v>137.94999999999999</v>
      </c>
      <c r="FB355" t="s">
        <v>236</v>
      </c>
      <c r="FC355" s="7">
        <v>257.39493699421968</v>
      </c>
      <c r="FD355" s="357" t="s">
        <v>225</v>
      </c>
      <c r="FE355" s="8">
        <v>78.34296427662116</v>
      </c>
      <c r="FF355" t="s">
        <v>237</v>
      </c>
      <c r="FH355" s="9">
        <v>162.70466311748919</v>
      </c>
      <c r="FI355" s="9" t="s">
        <v>225</v>
      </c>
      <c r="FJ355">
        <v>120</v>
      </c>
      <c r="FK355" t="s">
        <v>238</v>
      </c>
      <c r="FL355">
        <v>402</v>
      </c>
      <c r="FM355">
        <v>396.27803425543959</v>
      </c>
      <c r="FN355" s="5" t="s">
        <v>237</v>
      </c>
      <c r="FP355" s="6">
        <v>12</v>
      </c>
      <c r="FQ355" t="s">
        <v>450</v>
      </c>
      <c r="FS355" t="s">
        <v>240</v>
      </c>
      <c r="FT355" t="e">
        <f>FQ355=#REF!</f>
        <v>#REF!</v>
      </c>
      <c r="FU355" s="8">
        <v>1</v>
      </c>
      <c r="FV355" s="8">
        <v>10</v>
      </c>
      <c r="FW355" s="8">
        <v>10</v>
      </c>
      <c r="FX355" s="8">
        <v>10</v>
      </c>
      <c r="FY355" s="8">
        <v>3</v>
      </c>
      <c r="FZ355">
        <f t="shared" si="5"/>
        <v>3000</v>
      </c>
      <c r="GA355" s="7" t="s">
        <v>241</v>
      </c>
      <c r="GB355" s="7" t="s">
        <v>241</v>
      </c>
      <c r="GC355" s="6">
        <v>30</v>
      </c>
      <c r="GD355" s="348" t="s">
        <v>242</v>
      </c>
      <c r="GF355" s="6">
        <v>0.04</v>
      </c>
      <c r="GH355" s="7"/>
      <c r="GI355" s="441"/>
      <c r="GJ355" s="441"/>
      <c r="GK355" s="441"/>
      <c r="GL355" s="441"/>
      <c r="GM355" s="460" t="s">
        <v>2033</v>
      </c>
      <c r="GN355" s="441"/>
      <c r="GO355" s="441"/>
      <c r="GP355" s="441"/>
      <c r="GQ355" s="441"/>
      <c r="GR355" s="460" t="s">
        <v>2033</v>
      </c>
      <c r="GS355" s="441"/>
      <c r="GT355" s="441"/>
      <c r="GU355" s="441"/>
      <c r="GV355" s="441"/>
      <c r="GW355" s="441"/>
      <c r="GX355" s="441"/>
      <c r="GY355" s="441"/>
      <c r="GZ355" s="441"/>
      <c r="HA355" s="441"/>
      <c r="HB355" s="441"/>
      <c r="HC355" s="441"/>
      <c r="HD355" s="441"/>
      <c r="HE355" s="441"/>
      <c r="HF355" s="441"/>
      <c r="HG355" s="441"/>
      <c r="HH355" s="441"/>
      <c r="HI355" s="441"/>
      <c r="HJ355" s="441"/>
      <c r="HK355" s="441"/>
      <c r="HL355" s="441"/>
      <c r="HM355" s="441"/>
      <c r="HN355" s="441"/>
      <c r="HO355" s="441"/>
      <c r="HP355" s="441"/>
      <c r="HQ355" s="441"/>
      <c r="HR355" s="441"/>
      <c r="HS355" s="441"/>
      <c r="HT355" s="441"/>
      <c r="HU355" s="441"/>
      <c r="HV355" s="441"/>
      <c r="HW355" s="441"/>
      <c r="HX355" s="441"/>
      <c r="HY355" s="441"/>
      <c r="HZ355" s="441"/>
      <c r="IA355" s="441"/>
      <c r="IB355" s="441"/>
      <c r="IC355" s="441"/>
      <c r="ID355" s="441"/>
      <c r="IE355" s="441"/>
      <c r="IF355" s="441"/>
      <c r="IG355" s="459" t="s">
        <v>451</v>
      </c>
      <c r="IH355" t="s">
        <v>235</v>
      </c>
    </row>
    <row r="356" spans="1:242" ht="72.5" x14ac:dyDescent="0.35">
      <c r="A356" s="310" t="s">
        <v>2034</v>
      </c>
      <c r="B356" t="s">
        <v>2035</v>
      </c>
      <c r="C356" s="310" t="s">
        <v>2036</v>
      </c>
      <c r="D356" s="316"/>
      <c r="F356" t="s">
        <v>2037</v>
      </c>
      <c r="I356" s="310" t="s">
        <v>2038</v>
      </c>
      <c r="M356" s="313" t="s">
        <v>220</v>
      </c>
      <c r="O356"/>
      <c r="P356" s="381"/>
      <c r="Q356"/>
      <c r="T356" s="8"/>
      <c r="U356"/>
      <c r="V356" s="313"/>
      <c r="W356" t="s">
        <v>2039</v>
      </c>
      <c r="X356"/>
      <c r="Z356"/>
      <c r="AB356"/>
      <c r="AD356" s="8" t="s">
        <v>222</v>
      </c>
      <c r="AF356" s="8" t="s">
        <v>230</v>
      </c>
      <c r="AG356"/>
      <c r="AH356"/>
      <c r="AI356"/>
      <c r="AJ356" t="s">
        <v>221</v>
      </c>
      <c r="AK356">
        <v>0</v>
      </c>
      <c r="AL356">
        <v>0.67500000000000004</v>
      </c>
      <c r="AM356" t="s">
        <v>221</v>
      </c>
      <c r="AN356" t="s">
        <v>225</v>
      </c>
      <c r="AO356" t="s">
        <v>221</v>
      </c>
      <c r="AP356" t="s">
        <v>225</v>
      </c>
      <c r="AQ356" t="s">
        <v>221</v>
      </c>
      <c r="AR356" t="s">
        <v>225</v>
      </c>
      <c r="AS356" t="s">
        <v>221</v>
      </c>
      <c r="AT356" t="s">
        <v>223</v>
      </c>
      <c r="AU356" t="s">
        <v>220</v>
      </c>
      <c r="AV356"/>
      <c r="AW356" s="313" t="s">
        <v>220</v>
      </c>
      <c r="AX356" t="s">
        <v>226</v>
      </c>
      <c r="AY356" s="313" t="s">
        <v>220</v>
      </c>
      <c r="AZ356" s="313">
        <v>5.6599999999999998E-2</v>
      </c>
      <c r="BB356" s="313" t="s">
        <v>220</v>
      </c>
      <c r="BC356">
        <v>3.4299999999999997E-2</v>
      </c>
      <c r="BD356" t="s">
        <v>220</v>
      </c>
      <c r="BE356">
        <v>5.0099999999999999E-2</v>
      </c>
      <c r="BF356" s="2" t="s">
        <v>220</v>
      </c>
      <c r="BH356" s="2" t="s">
        <v>228</v>
      </c>
      <c r="BI356" s="2" t="s">
        <v>302</v>
      </c>
      <c r="BM356"/>
      <c r="BP356" s="8"/>
      <c r="BQ356" t="s">
        <v>230</v>
      </c>
      <c r="BR356" t="s">
        <v>222</v>
      </c>
      <c r="BU356" t="s">
        <v>231</v>
      </c>
      <c r="BV356" t="s">
        <v>223</v>
      </c>
      <c r="BW356" t="s">
        <v>232</v>
      </c>
      <c r="BX356" t="s">
        <v>284</v>
      </c>
      <c r="BY356" t="s">
        <v>220</v>
      </c>
      <c r="BZ356">
        <v>0.25600000000000001</v>
      </c>
      <c r="CA356" t="s">
        <v>234</v>
      </c>
      <c r="CF356" t="s">
        <v>220</v>
      </c>
      <c r="CG356">
        <v>0.13200000000000001</v>
      </c>
      <c r="CH356" t="s">
        <v>220</v>
      </c>
      <c r="CI356">
        <v>5.8400000000000001E-2</v>
      </c>
      <c r="CK356"/>
      <c r="CL356"/>
      <c r="CM356"/>
      <c r="CS356" s="8"/>
      <c r="CW356" t="s">
        <v>220</v>
      </c>
      <c r="CX356" t="s">
        <v>220</v>
      </c>
      <c r="CY356" t="s">
        <v>231</v>
      </c>
      <c r="CZ356" t="s">
        <v>220</v>
      </c>
      <c r="DA356" t="s">
        <v>220</v>
      </c>
      <c r="DB356" t="s">
        <v>220</v>
      </c>
      <c r="DC356"/>
      <c r="DD356"/>
      <c r="DE356"/>
      <c r="DF356"/>
      <c r="DG356"/>
      <c r="DH356" s="323"/>
      <c r="DI356" s="323"/>
      <c r="DJ356" s="323"/>
      <c r="DL356" t="s">
        <v>257</v>
      </c>
      <c r="DM356" t="s">
        <v>220</v>
      </c>
      <c r="DN356" t="s">
        <v>257</v>
      </c>
      <c r="DO356" t="s">
        <v>220</v>
      </c>
      <c r="DP356" t="s">
        <v>257</v>
      </c>
      <c r="DS356" s="309">
        <v>368.065</v>
      </c>
      <c r="DU356" s="309">
        <v>227.86699999999999</v>
      </c>
      <c r="DW356">
        <v>17</v>
      </c>
      <c r="DX356" t="s">
        <v>238</v>
      </c>
      <c r="DY356">
        <v>885</v>
      </c>
      <c r="DZ356" t="s">
        <v>238</v>
      </c>
      <c r="EA356"/>
      <c r="EB356"/>
      <c r="ED356" s="410"/>
      <c r="EE356" s="1"/>
      <c r="EG356" s="410"/>
      <c r="EI356" s="410"/>
      <c r="EK356" s="1"/>
      <c r="EM356"/>
      <c r="EQ356" s="344"/>
      <c r="EU356" s="344"/>
      <c r="EW356" s="409"/>
      <c r="EY356" s="1"/>
      <c r="FA356">
        <v>153.04</v>
      </c>
      <c r="FB356" t="s">
        <v>225</v>
      </c>
      <c r="FC356" s="7">
        <v>349.62300400270192</v>
      </c>
      <c r="FD356" s="357" t="s">
        <v>225</v>
      </c>
      <c r="FE356" s="8">
        <v>69.262792943736372</v>
      </c>
      <c r="FF356" t="s">
        <v>237</v>
      </c>
      <c r="FH356" s="9">
        <v>213.35361214388209</v>
      </c>
      <c r="FI356" s="9" t="s">
        <v>225</v>
      </c>
      <c r="FJ356">
        <v>138</v>
      </c>
      <c r="FK356" t="s">
        <v>238</v>
      </c>
      <c r="FL356">
        <v>430</v>
      </c>
      <c r="FM356">
        <v>390.48108374925408</v>
      </c>
      <c r="FN356" s="5" t="s">
        <v>237</v>
      </c>
      <c r="FP356" s="6">
        <v>13.8</v>
      </c>
      <c r="FQ356" t="s">
        <v>450</v>
      </c>
      <c r="FS356" t="s">
        <v>240</v>
      </c>
      <c r="FT356" t="e">
        <f>FQ356=#REF!</f>
        <v>#REF!</v>
      </c>
      <c r="FU356" s="8">
        <v>1</v>
      </c>
      <c r="FV356" s="8">
        <v>10</v>
      </c>
      <c r="FW356" s="8">
        <v>10</v>
      </c>
      <c r="FX356" s="8">
        <v>10</v>
      </c>
      <c r="FY356" s="8">
        <v>3</v>
      </c>
      <c r="FZ356">
        <f t="shared" si="5"/>
        <v>3000</v>
      </c>
      <c r="GA356" s="7" t="s">
        <v>241</v>
      </c>
      <c r="GB356" s="7" t="s">
        <v>241</v>
      </c>
      <c r="GC356" s="6">
        <v>30</v>
      </c>
      <c r="GD356" s="348" t="s">
        <v>242</v>
      </c>
      <c r="GF356" s="6">
        <v>4.6000000000000006E-2</v>
      </c>
      <c r="GH356" s="7"/>
      <c r="GI356" s="441"/>
      <c r="GJ356" s="441"/>
      <c r="GK356" s="441"/>
      <c r="GL356" s="441"/>
      <c r="GM356" s="460" t="s">
        <v>2033</v>
      </c>
      <c r="GR356" s="460" t="s">
        <v>2033</v>
      </c>
      <c r="GU356" t="s">
        <v>243</v>
      </c>
      <c r="GV356" t="s">
        <v>236</v>
      </c>
      <c r="GW356" t="s">
        <v>244</v>
      </c>
      <c r="GX356" t="s">
        <v>236</v>
      </c>
      <c r="GY356" t="s">
        <v>245</v>
      </c>
      <c r="GZ356" t="s">
        <v>376</v>
      </c>
      <c r="HB356" t="s">
        <v>376</v>
      </c>
      <c r="HE356" t="s">
        <v>247</v>
      </c>
      <c r="HF356" t="s">
        <v>249</v>
      </c>
      <c r="HG356" t="s">
        <v>317</v>
      </c>
      <c r="HH356" t="s">
        <v>223</v>
      </c>
      <c r="HI356" t="s">
        <v>247</v>
      </c>
      <c r="HJ356" t="s">
        <v>249</v>
      </c>
      <c r="HK356" t="s">
        <v>266</v>
      </c>
      <c r="HL356" t="s">
        <v>231</v>
      </c>
      <c r="HM356" t="s">
        <v>231</v>
      </c>
      <c r="HO356" t="s">
        <v>231</v>
      </c>
      <c r="HP356" t="s">
        <v>249</v>
      </c>
      <c r="HQ356" t="s">
        <v>231</v>
      </c>
      <c r="HR356" t="s">
        <v>249</v>
      </c>
      <c r="HS356" t="s">
        <v>231</v>
      </c>
      <c r="HU356" t="s">
        <v>231</v>
      </c>
      <c r="HV356" t="s">
        <v>249</v>
      </c>
      <c r="HW356" t="s">
        <v>246</v>
      </c>
      <c r="HX356" t="s">
        <v>236</v>
      </c>
      <c r="IA356" t="s">
        <v>231</v>
      </c>
      <c r="IB356" t="s">
        <v>250</v>
      </c>
      <c r="IG356" s="459" t="s">
        <v>451</v>
      </c>
      <c r="IH356" t="s">
        <v>235</v>
      </c>
    </row>
    <row r="357" spans="1:242" ht="58" x14ac:dyDescent="0.35">
      <c r="A357" s="310" t="s">
        <v>2040</v>
      </c>
      <c r="B357" t="s">
        <v>2041</v>
      </c>
      <c r="C357" s="310" t="s">
        <v>2042</v>
      </c>
      <c r="D357" s="316"/>
      <c r="F357" t="s">
        <v>2042</v>
      </c>
      <c r="I357" s="310" t="s">
        <v>2043</v>
      </c>
      <c r="M357" s="313"/>
      <c r="O357"/>
      <c r="P357" s="381"/>
      <c r="Q357"/>
      <c r="T357" s="8"/>
      <c r="U357"/>
      <c r="V357" s="313"/>
      <c r="W357" t="s">
        <v>301</v>
      </c>
      <c r="X357"/>
      <c r="Z357"/>
      <c r="AB357"/>
      <c r="AD357" s="8" t="s">
        <v>230</v>
      </c>
      <c r="AF357" s="8" t="s">
        <v>230</v>
      </c>
      <c r="AG357"/>
      <c r="AH357"/>
      <c r="AI357"/>
      <c r="AJ357" t="s">
        <v>221</v>
      </c>
      <c r="AK357">
        <v>0</v>
      </c>
      <c r="AL357">
        <v>0.82499999999999996</v>
      </c>
      <c r="AM357" t="s">
        <v>221</v>
      </c>
      <c r="AN357" t="s">
        <v>223</v>
      </c>
      <c r="AO357" t="s">
        <v>221</v>
      </c>
      <c r="AP357" t="s">
        <v>223</v>
      </c>
      <c r="AQ357" t="s">
        <v>221</v>
      </c>
      <c r="AR357" t="s">
        <v>225</v>
      </c>
      <c r="AS357" t="s">
        <v>221</v>
      </c>
      <c r="AT357" t="s">
        <v>223</v>
      </c>
      <c r="AU357" t="s">
        <v>272</v>
      </c>
      <c r="AV357"/>
      <c r="AW357" s="313" t="s">
        <v>227</v>
      </c>
      <c r="AX357" t="s">
        <v>226</v>
      </c>
      <c r="AY357" s="313" t="s">
        <v>227</v>
      </c>
      <c r="AZ357" s="313">
        <v>4.7699999999999999E-2</v>
      </c>
      <c r="BB357" s="313" t="s">
        <v>227</v>
      </c>
      <c r="BC357">
        <v>2.3900000000000001E-2</v>
      </c>
      <c r="BD357" t="s">
        <v>227</v>
      </c>
      <c r="BE357">
        <v>7.6999999999999999E-2</v>
      </c>
      <c r="BF357" s="2" t="s">
        <v>220</v>
      </c>
      <c r="BG357" s="2" t="s">
        <v>273</v>
      </c>
      <c r="BH357" s="2" t="s">
        <v>274</v>
      </c>
      <c r="BI357" s="2" t="s">
        <v>275</v>
      </c>
      <c r="BM357"/>
      <c r="BP357" s="8"/>
      <c r="BQ357" t="s">
        <v>230</v>
      </c>
      <c r="BR357" t="s">
        <v>230</v>
      </c>
      <c r="BU357" t="s">
        <v>231</v>
      </c>
      <c r="BV357" t="s">
        <v>223</v>
      </c>
      <c r="BW357" t="s">
        <v>232</v>
      </c>
      <c r="BX357" t="s">
        <v>233</v>
      </c>
      <c r="BY357" t="s">
        <v>227</v>
      </c>
      <c r="BZ357">
        <v>0.24099999999999999</v>
      </c>
      <c r="CA357" t="s">
        <v>234</v>
      </c>
      <c r="CF357" t="s">
        <v>227</v>
      </c>
      <c r="CG357">
        <v>0.128</v>
      </c>
      <c r="CH357" t="s">
        <v>227</v>
      </c>
      <c r="CI357">
        <v>0.13900000000000001</v>
      </c>
      <c r="CK357"/>
      <c r="CL357"/>
      <c r="CM357"/>
      <c r="CS357" s="8"/>
      <c r="CW357" t="s">
        <v>227</v>
      </c>
      <c r="CX357" t="s">
        <v>227</v>
      </c>
      <c r="CY357" t="s">
        <v>231</v>
      </c>
      <c r="CZ357" t="s">
        <v>227</v>
      </c>
      <c r="DA357" t="s">
        <v>227</v>
      </c>
      <c r="DB357" t="s">
        <v>227</v>
      </c>
      <c r="DC357"/>
      <c r="DD357"/>
      <c r="DE357"/>
      <c r="DF357"/>
      <c r="DG357"/>
      <c r="DH357" s="323"/>
      <c r="DI357" s="323"/>
      <c r="DJ357" s="323"/>
      <c r="DL357" t="s">
        <v>227</v>
      </c>
      <c r="DM357" t="s">
        <v>227</v>
      </c>
      <c r="DN357" t="s">
        <v>227</v>
      </c>
      <c r="DO357" t="s">
        <v>227</v>
      </c>
      <c r="DP357" t="s">
        <v>227</v>
      </c>
      <c r="DS357" s="338">
        <v>597.64700000000005</v>
      </c>
      <c r="DT357" s="8" t="s">
        <v>394</v>
      </c>
      <c r="DU357" s="309">
        <v>260.29500000000002</v>
      </c>
      <c r="DW357">
        <v>17</v>
      </c>
      <c r="DX357" t="s">
        <v>238</v>
      </c>
      <c r="DY357">
        <v>470</v>
      </c>
      <c r="DZ357" t="s">
        <v>238</v>
      </c>
      <c r="EA357"/>
      <c r="EB357"/>
      <c r="ED357" s="410"/>
      <c r="EE357" s="1"/>
      <c r="EG357" s="410"/>
      <c r="EI357" s="410"/>
      <c r="EK357" s="1"/>
      <c r="EM357"/>
      <c r="EQ357" s="344"/>
      <c r="EU357" s="344"/>
      <c r="EW357" s="409"/>
      <c r="EY357" s="1"/>
      <c r="FA357">
        <v>56.31</v>
      </c>
      <c r="FB357" t="s">
        <v>225</v>
      </c>
      <c r="FC357" s="7">
        <v>437.82443913184358</v>
      </c>
      <c r="FD357" s="357" t="s">
        <v>236</v>
      </c>
      <c r="FE357" s="8">
        <v>12.017108988505194</v>
      </c>
      <c r="FF357" t="s">
        <v>237</v>
      </c>
      <c r="FH357" s="9">
        <v>216.22205967118802</v>
      </c>
      <c r="FI357" s="9" t="s">
        <v>236</v>
      </c>
      <c r="FJ357">
        <v>48</v>
      </c>
      <c r="FK357" t="s">
        <v>238</v>
      </c>
      <c r="FL357">
        <v>84.9</v>
      </c>
      <c r="FM357">
        <v>84.178270766081297</v>
      </c>
      <c r="FN357" s="5" t="s">
        <v>237</v>
      </c>
      <c r="FP357" s="6">
        <v>4.8</v>
      </c>
      <c r="FQ357" t="s">
        <v>450</v>
      </c>
      <c r="FS357" t="s">
        <v>240</v>
      </c>
      <c r="FT357" t="e">
        <f>FQ357=#REF!</f>
        <v>#REF!</v>
      </c>
      <c r="FU357" s="8">
        <v>1</v>
      </c>
      <c r="FV357" s="8">
        <v>10</v>
      </c>
      <c r="FW357" s="8">
        <v>10</v>
      </c>
      <c r="FX357" s="8">
        <v>10</v>
      </c>
      <c r="FY357" s="8">
        <v>3</v>
      </c>
      <c r="FZ357">
        <f t="shared" si="5"/>
        <v>3000</v>
      </c>
      <c r="GA357" s="7" t="s">
        <v>241</v>
      </c>
      <c r="GB357" s="7" t="s">
        <v>241</v>
      </c>
      <c r="GC357" s="6">
        <v>30</v>
      </c>
      <c r="GD357" s="348" t="s">
        <v>242</v>
      </c>
      <c r="GF357" s="6">
        <v>1.6E-2</v>
      </c>
      <c r="GH357" s="7"/>
      <c r="GI357" s="445"/>
      <c r="GJ357" s="445"/>
      <c r="GK357" s="445"/>
      <c r="GL357" s="445"/>
      <c r="GM357" s="460" t="s">
        <v>329</v>
      </c>
      <c r="GN357" s="448"/>
      <c r="GO357" s="448"/>
      <c r="GP357" s="448"/>
      <c r="GQ357" s="448"/>
      <c r="GR357" s="460" t="s">
        <v>329</v>
      </c>
      <c r="GU357" t="s">
        <v>243</v>
      </c>
      <c r="GV357" t="s">
        <v>236</v>
      </c>
      <c r="GW357" t="s">
        <v>244</v>
      </c>
      <c r="GX357" t="s">
        <v>236</v>
      </c>
      <c r="GY357" t="s">
        <v>245</v>
      </c>
      <c r="HE357" t="s">
        <v>246</v>
      </c>
      <c r="HF357" t="s">
        <v>236</v>
      </c>
      <c r="HG357" t="s">
        <v>231</v>
      </c>
      <c r="HH357" t="s">
        <v>236</v>
      </c>
      <c r="HI357" t="s">
        <v>247</v>
      </c>
      <c r="HJ357" t="s">
        <v>223</v>
      </c>
      <c r="HK357" t="s">
        <v>266</v>
      </c>
      <c r="HL357" t="s">
        <v>231</v>
      </c>
      <c r="HM357" t="s">
        <v>231</v>
      </c>
      <c r="HO357" t="s">
        <v>231</v>
      </c>
      <c r="HP357" t="s">
        <v>249</v>
      </c>
      <c r="HQ357" t="s">
        <v>231</v>
      </c>
      <c r="HR357" t="s">
        <v>249</v>
      </c>
      <c r="HU357" t="s">
        <v>231</v>
      </c>
      <c r="HV357" t="s">
        <v>223</v>
      </c>
      <c r="HW357" t="s">
        <v>246</v>
      </c>
      <c r="HX357" t="s">
        <v>236</v>
      </c>
      <c r="IA357" t="s">
        <v>231</v>
      </c>
      <c r="IB357" t="s">
        <v>250</v>
      </c>
      <c r="IC357" s="447"/>
      <c r="ID357" s="447"/>
      <c r="IE357" s="447"/>
      <c r="IF357" s="447"/>
      <c r="IG357" s="459" t="s">
        <v>451</v>
      </c>
      <c r="IH357" t="s">
        <v>235</v>
      </c>
    </row>
    <row r="358" spans="1:242" ht="58" x14ac:dyDescent="0.35">
      <c r="A358" s="310" t="s">
        <v>2044</v>
      </c>
      <c r="B358" t="s">
        <v>2045</v>
      </c>
      <c r="C358" s="310" t="s">
        <v>2046</v>
      </c>
      <c r="D358" s="316"/>
      <c r="F358" t="s">
        <v>2046</v>
      </c>
      <c r="I358" s="310" t="s">
        <v>2047</v>
      </c>
      <c r="M358" s="313"/>
      <c r="O358"/>
      <c r="P358" s="381"/>
      <c r="Q358"/>
      <c r="T358" s="8"/>
      <c r="U358"/>
      <c r="V358" s="313"/>
      <c r="W358" t="s">
        <v>301</v>
      </c>
      <c r="X358"/>
      <c r="Z358"/>
      <c r="AB358"/>
      <c r="AD358" s="8" t="s">
        <v>230</v>
      </c>
      <c r="AF358" s="8" t="s">
        <v>230</v>
      </c>
      <c r="AG358"/>
      <c r="AH358"/>
      <c r="AI358"/>
      <c r="AJ358" t="s">
        <v>221</v>
      </c>
      <c r="AK358">
        <v>0</v>
      </c>
      <c r="AL358">
        <v>0.82499999999999996</v>
      </c>
      <c r="AM358" t="s">
        <v>221</v>
      </c>
      <c r="AN358" t="s">
        <v>223</v>
      </c>
      <c r="AO358" t="s">
        <v>221</v>
      </c>
      <c r="AP358" t="s">
        <v>223</v>
      </c>
      <c r="AQ358" t="s">
        <v>221</v>
      </c>
      <c r="AR358" t="s">
        <v>225</v>
      </c>
      <c r="AS358" t="s">
        <v>221</v>
      </c>
      <c r="AT358" t="s">
        <v>223</v>
      </c>
      <c r="AU358" t="s">
        <v>272</v>
      </c>
      <c r="AV358"/>
      <c r="AW358" s="313" t="s">
        <v>227</v>
      </c>
      <c r="AX358" t="s">
        <v>226</v>
      </c>
      <c r="AY358" s="313" t="s">
        <v>227</v>
      </c>
      <c r="AZ358" s="313">
        <v>4.7399999999999998E-2</v>
      </c>
      <c r="BB358" s="313" t="s">
        <v>227</v>
      </c>
      <c r="BC358">
        <v>2.3900000000000001E-2</v>
      </c>
      <c r="BD358" t="s">
        <v>227</v>
      </c>
      <c r="BE358">
        <v>7.4899999999999994E-2</v>
      </c>
      <c r="BF358" s="2" t="s">
        <v>220</v>
      </c>
      <c r="BG358" s="2" t="s">
        <v>273</v>
      </c>
      <c r="BH358" s="2" t="s">
        <v>274</v>
      </c>
      <c r="BI358" s="2" t="s">
        <v>275</v>
      </c>
      <c r="BM358"/>
      <c r="BP358" s="8"/>
      <c r="BQ358" t="s">
        <v>230</v>
      </c>
      <c r="BR358" t="s">
        <v>222</v>
      </c>
      <c r="BU358" t="s">
        <v>231</v>
      </c>
      <c r="BV358" t="s">
        <v>223</v>
      </c>
      <c r="BW358" t="s">
        <v>232</v>
      </c>
      <c r="BX358" t="s">
        <v>500</v>
      </c>
      <c r="BY358" t="s">
        <v>227</v>
      </c>
      <c r="BZ358">
        <v>0.23599999999999999</v>
      </c>
      <c r="CA358" t="s">
        <v>234</v>
      </c>
      <c r="CF358" t="s">
        <v>227</v>
      </c>
      <c r="CG358">
        <v>0.12</v>
      </c>
      <c r="CH358" t="s">
        <v>227</v>
      </c>
      <c r="CI358">
        <v>0.13100000000000001</v>
      </c>
      <c r="CK358"/>
      <c r="CL358"/>
      <c r="CM358"/>
      <c r="CS358" s="8"/>
      <c r="CW358" t="s">
        <v>227</v>
      </c>
      <c r="CX358" t="s">
        <v>227</v>
      </c>
      <c r="CY358" t="s">
        <v>231</v>
      </c>
      <c r="CZ358" t="s">
        <v>227</v>
      </c>
      <c r="DA358" t="s">
        <v>227</v>
      </c>
      <c r="DB358" t="s">
        <v>227</v>
      </c>
      <c r="DC358"/>
      <c r="DD358"/>
      <c r="DE358"/>
      <c r="DF358"/>
      <c r="DG358"/>
      <c r="DH358" s="323"/>
      <c r="DI358" s="323"/>
      <c r="DJ358" s="323"/>
      <c r="DL358" t="s">
        <v>227</v>
      </c>
      <c r="DM358" t="s">
        <v>227</v>
      </c>
      <c r="DN358" t="s">
        <v>227</v>
      </c>
      <c r="DO358" t="s">
        <v>227</v>
      </c>
      <c r="DP358" t="s">
        <v>227</v>
      </c>
      <c r="DS358" s="338">
        <v>686.82100000000003</v>
      </c>
      <c r="DT358" s="8" t="s">
        <v>394</v>
      </c>
      <c r="DU358" s="309">
        <v>269.512</v>
      </c>
      <c r="DW358">
        <v>19.2</v>
      </c>
      <c r="DX358" t="s">
        <v>238</v>
      </c>
      <c r="DY358">
        <v>474</v>
      </c>
      <c r="DZ358" t="s">
        <v>238</v>
      </c>
      <c r="EA358"/>
      <c r="EB358"/>
      <c r="ED358" s="410"/>
      <c r="EE358" s="1"/>
      <c r="EG358" s="410"/>
      <c r="EI358" s="410"/>
      <c r="EK358" s="1"/>
      <c r="EM358"/>
      <c r="EQ358" s="344"/>
      <c r="EU358" s="344"/>
      <c r="EW358" s="409"/>
      <c r="EY358" s="1"/>
      <c r="FA358">
        <v>59.31</v>
      </c>
      <c r="FB358" t="s">
        <v>225</v>
      </c>
      <c r="FC358" s="7">
        <v>510.26995785943944</v>
      </c>
      <c r="FD358" s="357" t="s">
        <v>236</v>
      </c>
      <c r="FE358" s="8">
        <v>11.29795914672798</v>
      </c>
      <c r="FF358" t="s">
        <v>237</v>
      </c>
      <c r="FH358" s="9">
        <v>247.57113060442904</v>
      </c>
      <c r="FI358" s="9" t="s">
        <v>236</v>
      </c>
      <c r="FJ358">
        <v>50.8</v>
      </c>
      <c r="FK358" t="s">
        <v>238</v>
      </c>
      <c r="FL358">
        <v>84.6</v>
      </c>
      <c r="FM358">
        <v>83.560301823124789</v>
      </c>
      <c r="FN358" s="5" t="s">
        <v>237</v>
      </c>
      <c r="FP358" s="6">
        <v>5.08</v>
      </c>
      <c r="FQ358" t="s">
        <v>450</v>
      </c>
      <c r="FS358" t="s">
        <v>240</v>
      </c>
      <c r="FT358" t="e">
        <f>FQ358=#REF!</f>
        <v>#REF!</v>
      </c>
      <c r="FU358" s="8">
        <v>1</v>
      </c>
      <c r="FV358" s="8">
        <v>10</v>
      </c>
      <c r="FW358" s="8">
        <v>10</v>
      </c>
      <c r="FX358" s="8">
        <v>10</v>
      </c>
      <c r="FY358" s="8">
        <v>3</v>
      </c>
      <c r="FZ358">
        <f t="shared" si="5"/>
        <v>3000</v>
      </c>
      <c r="GA358" s="7" t="s">
        <v>241</v>
      </c>
      <c r="GB358" s="7" t="s">
        <v>241</v>
      </c>
      <c r="GC358" s="6">
        <v>30</v>
      </c>
      <c r="GD358" s="348" t="s">
        <v>242</v>
      </c>
      <c r="GF358" s="6">
        <v>1.6933333333333335E-2</v>
      </c>
      <c r="GH358" s="7"/>
      <c r="GI358" s="445"/>
      <c r="GJ358" s="445"/>
      <c r="GK358" s="445"/>
      <c r="GL358" s="445"/>
      <c r="GM358" s="460" t="s">
        <v>329</v>
      </c>
      <c r="GN358" s="448"/>
      <c r="GO358" s="448"/>
      <c r="GP358" s="448"/>
      <c r="GQ358" s="448"/>
      <c r="GR358" s="460" t="s">
        <v>329</v>
      </c>
      <c r="GU358" t="s">
        <v>243</v>
      </c>
      <c r="GV358" t="s">
        <v>236</v>
      </c>
      <c r="GW358" t="s">
        <v>244</v>
      </c>
      <c r="GX358" t="s">
        <v>236</v>
      </c>
      <c r="GY358" t="s">
        <v>245</v>
      </c>
      <c r="HE358" t="s">
        <v>246</v>
      </c>
      <c r="HF358" t="s">
        <v>236</v>
      </c>
      <c r="HG358" t="s">
        <v>231</v>
      </c>
      <c r="HH358" t="s">
        <v>236</v>
      </c>
      <c r="HI358" t="s">
        <v>247</v>
      </c>
      <c r="HJ358" t="s">
        <v>223</v>
      </c>
      <c r="HK358" t="s">
        <v>266</v>
      </c>
      <c r="HO358" t="s">
        <v>231</v>
      </c>
      <c r="HP358" t="s">
        <v>223</v>
      </c>
      <c r="HQ358" t="s">
        <v>231</v>
      </c>
      <c r="HR358" t="s">
        <v>223</v>
      </c>
      <c r="HU358" t="s">
        <v>231</v>
      </c>
      <c r="HV358" t="s">
        <v>223</v>
      </c>
      <c r="HW358" t="s">
        <v>246</v>
      </c>
      <c r="HX358" t="s">
        <v>236</v>
      </c>
      <c r="IA358" t="s">
        <v>231</v>
      </c>
      <c r="IB358" t="s">
        <v>250</v>
      </c>
      <c r="IC358" s="447"/>
      <c r="ID358" s="447"/>
      <c r="IE358" s="447"/>
      <c r="IF358" s="447"/>
      <c r="IG358" s="459" t="s">
        <v>451</v>
      </c>
      <c r="IH358" t="s">
        <v>235</v>
      </c>
    </row>
    <row r="359" spans="1:242" ht="58" x14ac:dyDescent="0.35">
      <c r="A359" s="310" t="s">
        <v>2048</v>
      </c>
      <c r="B359" t="s">
        <v>2049</v>
      </c>
      <c r="C359" s="310" t="s">
        <v>2050</v>
      </c>
      <c r="D359" s="316"/>
      <c r="F359" t="s">
        <v>2050</v>
      </c>
      <c r="I359" s="310" t="s">
        <v>2051</v>
      </c>
      <c r="M359" s="313"/>
      <c r="O359"/>
      <c r="P359" s="381"/>
      <c r="Q359"/>
      <c r="T359" s="8"/>
      <c r="U359"/>
      <c r="V359" s="313"/>
      <c r="W359" t="s">
        <v>220</v>
      </c>
      <c r="X359" t="s">
        <v>220</v>
      </c>
      <c r="Z359" t="s">
        <v>220</v>
      </c>
      <c r="AB359"/>
      <c r="AD359" s="8" t="s">
        <v>222</v>
      </c>
      <c r="AF359" s="8" t="s">
        <v>230</v>
      </c>
      <c r="AG359"/>
      <c r="AH359"/>
      <c r="AI359"/>
      <c r="AJ359" t="s">
        <v>221</v>
      </c>
      <c r="AK359">
        <v>0</v>
      </c>
      <c r="AL359">
        <v>0.82499999999999996</v>
      </c>
      <c r="AM359" t="s">
        <v>221</v>
      </c>
      <c r="AN359" t="s">
        <v>223</v>
      </c>
      <c r="AO359" t="s">
        <v>221</v>
      </c>
      <c r="AP359" t="s">
        <v>223</v>
      </c>
      <c r="AQ359" t="s">
        <v>221</v>
      </c>
      <c r="AR359" t="s">
        <v>225</v>
      </c>
      <c r="AS359" t="s">
        <v>221</v>
      </c>
      <c r="AT359" t="s">
        <v>223</v>
      </c>
      <c r="AU359" t="s">
        <v>220</v>
      </c>
      <c r="AV359"/>
      <c r="AW359" s="313" t="s">
        <v>220</v>
      </c>
      <c r="AX359" t="s">
        <v>226</v>
      </c>
      <c r="AY359" s="313" t="s">
        <v>220</v>
      </c>
      <c r="AZ359" s="313">
        <v>4.8599999999999997E-2</v>
      </c>
      <c r="BB359" s="313" t="s">
        <v>220</v>
      </c>
      <c r="BC359">
        <v>2.4E-2</v>
      </c>
      <c r="BD359" t="s">
        <v>227</v>
      </c>
      <c r="BE359">
        <v>8.3799999999999999E-2</v>
      </c>
      <c r="BF359" s="2" t="s">
        <v>220</v>
      </c>
      <c r="BH359" s="2" t="s">
        <v>228</v>
      </c>
      <c r="BI359" s="2" t="s">
        <v>392</v>
      </c>
      <c r="BM359"/>
      <c r="BP359" s="8"/>
      <c r="BQ359" t="s">
        <v>230</v>
      </c>
      <c r="BR359" t="s">
        <v>222</v>
      </c>
      <c r="BU359" t="s">
        <v>231</v>
      </c>
      <c r="BV359" t="s">
        <v>223</v>
      </c>
      <c r="BW359" t="s">
        <v>232</v>
      </c>
      <c r="BX359" t="s">
        <v>233</v>
      </c>
      <c r="BY359" t="s">
        <v>227</v>
      </c>
      <c r="BZ359">
        <v>0.25800000000000001</v>
      </c>
      <c r="CA359" t="s">
        <v>234</v>
      </c>
      <c r="CF359" t="s">
        <v>227</v>
      </c>
      <c r="CG359">
        <v>0.154</v>
      </c>
      <c r="CH359" t="s">
        <v>227</v>
      </c>
      <c r="CI359">
        <v>0.16600000000000001</v>
      </c>
      <c r="CK359"/>
      <c r="CL359"/>
      <c r="CM359"/>
      <c r="CS359" s="8"/>
      <c r="CW359" t="s">
        <v>227</v>
      </c>
      <c r="CX359" t="s">
        <v>227</v>
      </c>
      <c r="CY359" t="s">
        <v>231</v>
      </c>
      <c r="CZ359" t="s">
        <v>227</v>
      </c>
      <c r="DA359" t="s">
        <v>227</v>
      </c>
      <c r="DB359" t="s">
        <v>227</v>
      </c>
      <c r="DC359"/>
      <c r="DD359"/>
      <c r="DE359"/>
      <c r="DF359"/>
      <c r="DG359"/>
      <c r="DH359" s="323"/>
      <c r="DI359" s="323"/>
      <c r="DJ359" s="323"/>
      <c r="DL359" t="s">
        <v>227</v>
      </c>
      <c r="DM359" t="s">
        <v>227</v>
      </c>
      <c r="DN359" t="s">
        <v>227</v>
      </c>
      <c r="DO359" t="s">
        <v>227</v>
      </c>
      <c r="DP359" t="s">
        <v>227</v>
      </c>
      <c r="DS359" s="309">
        <v>388.15300000000002</v>
      </c>
      <c r="DU359" s="309">
        <v>232.12899999999999</v>
      </c>
      <c r="DW359">
        <v>13</v>
      </c>
      <c r="DX359" t="s">
        <v>238</v>
      </c>
      <c r="DY359">
        <v>420</v>
      </c>
      <c r="DZ359" t="s">
        <v>238</v>
      </c>
      <c r="EA359"/>
      <c r="EB359"/>
      <c r="ED359" s="410"/>
      <c r="EE359" s="1"/>
      <c r="EG359" s="410"/>
      <c r="EI359" s="410"/>
      <c r="EK359" s="1"/>
      <c r="EM359"/>
      <c r="EQ359" s="344"/>
      <c r="EU359" s="344"/>
      <c r="EW359" s="409"/>
      <c r="EY359" s="1"/>
      <c r="FA359">
        <v>48.19</v>
      </c>
      <c r="FB359" t="s">
        <v>225</v>
      </c>
      <c r="FC359" s="7">
        <v>276.56677150501531</v>
      </c>
      <c r="FD359" s="357" t="s">
        <v>236</v>
      </c>
      <c r="FE359" s="8">
        <v>14.454397707459275</v>
      </c>
      <c r="FF359" t="s">
        <v>237</v>
      </c>
      <c r="FH359" s="9">
        <v>144.01243711755711</v>
      </c>
      <c r="FI359" s="9" t="s">
        <v>236</v>
      </c>
      <c r="FJ359">
        <v>37.1</v>
      </c>
      <c r="FK359" t="s">
        <v>238</v>
      </c>
      <c r="FL359">
        <v>84.3</v>
      </c>
      <c r="FM359">
        <v>86.079552386946133</v>
      </c>
      <c r="FN359" s="5" t="s">
        <v>237</v>
      </c>
      <c r="FP359" s="6">
        <v>3.71</v>
      </c>
      <c r="FQ359" t="s">
        <v>450</v>
      </c>
      <c r="FS359" t="s">
        <v>240</v>
      </c>
      <c r="FT359" t="e">
        <f>FQ359=#REF!</f>
        <v>#REF!</v>
      </c>
      <c r="FU359" s="8">
        <v>1</v>
      </c>
      <c r="FV359" s="8">
        <v>10</v>
      </c>
      <c r="FW359" s="8">
        <v>10</v>
      </c>
      <c r="FX359" s="8">
        <v>10</v>
      </c>
      <c r="FY359" s="8">
        <v>3</v>
      </c>
      <c r="FZ359">
        <f t="shared" si="5"/>
        <v>3000</v>
      </c>
      <c r="GA359" s="7" t="s">
        <v>241</v>
      </c>
      <c r="GB359" s="7" t="s">
        <v>241</v>
      </c>
      <c r="GC359" s="6">
        <v>30</v>
      </c>
      <c r="GD359" s="348" t="s">
        <v>242</v>
      </c>
      <c r="GF359" s="6">
        <v>1.2366666666666666E-2</v>
      </c>
      <c r="GH359" s="7"/>
      <c r="GI359" s="445"/>
      <c r="GJ359" s="445"/>
      <c r="GK359" s="445"/>
      <c r="GL359" s="445"/>
      <c r="GM359" s="460" t="s">
        <v>329</v>
      </c>
      <c r="GN359" s="448"/>
      <c r="GO359" s="448"/>
      <c r="GP359" s="448"/>
      <c r="GQ359" s="448"/>
      <c r="GR359" s="460" t="s">
        <v>329</v>
      </c>
      <c r="GU359" t="s">
        <v>243</v>
      </c>
      <c r="GV359" t="s">
        <v>236</v>
      </c>
      <c r="GW359" t="s">
        <v>244</v>
      </c>
      <c r="GX359" t="s">
        <v>236</v>
      </c>
      <c r="GY359" t="s">
        <v>245</v>
      </c>
      <c r="HE359" t="s">
        <v>246</v>
      </c>
      <c r="HF359" t="s">
        <v>236</v>
      </c>
      <c r="HG359" t="s">
        <v>231</v>
      </c>
      <c r="HH359" t="s">
        <v>236</v>
      </c>
      <c r="HI359" t="s">
        <v>247</v>
      </c>
      <c r="HJ359" t="s">
        <v>223</v>
      </c>
      <c r="HK359" t="s">
        <v>266</v>
      </c>
      <c r="HL359" t="s">
        <v>231</v>
      </c>
      <c r="HM359" t="s">
        <v>231</v>
      </c>
      <c r="HO359" t="s">
        <v>231</v>
      </c>
      <c r="HP359" t="s">
        <v>249</v>
      </c>
      <c r="HQ359" t="s">
        <v>231</v>
      </c>
      <c r="HR359" t="s">
        <v>249</v>
      </c>
      <c r="HU359" t="s">
        <v>231</v>
      </c>
      <c r="HV359" t="s">
        <v>223</v>
      </c>
      <c r="HW359" t="s">
        <v>246</v>
      </c>
      <c r="HX359" t="s">
        <v>236</v>
      </c>
      <c r="IA359" t="s">
        <v>231</v>
      </c>
      <c r="IB359" t="s">
        <v>250</v>
      </c>
      <c r="IC359" s="447"/>
      <c r="ID359" s="447"/>
      <c r="IE359" s="447"/>
      <c r="IF359" s="447"/>
      <c r="IG359" s="459" t="s">
        <v>451</v>
      </c>
      <c r="IH359" t="s">
        <v>235</v>
      </c>
    </row>
    <row r="360" spans="1:242" ht="58" x14ac:dyDescent="0.35">
      <c r="A360" s="310" t="s">
        <v>2052</v>
      </c>
      <c r="B360" t="s">
        <v>2053</v>
      </c>
      <c r="C360" s="310" t="s">
        <v>2054</v>
      </c>
      <c r="D360" s="316"/>
      <c r="F360" t="s">
        <v>2054</v>
      </c>
      <c r="I360" s="310" t="s">
        <v>2055</v>
      </c>
      <c r="M360" s="313"/>
      <c r="O360" t="s">
        <v>221</v>
      </c>
      <c r="P360" s="381"/>
      <c r="Q360" t="s">
        <v>221</v>
      </c>
      <c r="T360" s="8"/>
      <c r="U360" t="s">
        <v>221</v>
      </c>
      <c r="V360" s="313"/>
      <c r="W360" t="s">
        <v>220</v>
      </c>
      <c r="X360" t="s">
        <v>220</v>
      </c>
      <c r="Z360" t="s">
        <v>220</v>
      </c>
      <c r="AB360"/>
      <c r="AD360" s="8" t="s">
        <v>222</v>
      </c>
      <c r="AF360" s="8" t="s">
        <v>291</v>
      </c>
      <c r="AG360"/>
      <c r="AH360"/>
      <c r="AI360"/>
      <c r="AJ360" t="s">
        <v>221</v>
      </c>
      <c r="AK360">
        <v>0</v>
      </c>
      <c r="AL360">
        <v>1</v>
      </c>
      <c r="AM360" t="s">
        <v>221</v>
      </c>
      <c r="AN360" t="s">
        <v>249</v>
      </c>
      <c r="AO360" t="s">
        <v>221</v>
      </c>
      <c r="AP360"/>
      <c r="AQ360" t="s">
        <v>221</v>
      </c>
      <c r="AR360" t="s">
        <v>225</v>
      </c>
      <c r="AS360" t="s">
        <v>221</v>
      </c>
      <c r="AT360"/>
      <c r="AU360" t="s">
        <v>220</v>
      </c>
      <c r="AV360"/>
      <c r="AW360" s="313" t="s">
        <v>220</v>
      </c>
      <c r="AX360" t="s">
        <v>226</v>
      </c>
      <c r="AY360" s="313" t="s">
        <v>220</v>
      </c>
      <c r="AZ360" s="313">
        <v>4.99E-2</v>
      </c>
      <c r="BB360" s="313" t="s">
        <v>220</v>
      </c>
      <c r="BC360">
        <v>2.4199999999999999E-2</v>
      </c>
      <c r="BD360" t="s">
        <v>227</v>
      </c>
      <c r="BE360">
        <v>9.3700000000000006E-2</v>
      </c>
      <c r="BF360" s="2" t="s">
        <v>220</v>
      </c>
      <c r="BH360" s="2" t="s">
        <v>228</v>
      </c>
      <c r="BI360" s="2" t="s">
        <v>2056</v>
      </c>
      <c r="BM360"/>
      <c r="BP360" s="8"/>
      <c r="BQ360" t="s">
        <v>230</v>
      </c>
      <c r="BR360" t="s">
        <v>222</v>
      </c>
      <c r="BU360" t="s">
        <v>231</v>
      </c>
      <c r="BV360" t="s">
        <v>223</v>
      </c>
      <c r="BW360" t="s">
        <v>232</v>
      </c>
      <c r="BX360" t="s">
        <v>276</v>
      </c>
      <c r="BY360" t="s">
        <v>227</v>
      </c>
      <c r="BZ360">
        <v>0.27900000000000003</v>
      </c>
      <c r="CA360" t="s">
        <v>234</v>
      </c>
      <c r="CF360" t="s">
        <v>227</v>
      </c>
      <c r="CG360">
        <v>0.19600000000000001</v>
      </c>
      <c r="CH360" t="s">
        <v>227</v>
      </c>
      <c r="CI360">
        <v>0.20699999999999999</v>
      </c>
      <c r="CK360"/>
      <c r="CL360"/>
      <c r="CM360"/>
      <c r="CS360" s="8"/>
      <c r="CW360" t="s">
        <v>227</v>
      </c>
      <c r="CX360" t="s">
        <v>227</v>
      </c>
      <c r="CY360" t="s">
        <v>231</v>
      </c>
      <c r="CZ360" t="s">
        <v>227</v>
      </c>
      <c r="DA360" t="s">
        <v>227</v>
      </c>
      <c r="DB360" t="s">
        <v>227</v>
      </c>
      <c r="DC360"/>
      <c r="DD360"/>
      <c r="DE360"/>
      <c r="DF360"/>
      <c r="DG360"/>
      <c r="DH360" s="323"/>
      <c r="DI360" s="323"/>
      <c r="DJ360" s="323"/>
      <c r="DL360" t="s">
        <v>227</v>
      </c>
      <c r="DM360" t="s">
        <v>227</v>
      </c>
      <c r="DN360" t="s">
        <v>227</v>
      </c>
      <c r="DO360" t="s">
        <v>227</v>
      </c>
      <c r="DP360" t="s">
        <v>227</v>
      </c>
      <c r="DS360" s="309">
        <v>211.43299999999999</v>
      </c>
      <c r="DU360" s="309">
        <v>196.36500000000001</v>
      </c>
      <c r="DW360">
        <v>9.25</v>
      </c>
      <c r="DX360" t="s">
        <v>238</v>
      </c>
      <c r="DY360">
        <v>281</v>
      </c>
      <c r="DZ360" t="s">
        <v>238</v>
      </c>
      <c r="EA360"/>
      <c r="EB360"/>
      <c r="ED360" s="410"/>
      <c r="EE360" s="1"/>
      <c r="EG360" s="410"/>
      <c r="EI360" s="410"/>
      <c r="EK360" s="1">
        <v>1000</v>
      </c>
      <c r="EL360" s="8" t="s">
        <v>323</v>
      </c>
      <c r="EM360"/>
      <c r="EQ360" s="344"/>
      <c r="EU360" s="344"/>
      <c r="EW360" s="409"/>
      <c r="EY360" s="1"/>
      <c r="FA360">
        <v>39.15</v>
      </c>
      <c r="FB360" t="s">
        <v>225</v>
      </c>
      <c r="FC360" s="7">
        <v>149.89943641122073</v>
      </c>
      <c r="FD360" s="357" t="s">
        <v>236</v>
      </c>
      <c r="FE360" s="8">
        <v>18.488428581619846</v>
      </c>
      <c r="FF360" t="s">
        <v>237</v>
      </c>
      <c r="FH360" s="9">
        <v>83.772215257505906</v>
      </c>
      <c r="FI360" s="9" t="s">
        <v>236</v>
      </c>
      <c r="FJ360">
        <v>27.7</v>
      </c>
      <c r="FK360" t="s">
        <v>238</v>
      </c>
      <c r="FL360">
        <v>79.2</v>
      </c>
      <c r="FM360">
        <v>88.674755565404212</v>
      </c>
      <c r="FN360" s="5" t="s">
        <v>237</v>
      </c>
      <c r="FP360" s="6">
        <v>1000</v>
      </c>
      <c r="FQ360" t="s">
        <v>260</v>
      </c>
      <c r="FS360" t="s">
        <v>261</v>
      </c>
      <c r="FT360" t="e">
        <f>FQ360=#REF!</f>
        <v>#REF!</v>
      </c>
      <c r="FU360" s="8">
        <v>1</v>
      </c>
      <c r="FV360" s="8">
        <v>10</v>
      </c>
      <c r="FW360" s="8">
        <v>10</v>
      </c>
      <c r="FX360" s="8">
        <v>1</v>
      </c>
      <c r="FY360" s="8">
        <v>1</v>
      </c>
      <c r="FZ360">
        <f t="shared" si="5"/>
        <v>100</v>
      </c>
      <c r="GA360" s="7" t="s">
        <v>241</v>
      </c>
      <c r="GB360" s="7" t="s">
        <v>241</v>
      </c>
      <c r="GC360" s="6">
        <v>30</v>
      </c>
      <c r="GD360" s="348" t="s">
        <v>242</v>
      </c>
      <c r="GF360" s="6">
        <v>2.7699999999999999E-2</v>
      </c>
      <c r="GH360" s="7"/>
      <c r="GI360" s="445"/>
      <c r="GJ360" s="445"/>
      <c r="GK360" s="445"/>
      <c r="GL360" s="445"/>
      <c r="GM360" s="460" t="s">
        <v>329</v>
      </c>
      <c r="GN360" s="448"/>
      <c r="GO360" s="448"/>
      <c r="GP360" s="448"/>
      <c r="GQ360" s="448"/>
      <c r="GR360" s="460" t="s">
        <v>329</v>
      </c>
      <c r="GU360" t="s">
        <v>243</v>
      </c>
      <c r="GV360" t="s">
        <v>236</v>
      </c>
      <c r="GW360" t="s">
        <v>244</v>
      </c>
      <c r="GX360" t="s">
        <v>236</v>
      </c>
      <c r="GY360" t="s">
        <v>245</v>
      </c>
      <c r="GZ360" t="s">
        <v>376</v>
      </c>
      <c r="HB360" t="s">
        <v>376</v>
      </c>
      <c r="HE360" t="s">
        <v>247</v>
      </c>
      <c r="HF360" t="s">
        <v>249</v>
      </c>
      <c r="HG360" t="s">
        <v>231</v>
      </c>
      <c r="HH360" t="s">
        <v>225</v>
      </c>
      <c r="HI360" t="s">
        <v>247</v>
      </c>
      <c r="HJ360" t="s">
        <v>249</v>
      </c>
      <c r="HK360" t="s">
        <v>266</v>
      </c>
      <c r="HL360" t="s">
        <v>231</v>
      </c>
      <c r="HM360" t="s">
        <v>231</v>
      </c>
      <c r="HO360" t="s">
        <v>231</v>
      </c>
      <c r="HP360" t="s">
        <v>249</v>
      </c>
      <c r="HQ360" t="s">
        <v>231</v>
      </c>
      <c r="HR360" t="s">
        <v>249</v>
      </c>
      <c r="HU360" t="s">
        <v>231</v>
      </c>
      <c r="HV360" t="s">
        <v>223</v>
      </c>
      <c r="HW360" t="s">
        <v>246</v>
      </c>
      <c r="HX360" t="s">
        <v>236</v>
      </c>
      <c r="IA360" t="s">
        <v>231</v>
      </c>
      <c r="IB360" t="s">
        <v>250</v>
      </c>
      <c r="IC360" s="447"/>
      <c r="ID360" s="447"/>
      <c r="IE360" s="447"/>
      <c r="IF360" s="447"/>
      <c r="IG360" s="459" t="s">
        <v>451</v>
      </c>
      <c r="IH360" t="s">
        <v>235</v>
      </c>
    </row>
    <row r="361" spans="1:242" x14ac:dyDescent="0.35">
      <c r="A361" s="310" t="s">
        <v>2057</v>
      </c>
      <c r="B361" t="s">
        <v>2058</v>
      </c>
      <c r="C361" s="310" t="s">
        <v>2059</v>
      </c>
      <c r="D361" s="316"/>
      <c r="F361" t="s">
        <v>2060</v>
      </c>
      <c r="I361" s="310" t="s">
        <v>2061</v>
      </c>
      <c r="M361" s="313"/>
      <c r="O361"/>
      <c r="P361" s="381"/>
      <c r="Q361"/>
      <c r="T361" s="8"/>
      <c r="U361"/>
      <c r="V361" s="313"/>
      <c r="W361"/>
      <c r="X361"/>
      <c r="Z361"/>
      <c r="AB361"/>
      <c r="AD361" s="8" t="s">
        <v>230</v>
      </c>
      <c r="AF361" s="8" t="s">
        <v>230</v>
      </c>
      <c r="AG361"/>
      <c r="AH361"/>
      <c r="AI361"/>
      <c r="AJ361" t="s">
        <v>221</v>
      </c>
      <c r="AK361">
        <v>0</v>
      </c>
      <c r="AL361">
        <v>0.82499999999999996</v>
      </c>
      <c r="AM361" t="s">
        <v>221</v>
      </c>
      <c r="AN361" t="s">
        <v>223</v>
      </c>
      <c r="AO361" t="s">
        <v>221</v>
      </c>
      <c r="AP361" t="s">
        <v>223</v>
      </c>
      <c r="AQ361" t="s">
        <v>221</v>
      </c>
      <c r="AR361" t="s">
        <v>225</v>
      </c>
      <c r="AS361" t="s">
        <v>221</v>
      </c>
      <c r="AT361" t="s">
        <v>223</v>
      </c>
      <c r="AU361" t="s">
        <v>220</v>
      </c>
      <c r="AV361"/>
      <c r="AW361" s="313" t="s">
        <v>220</v>
      </c>
      <c r="AX361" t="s">
        <v>226</v>
      </c>
      <c r="AY361" s="313" t="s">
        <v>220</v>
      </c>
      <c r="AZ361" s="313">
        <v>4.6600000000000003E-2</v>
      </c>
      <c r="BB361" s="313" t="s">
        <v>220</v>
      </c>
      <c r="BC361">
        <v>2.47E-2</v>
      </c>
      <c r="BD361" t="s">
        <v>220</v>
      </c>
      <c r="BE361">
        <v>7.0300000000000001E-2</v>
      </c>
      <c r="BF361" s="2" t="s">
        <v>220</v>
      </c>
      <c r="BG361" s="2" t="s">
        <v>273</v>
      </c>
      <c r="BH361" s="2" t="s">
        <v>274</v>
      </c>
      <c r="BI361" s="2" t="s">
        <v>275</v>
      </c>
      <c r="BM361"/>
      <c r="BP361" s="8"/>
      <c r="BQ361" t="s">
        <v>230</v>
      </c>
      <c r="BR361" t="s">
        <v>230</v>
      </c>
      <c r="BU361" t="s">
        <v>231</v>
      </c>
      <c r="BV361" t="s">
        <v>223</v>
      </c>
      <c r="BW361" t="s">
        <v>232</v>
      </c>
      <c r="BX361" t="s">
        <v>500</v>
      </c>
      <c r="BY361" t="s">
        <v>220</v>
      </c>
      <c r="BZ361">
        <v>0.219</v>
      </c>
      <c r="CA361" t="s">
        <v>234</v>
      </c>
      <c r="CF361" t="s">
        <v>220</v>
      </c>
      <c r="CG361">
        <v>9.1700000000000004E-2</v>
      </c>
      <c r="CH361" t="s">
        <v>220</v>
      </c>
      <c r="CI361">
        <v>0.11</v>
      </c>
      <c r="CK361"/>
      <c r="CL361"/>
      <c r="CM361"/>
      <c r="CS361" s="8"/>
      <c r="CW361" t="s">
        <v>220</v>
      </c>
      <c r="CX361" t="s">
        <v>220</v>
      </c>
      <c r="CY361" t="s">
        <v>231</v>
      </c>
      <c r="CZ361" t="s">
        <v>220</v>
      </c>
      <c r="DA361" t="s">
        <v>227</v>
      </c>
      <c r="DB361" t="s">
        <v>220</v>
      </c>
      <c r="DC361"/>
      <c r="DD361"/>
      <c r="DE361"/>
      <c r="DF361"/>
      <c r="DG361"/>
      <c r="DH361" s="323"/>
      <c r="DI361" s="323"/>
      <c r="DJ361" s="323"/>
      <c r="DL361" t="s">
        <v>220</v>
      </c>
      <c r="DM361" t="s">
        <v>220</v>
      </c>
      <c r="DN361" t="s">
        <v>227</v>
      </c>
      <c r="DO361" t="s">
        <v>227</v>
      </c>
      <c r="DP361" t="s">
        <v>227</v>
      </c>
      <c r="DS361" s="338">
        <v>627.721</v>
      </c>
      <c r="DT361" s="8" t="s">
        <v>394</v>
      </c>
      <c r="DU361" s="309">
        <v>363.09699999999998</v>
      </c>
      <c r="DW361">
        <v>11.2</v>
      </c>
      <c r="DX361" t="s">
        <v>238</v>
      </c>
      <c r="DY361">
        <v>1550</v>
      </c>
      <c r="DZ361" t="s">
        <v>238</v>
      </c>
      <c r="EA361"/>
      <c r="EB361"/>
      <c r="ED361" s="410"/>
      <c r="EE361" s="1"/>
      <c r="EG361" s="410"/>
      <c r="EI361" s="410"/>
      <c r="EK361" s="1"/>
      <c r="EM361"/>
      <c r="EQ361" s="344"/>
      <c r="EU361" s="344"/>
      <c r="EW361" s="409"/>
      <c r="EY361" s="1"/>
      <c r="FA361">
        <v>27.74</v>
      </c>
      <c r="FB361" t="s">
        <v>236</v>
      </c>
      <c r="FC361" s="7">
        <v>913.69237368145491</v>
      </c>
      <c r="FD361" s="357" t="s">
        <v>225</v>
      </c>
      <c r="FE361" s="8">
        <v>2.0816130409176399</v>
      </c>
      <c r="FF361" t="s">
        <v>237</v>
      </c>
      <c r="FH361" s="9">
        <v>223.97523451784213</v>
      </c>
      <c r="FI361" s="9" t="s">
        <v>236</v>
      </c>
      <c r="FJ361">
        <v>133</v>
      </c>
      <c r="FK361" t="s">
        <v>238</v>
      </c>
      <c r="FL361">
        <v>107</v>
      </c>
      <c r="FM361">
        <v>20.053953334298289</v>
      </c>
      <c r="FN361" s="5" t="s">
        <v>237</v>
      </c>
      <c r="FP361" s="6">
        <v>10.7</v>
      </c>
      <c r="FQ361" t="s">
        <v>239</v>
      </c>
      <c r="FS361" t="s">
        <v>240</v>
      </c>
      <c r="FT361" t="e">
        <f>FQ361=#REF!</f>
        <v>#REF!</v>
      </c>
      <c r="FU361" s="8">
        <v>1</v>
      </c>
      <c r="FV361" s="8">
        <v>10</v>
      </c>
      <c r="FW361" s="8">
        <v>10</v>
      </c>
      <c r="FX361" s="8">
        <v>10</v>
      </c>
      <c r="FY361" s="8">
        <v>3</v>
      </c>
      <c r="FZ361">
        <f t="shared" si="5"/>
        <v>3000</v>
      </c>
      <c r="GA361" s="7" t="s">
        <v>326</v>
      </c>
      <c r="GB361" s="7" t="s">
        <v>326</v>
      </c>
      <c r="GC361" s="6">
        <v>1.5</v>
      </c>
      <c r="GD361" s="348" t="s">
        <v>242</v>
      </c>
      <c r="GF361" s="6">
        <v>3.5666666666666666E-2</v>
      </c>
      <c r="GH361" s="7"/>
      <c r="GI361" s="441">
        <v>0.23799999999999999</v>
      </c>
      <c r="GJ361" s="441">
        <v>0.44600000000000001</v>
      </c>
      <c r="GK361" s="441">
        <v>0.71299999999999997</v>
      </c>
      <c r="GL361" s="441">
        <v>1.7829999999999999</v>
      </c>
      <c r="GM361" s="452" t="s">
        <v>262</v>
      </c>
      <c r="GN361" s="6">
        <v>0.01</v>
      </c>
      <c r="GO361" s="6">
        <v>1.8749999999999999E-2</v>
      </c>
      <c r="GP361" s="6">
        <v>0.03</v>
      </c>
      <c r="GQ361" s="6">
        <v>7.4999999999999997E-2</v>
      </c>
      <c r="GR361" s="6" t="s">
        <v>230</v>
      </c>
      <c r="GU361" t="s">
        <v>365</v>
      </c>
      <c r="GV361" t="s">
        <v>236</v>
      </c>
      <c r="GW361" t="s">
        <v>244</v>
      </c>
      <c r="GX361" t="s">
        <v>236</v>
      </c>
      <c r="GY361" t="s">
        <v>245</v>
      </c>
      <c r="HE361" t="s">
        <v>247</v>
      </c>
      <c r="HF361" t="s">
        <v>236</v>
      </c>
      <c r="HG361" t="s">
        <v>317</v>
      </c>
      <c r="HH361" t="s">
        <v>236</v>
      </c>
      <c r="HI361" t="s">
        <v>247</v>
      </c>
      <c r="HJ361" t="s">
        <v>236</v>
      </c>
      <c r="HK361" t="s">
        <v>266</v>
      </c>
      <c r="HO361" t="s">
        <v>231</v>
      </c>
      <c r="HP361" t="s">
        <v>223</v>
      </c>
      <c r="HQ361" t="s">
        <v>231</v>
      </c>
      <c r="HR361" t="s">
        <v>223</v>
      </c>
      <c r="HU361" t="s">
        <v>231</v>
      </c>
      <c r="HV361" t="s">
        <v>223</v>
      </c>
      <c r="HW361" t="s">
        <v>482</v>
      </c>
      <c r="HX361" t="s">
        <v>223</v>
      </c>
      <c r="IA361" t="s">
        <v>231</v>
      </c>
      <c r="IB361" t="s">
        <v>250</v>
      </c>
      <c r="IC361">
        <v>0.23799999999999999</v>
      </c>
      <c r="ID361">
        <v>0.44600000000000001</v>
      </c>
      <c r="IE361">
        <v>0.71299999999999997</v>
      </c>
      <c r="IF361">
        <v>1.7829999999999999</v>
      </c>
      <c r="IH361" t="s">
        <v>267</v>
      </c>
    </row>
    <row r="362" spans="1:242" ht="72.5" x14ac:dyDescent="0.35">
      <c r="A362" s="310" t="s">
        <v>2062</v>
      </c>
      <c r="B362" t="s">
        <v>2063</v>
      </c>
      <c r="C362" s="310" t="s">
        <v>2064</v>
      </c>
      <c r="D362" s="316"/>
      <c r="F362" t="s">
        <v>2065</v>
      </c>
      <c r="I362" s="310" t="s">
        <v>2066</v>
      </c>
      <c r="M362" s="313"/>
      <c r="O362"/>
      <c r="P362" s="381"/>
      <c r="Q362"/>
      <c r="T362" s="8"/>
      <c r="U362"/>
      <c r="V362" s="313"/>
      <c r="W362" t="s">
        <v>301</v>
      </c>
      <c r="X362"/>
      <c r="Z362"/>
      <c r="AB362"/>
      <c r="AD362" s="8" t="s">
        <v>222</v>
      </c>
      <c r="AF362" s="8" t="s">
        <v>230</v>
      </c>
      <c r="AG362"/>
      <c r="AH362"/>
      <c r="AI362"/>
      <c r="AJ362" t="s">
        <v>221</v>
      </c>
      <c r="AK362">
        <v>0</v>
      </c>
      <c r="AL362">
        <v>0.67500000000000004</v>
      </c>
      <c r="AM362" t="s">
        <v>221</v>
      </c>
      <c r="AN362" t="s">
        <v>225</v>
      </c>
      <c r="AO362" t="s">
        <v>221</v>
      </c>
      <c r="AP362" t="s">
        <v>225</v>
      </c>
      <c r="AQ362" t="s">
        <v>221</v>
      </c>
      <c r="AR362" t="s">
        <v>225</v>
      </c>
      <c r="AS362" t="s">
        <v>221</v>
      </c>
      <c r="AT362" t="s">
        <v>223</v>
      </c>
      <c r="AU362" t="s">
        <v>220</v>
      </c>
      <c r="AV362"/>
      <c r="AW362" s="313" t="s">
        <v>220</v>
      </c>
      <c r="AX362" t="s">
        <v>226</v>
      </c>
      <c r="AY362" s="313" t="s">
        <v>220</v>
      </c>
      <c r="AZ362" s="313">
        <v>5.5899999999999998E-2</v>
      </c>
      <c r="BB362" s="313" t="s">
        <v>220</v>
      </c>
      <c r="BC362">
        <v>3.4200000000000001E-2</v>
      </c>
      <c r="BD362" t="s">
        <v>220</v>
      </c>
      <c r="BE362">
        <v>4.7300000000000002E-2</v>
      </c>
      <c r="BF362" s="2" t="s">
        <v>220</v>
      </c>
      <c r="BH362" s="2" t="s">
        <v>228</v>
      </c>
      <c r="BI362" s="2" t="s">
        <v>302</v>
      </c>
      <c r="BM362"/>
      <c r="BP362" s="8"/>
      <c r="BQ362" t="s">
        <v>230</v>
      </c>
      <c r="BR362" t="s">
        <v>222</v>
      </c>
      <c r="BU362" t="s">
        <v>231</v>
      </c>
      <c r="BV362" t="s">
        <v>223</v>
      </c>
      <c r="BW362" t="s">
        <v>232</v>
      </c>
      <c r="BX362" t="s">
        <v>276</v>
      </c>
      <c r="BY362" t="s">
        <v>220</v>
      </c>
      <c r="BZ362">
        <v>0.245</v>
      </c>
      <c r="CA362" t="s">
        <v>234</v>
      </c>
      <c r="CF362" t="s">
        <v>220</v>
      </c>
      <c r="CG362">
        <v>0.11700000000000001</v>
      </c>
      <c r="CH362" t="s">
        <v>220</v>
      </c>
      <c r="CI362">
        <v>5.1299999999999998E-2</v>
      </c>
      <c r="CK362"/>
      <c r="CL362"/>
      <c r="CM362"/>
      <c r="CS362" s="8"/>
      <c r="CW362" t="s">
        <v>220</v>
      </c>
      <c r="CX362" t="s">
        <v>220</v>
      </c>
      <c r="CY362" t="s">
        <v>231</v>
      </c>
      <c r="CZ362" t="s">
        <v>220</v>
      </c>
      <c r="DA362" t="s">
        <v>220</v>
      </c>
      <c r="DB362" t="s">
        <v>220</v>
      </c>
      <c r="DC362"/>
      <c r="DD362"/>
      <c r="DE362"/>
      <c r="DF362"/>
      <c r="DG362"/>
      <c r="DH362" s="323"/>
      <c r="DI362" s="323"/>
      <c r="DJ362" s="323"/>
      <c r="DL362" t="s">
        <v>257</v>
      </c>
      <c r="DM362" t="s">
        <v>220</v>
      </c>
      <c r="DN362" t="s">
        <v>257</v>
      </c>
      <c r="DO362" t="s">
        <v>220</v>
      </c>
      <c r="DP362" t="s">
        <v>257</v>
      </c>
      <c r="DS362" s="338">
        <v>490.21600000000001</v>
      </c>
      <c r="DT362" s="8" t="s">
        <v>394</v>
      </c>
      <c r="DU362" s="309">
        <v>245.98500000000001</v>
      </c>
      <c r="DW362">
        <v>14.5</v>
      </c>
      <c r="DX362" t="s">
        <v>238</v>
      </c>
      <c r="DY362">
        <v>1030</v>
      </c>
      <c r="DZ362" t="s">
        <v>238</v>
      </c>
      <c r="EA362"/>
      <c r="EB362"/>
      <c r="ED362" s="410"/>
      <c r="EE362" s="1"/>
      <c r="EG362" s="410"/>
      <c r="EI362" s="410"/>
      <c r="EK362" s="1"/>
      <c r="EM362"/>
      <c r="EQ362" s="344"/>
      <c r="EU362" s="344"/>
      <c r="EW362" s="409"/>
      <c r="EY362" s="1"/>
      <c r="FA362">
        <v>169.79</v>
      </c>
      <c r="FB362" t="s">
        <v>225</v>
      </c>
      <c r="FC362" s="7">
        <v>474.89762757306443</v>
      </c>
      <c r="FD362" s="357" t="s">
        <v>225</v>
      </c>
      <c r="FE362" s="8">
        <v>61.235039172477364</v>
      </c>
      <c r="FF362" t="s">
        <v>237</v>
      </c>
      <c r="FH362" s="9">
        <v>279.70485194780957</v>
      </c>
      <c r="FI362" s="9" t="s">
        <v>225</v>
      </c>
      <c r="FJ362">
        <v>159</v>
      </c>
      <c r="FK362" t="s">
        <v>238</v>
      </c>
      <c r="FL362">
        <v>453</v>
      </c>
      <c r="FM362">
        <v>384.76893389378853</v>
      </c>
      <c r="FN362" s="5" t="s">
        <v>237</v>
      </c>
      <c r="FP362" s="6">
        <v>15.9</v>
      </c>
      <c r="FQ362" t="s">
        <v>450</v>
      </c>
      <c r="FS362" t="s">
        <v>240</v>
      </c>
      <c r="FT362" t="e">
        <f>FQ362=#REF!</f>
        <v>#REF!</v>
      </c>
      <c r="FU362" s="8">
        <v>1</v>
      </c>
      <c r="FV362" s="8">
        <v>10</v>
      </c>
      <c r="FW362" s="8">
        <v>10</v>
      </c>
      <c r="FX362" s="8">
        <v>10</v>
      </c>
      <c r="FY362" s="8">
        <v>3</v>
      </c>
      <c r="FZ362">
        <f t="shared" si="5"/>
        <v>3000</v>
      </c>
      <c r="GA362" s="7" t="s">
        <v>241</v>
      </c>
      <c r="GB362" s="7" t="s">
        <v>241</v>
      </c>
      <c r="GC362" s="6">
        <v>30</v>
      </c>
      <c r="GD362" s="348" t="s">
        <v>242</v>
      </c>
      <c r="GF362" s="6">
        <v>5.2999999999999999E-2</v>
      </c>
      <c r="GH362" s="7"/>
      <c r="GI362" s="441"/>
      <c r="GJ362" s="441"/>
      <c r="GK362" s="441"/>
      <c r="GL362" s="441"/>
      <c r="GM362" s="460" t="s">
        <v>2033</v>
      </c>
      <c r="GN362" s="441"/>
      <c r="GO362" s="441"/>
      <c r="GP362" s="441"/>
      <c r="GQ362" s="441"/>
      <c r="GR362" s="460" t="s">
        <v>2033</v>
      </c>
      <c r="GS362" s="441"/>
      <c r="GT362" s="441"/>
      <c r="GU362" s="441"/>
      <c r="GV362" s="441"/>
      <c r="GW362" s="441"/>
      <c r="GX362" s="441"/>
      <c r="GY362" s="441"/>
      <c r="GZ362" s="441"/>
      <c r="HA362" s="441"/>
      <c r="HB362" s="441"/>
      <c r="HC362" s="441"/>
      <c r="HD362" s="441"/>
      <c r="HE362" s="441"/>
      <c r="HF362" s="441"/>
      <c r="HG362" s="441"/>
      <c r="HH362" s="441"/>
      <c r="HI362" s="441"/>
      <c r="HJ362" s="441"/>
      <c r="HK362" s="441"/>
      <c r="HL362" s="441"/>
      <c r="HM362" s="441"/>
      <c r="HN362" s="441"/>
      <c r="HO362" s="441"/>
      <c r="HP362" s="441"/>
      <c r="HQ362" s="441"/>
      <c r="HR362" s="441"/>
      <c r="HS362" s="441"/>
      <c r="HT362" s="441"/>
      <c r="HU362" s="441"/>
      <c r="HV362" s="441"/>
      <c r="HW362" s="441"/>
      <c r="HX362" s="441"/>
      <c r="HY362" s="441"/>
      <c r="HZ362" s="441"/>
      <c r="IA362" s="441"/>
      <c r="IB362" s="441"/>
      <c r="IC362" s="441"/>
      <c r="ID362" s="441"/>
      <c r="IE362" s="441"/>
      <c r="IF362" s="441"/>
      <c r="IG362" s="459" t="s">
        <v>451</v>
      </c>
      <c r="IH362" t="s">
        <v>235</v>
      </c>
    </row>
    <row r="363" spans="1:242" x14ac:dyDescent="0.35">
      <c r="A363" s="310" t="s">
        <v>2067</v>
      </c>
      <c r="B363" t="s">
        <v>2068</v>
      </c>
      <c r="C363" s="310" t="s">
        <v>2069</v>
      </c>
      <c r="D363" s="316"/>
      <c r="F363" t="s">
        <v>2070</v>
      </c>
      <c r="I363" s="310" t="s">
        <v>2071</v>
      </c>
      <c r="M363" s="313"/>
      <c r="O363" t="s">
        <v>221</v>
      </c>
      <c r="P363" s="381"/>
      <c r="Q363" t="s">
        <v>221</v>
      </c>
      <c r="T363" s="8"/>
      <c r="U363" t="s">
        <v>221</v>
      </c>
      <c r="V363" s="313"/>
      <c r="W363" t="s">
        <v>220</v>
      </c>
      <c r="X363" t="s">
        <v>220</v>
      </c>
      <c r="Z363" t="s">
        <v>220</v>
      </c>
      <c r="AB363" t="s">
        <v>220</v>
      </c>
      <c r="AD363" s="8" t="s">
        <v>230</v>
      </c>
      <c r="AF363" s="8" t="s">
        <v>222</v>
      </c>
      <c r="AG363"/>
      <c r="AH363"/>
      <c r="AI363"/>
      <c r="AJ363" t="s">
        <v>221</v>
      </c>
      <c r="AK363">
        <v>0</v>
      </c>
      <c r="AL363">
        <v>1</v>
      </c>
      <c r="AM363" t="s">
        <v>221</v>
      </c>
      <c r="AN363" t="s">
        <v>249</v>
      </c>
      <c r="AO363" t="s">
        <v>221</v>
      </c>
      <c r="AP363"/>
      <c r="AQ363" t="s">
        <v>221</v>
      </c>
      <c r="AR363" t="s">
        <v>223</v>
      </c>
      <c r="AS363" t="s">
        <v>221</v>
      </c>
      <c r="AT363"/>
      <c r="AU363" t="s">
        <v>220</v>
      </c>
      <c r="AV363"/>
      <c r="AW363" s="313" t="s">
        <v>220</v>
      </c>
      <c r="AX363" t="s">
        <v>226</v>
      </c>
      <c r="AY363" s="313" t="s">
        <v>220</v>
      </c>
      <c r="AZ363" s="313">
        <v>2.3099999999999999E-2</v>
      </c>
      <c r="BB363" s="313" t="s">
        <v>220</v>
      </c>
      <c r="BC363">
        <v>1.5100000000000001E-2</v>
      </c>
      <c r="BD363" t="s">
        <v>220</v>
      </c>
      <c r="BE363">
        <v>1.5900000000000001E-2</v>
      </c>
      <c r="BF363" s="2" t="s">
        <v>220</v>
      </c>
      <c r="BH363" s="2" t="s">
        <v>228</v>
      </c>
      <c r="BI363" s="2" t="s">
        <v>292</v>
      </c>
      <c r="BM363"/>
      <c r="BP363" s="8"/>
      <c r="BQ363" t="s">
        <v>230</v>
      </c>
      <c r="BR363" t="s">
        <v>230</v>
      </c>
      <c r="BU363" t="s">
        <v>231</v>
      </c>
      <c r="BV363" t="s">
        <v>223</v>
      </c>
      <c r="BW363" t="s">
        <v>232</v>
      </c>
      <c r="BX363" t="s">
        <v>284</v>
      </c>
      <c r="BY363" t="s">
        <v>220</v>
      </c>
      <c r="BZ363">
        <v>0.17399999999999999</v>
      </c>
      <c r="CA363" t="s">
        <v>234</v>
      </c>
      <c r="CF363" t="s">
        <v>220</v>
      </c>
      <c r="CG363">
        <v>7.1400000000000005E-2</v>
      </c>
      <c r="CH363" t="s">
        <v>220</v>
      </c>
      <c r="CI363">
        <v>3.32E-2</v>
      </c>
      <c r="CK363"/>
      <c r="CL363"/>
      <c r="CM363"/>
      <c r="CS363" s="8"/>
      <c r="CW363" t="s">
        <v>220</v>
      </c>
      <c r="CX363" t="s">
        <v>220</v>
      </c>
      <c r="CY363" t="s">
        <v>231</v>
      </c>
      <c r="CZ363" t="s">
        <v>220</v>
      </c>
      <c r="DA363" t="s">
        <v>220</v>
      </c>
      <c r="DB363" t="s">
        <v>220</v>
      </c>
      <c r="DC363"/>
      <c r="DD363"/>
      <c r="DE363"/>
      <c r="DF363"/>
      <c r="DG363"/>
      <c r="DH363" s="323"/>
      <c r="DI363" s="323"/>
      <c r="DJ363" s="323"/>
      <c r="DL363" t="s">
        <v>257</v>
      </c>
      <c r="DM363" t="s">
        <v>220</v>
      </c>
      <c r="DN363" t="s">
        <v>257</v>
      </c>
      <c r="DO363" t="s">
        <v>220</v>
      </c>
      <c r="DP363" t="s">
        <v>257</v>
      </c>
      <c r="DS363" s="309">
        <v>392.60399999999998</v>
      </c>
      <c r="DU363" s="309">
        <v>667.15499999999997</v>
      </c>
      <c r="DW363">
        <v>186</v>
      </c>
      <c r="DX363" t="s">
        <v>238</v>
      </c>
      <c r="DY363">
        <v>833</v>
      </c>
      <c r="DZ363" t="s">
        <v>238</v>
      </c>
      <c r="EA363"/>
      <c r="EB363"/>
      <c r="ED363" s="410"/>
      <c r="EE363" s="1"/>
      <c r="EG363" s="410"/>
      <c r="EI363" s="410"/>
      <c r="EK363" s="1"/>
      <c r="EM363"/>
      <c r="EQ363" s="344"/>
      <c r="EU363" s="344"/>
      <c r="EW363" s="409"/>
      <c r="EY363" s="1"/>
      <c r="FA363">
        <v>191.18</v>
      </c>
      <c r="FB363" t="s">
        <v>225</v>
      </c>
      <c r="FC363" s="7">
        <v>355.05857031262411</v>
      </c>
      <c r="FD363" s="357" t="s">
        <v>225</v>
      </c>
      <c r="FE363" s="8">
        <v>34.705635400798762</v>
      </c>
      <c r="FF363" t="s">
        <v>237</v>
      </c>
      <c r="FH363" s="9">
        <v>420.72662838444444</v>
      </c>
      <c r="FI363" s="9" t="s">
        <v>225</v>
      </c>
      <c r="FJ363">
        <v>228</v>
      </c>
      <c r="FK363" t="s">
        <v>238</v>
      </c>
      <c r="FL363">
        <v>271</v>
      </c>
      <c r="FM363">
        <v>168.15121123767153</v>
      </c>
      <c r="FN363" s="5" t="s">
        <v>237</v>
      </c>
      <c r="FP363" s="6">
        <v>8.4075605618835763</v>
      </c>
      <c r="FQ363" t="s">
        <v>277</v>
      </c>
      <c r="FS363" t="s">
        <v>240</v>
      </c>
      <c r="FT363" t="e">
        <f>FQ363=#REF!</f>
        <v>#REF!</v>
      </c>
      <c r="FU363" s="8">
        <v>2</v>
      </c>
      <c r="FV363" s="8">
        <v>10</v>
      </c>
      <c r="FW363" s="8">
        <v>10</v>
      </c>
      <c r="FX363" s="8">
        <v>10</v>
      </c>
      <c r="FY363" s="8">
        <v>3</v>
      </c>
      <c r="FZ363">
        <f t="shared" si="5"/>
        <v>6000</v>
      </c>
      <c r="GA363" s="7" t="s">
        <v>241</v>
      </c>
      <c r="GB363" s="7" t="s">
        <v>241</v>
      </c>
      <c r="GC363" s="6">
        <v>30</v>
      </c>
      <c r="GD363" s="348" t="s">
        <v>242</v>
      </c>
      <c r="GF363" s="6">
        <v>5.7842725667997932E-2</v>
      </c>
      <c r="GH363" s="7"/>
      <c r="GI363" s="441"/>
      <c r="GJ363" s="441"/>
      <c r="GK363" s="441"/>
      <c r="GL363" s="441"/>
      <c r="GM363" s="454"/>
      <c r="GN363" s="441"/>
      <c r="GO363" s="441"/>
      <c r="GP363" s="441"/>
      <c r="GQ363" s="441"/>
      <c r="GR363" s="441"/>
      <c r="GS363" s="441"/>
      <c r="GT363" s="441"/>
      <c r="GU363" s="441"/>
      <c r="GV363" s="441"/>
      <c r="GW363" s="441"/>
      <c r="GX363" s="441"/>
      <c r="GY363" s="441"/>
      <c r="GZ363" s="441"/>
      <c r="HA363" s="441"/>
      <c r="HB363" s="441"/>
      <c r="HC363" s="441"/>
      <c r="HD363" s="441"/>
      <c r="HE363" s="441"/>
      <c r="HF363" s="441"/>
      <c r="HG363" s="441"/>
      <c r="HH363" s="441"/>
      <c r="HI363" s="441"/>
      <c r="HJ363" s="441"/>
      <c r="HK363" s="441"/>
      <c r="HL363" s="441"/>
      <c r="HM363" s="441"/>
      <c r="HN363" s="441"/>
      <c r="HO363" s="441"/>
      <c r="HP363" s="441"/>
      <c r="HQ363" s="441"/>
      <c r="HR363" s="441"/>
      <c r="HS363" s="441"/>
      <c r="HT363" s="441"/>
      <c r="HU363" s="441"/>
      <c r="HV363" s="441"/>
      <c r="HW363" s="441"/>
      <c r="HX363" s="441"/>
      <c r="HY363" s="441"/>
      <c r="HZ363" s="441"/>
      <c r="IA363" s="441"/>
      <c r="IB363" s="441"/>
      <c r="IC363" s="441"/>
      <c r="ID363" s="441"/>
      <c r="IE363" s="441"/>
      <c r="IF363" s="441"/>
      <c r="IH363" t="s">
        <v>235</v>
      </c>
    </row>
    <row r="364" spans="1:242" x14ac:dyDescent="0.35">
      <c r="A364" s="310" t="s">
        <v>2072</v>
      </c>
      <c r="B364" t="s">
        <v>2073</v>
      </c>
      <c r="C364" s="310" t="s">
        <v>2074</v>
      </c>
      <c r="D364" s="316"/>
      <c r="F364" t="s">
        <v>2075</v>
      </c>
      <c r="I364" s="310" t="s">
        <v>2076</v>
      </c>
      <c r="M364" s="313"/>
      <c r="O364"/>
      <c r="P364" s="381"/>
      <c r="Q364"/>
      <c r="T364" s="8"/>
      <c r="U364"/>
      <c r="V364" s="313"/>
      <c r="W364"/>
      <c r="X364"/>
      <c r="Z364"/>
      <c r="AB364"/>
      <c r="AD364" s="8" t="s">
        <v>230</v>
      </c>
      <c r="AF364" s="8" t="s">
        <v>230</v>
      </c>
      <c r="AG364"/>
      <c r="AH364"/>
      <c r="AI364"/>
      <c r="AJ364" t="s">
        <v>221</v>
      </c>
      <c r="AK364">
        <v>0</v>
      </c>
      <c r="AL364">
        <v>0.5</v>
      </c>
      <c r="AM364" t="s">
        <v>221</v>
      </c>
      <c r="AN364" t="s">
        <v>225</v>
      </c>
      <c r="AO364" t="s">
        <v>224</v>
      </c>
      <c r="AP364" t="s">
        <v>225</v>
      </c>
      <c r="AQ364" t="s">
        <v>221</v>
      </c>
      <c r="AR364" t="s">
        <v>236</v>
      </c>
      <c r="AS364" t="s">
        <v>221</v>
      </c>
      <c r="AT364" t="s">
        <v>225</v>
      </c>
      <c r="AU364" t="s">
        <v>220</v>
      </c>
      <c r="AV364"/>
      <c r="AW364" s="313" t="s">
        <v>220</v>
      </c>
      <c r="AX364" t="s">
        <v>226</v>
      </c>
      <c r="AY364" s="313" t="s">
        <v>220</v>
      </c>
      <c r="AZ364" s="313">
        <v>0.18</v>
      </c>
      <c r="BB364" s="313" t="s">
        <v>220</v>
      </c>
      <c r="BC364">
        <v>6.5299999999999997E-2</v>
      </c>
      <c r="BD364" t="s">
        <v>220</v>
      </c>
      <c r="BE364">
        <v>7.51E-2</v>
      </c>
      <c r="BF364" s="2" t="s">
        <v>220</v>
      </c>
      <c r="BG364" s="2" t="s">
        <v>273</v>
      </c>
      <c r="BH364" s="2" t="s">
        <v>274</v>
      </c>
      <c r="BI364" s="2" t="s">
        <v>275</v>
      </c>
      <c r="BM364"/>
      <c r="BP364" s="8"/>
      <c r="BQ364" t="s">
        <v>230</v>
      </c>
      <c r="BR364" t="s">
        <v>230</v>
      </c>
      <c r="BU364" t="s">
        <v>317</v>
      </c>
      <c r="BV364" t="s">
        <v>236</v>
      </c>
      <c r="BW364" t="s">
        <v>232</v>
      </c>
      <c r="BX364" t="s">
        <v>276</v>
      </c>
      <c r="BY364" t="s">
        <v>220</v>
      </c>
      <c r="BZ364">
        <v>0.28499999999999998</v>
      </c>
      <c r="CA364" t="s">
        <v>234</v>
      </c>
      <c r="CF364" t="s">
        <v>220</v>
      </c>
      <c r="CG364">
        <v>0.17599999999999999</v>
      </c>
      <c r="CH364" t="s">
        <v>220</v>
      </c>
      <c r="CI364">
        <v>0.2</v>
      </c>
      <c r="CK364"/>
      <c r="CL364"/>
      <c r="CM364"/>
      <c r="CS364" s="8"/>
      <c r="CW364" t="s">
        <v>227</v>
      </c>
      <c r="CX364" t="s">
        <v>220</v>
      </c>
      <c r="CY364" t="s">
        <v>231</v>
      </c>
      <c r="CZ364" t="s">
        <v>257</v>
      </c>
      <c r="DA364" t="s">
        <v>220</v>
      </c>
      <c r="DB364" t="s">
        <v>220</v>
      </c>
      <c r="DC364"/>
      <c r="DD364"/>
      <c r="DE364"/>
      <c r="DF364"/>
      <c r="DG364"/>
      <c r="DH364" s="323"/>
      <c r="DI364" s="323"/>
      <c r="DJ364" s="323"/>
      <c r="DL364" t="s">
        <v>257</v>
      </c>
      <c r="DM364" t="s">
        <v>220</v>
      </c>
      <c r="DN364" t="s">
        <v>227</v>
      </c>
      <c r="DO364" t="s">
        <v>220</v>
      </c>
      <c r="DP364" t="s">
        <v>257</v>
      </c>
      <c r="DS364" s="309">
        <v>89.658000000000001</v>
      </c>
      <c r="DU364" s="309">
        <v>714.48699999999997</v>
      </c>
      <c r="DW364"/>
      <c r="DX364" t="s">
        <v>235</v>
      </c>
      <c r="DY364"/>
      <c r="DZ364" t="s">
        <v>235</v>
      </c>
      <c r="EA364"/>
      <c r="EB364"/>
      <c r="ED364" s="410"/>
      <c r="EE364" s="1"/>
      <c r="EG364" s="410"/>
      <c r="EI364" s="410"/>
      <c r="EK364" s="1"/>
      <c r="EM364"/>
      <c r="EQ364" s="344"/>
      <c r="EU364" s="344"/>
      <c r="EW364" s="409"/>
      <c r="EY364" s="1"/>
      <c r="FA364">
        <v>98.03</v>
      </c>
      <c r="FB364" t="s">
        <v>225</v>
      </c>
      <c r="FC364" s="7">
        <v>308.38979622506855</v>
      </c>
      <c r="FD364" s="357" t="s">
        <v>236</v>
      </c>
      <c r="FE364" s="8">
        <v>2.5698039954022671</v>
      </c>
      <c r="FF364" t="s">
        <v>237</v>
      </c>
      <c r="FH364" s="9">
        <v>157.07244353646513</v>
      </c>
      <c r="FI364" s="9" t="s">
        <v>225</v>
      </c>
      <c r="FK364" t="s">
        <v>235</v>
      </c>
      <c r="FL364">
        <v>166</v>
      </c>
      <c r="FM364">
        <v>2.2961486481123621</v>
      </c>
      <c r="FN364" s="5" t="s">
        <v>237</v>
      </c>
      <c r="FP364" s="6">
        <v>16.600000000000001</v>
      </c>
      <c r="FQ364" t="s">
        <v>239</v>
      </c>
      <c r="FS364" t="s">
        <v>240</v>
      </c>
      <c r="FT364" t="e">
        <f>FQ364=#REF!</f>
        <v>#REF!</v>
      </c>
      <c r="FU364" s="8">
        <v>1</v>
      </c>
      <c r="FV364" s="8">
        <v>10</v>
      </c>
      <c r="FW364" s="8">
        <v>10</v>
      </c>
      <c r="FX364" s="8">
        <v>10</v>
      </c>
      <c r="FY364" s="8">
        <v>3</v>
      </c>
      <c r="FZ364">
        <f t="shared" si="5"/>
        <v>3000</v>
      </c>
      <c r="GA364" s="7" t="s">
        <v>241</v>
      </c>
      <c r="GB364" s="7" t="s">
        <v>241</v>
      </c>
      <c r="GC364" s="6">
        <v>30</v>
      </c>
      <c r="GD364" s="348" t="s">
        <v>242</v>
      </c>
      <c r="GF364" s="6">
        <v>5.5333333333333339E-2</v>
      </c>
      <c r="GH364" s="7"/>
      <c r="GI364" s="441">
        <v>0.36899999999999999</v>
      </c>
      <c r="GJ364" s="441">
        <v>0.69199999999999995</v>
      </c>
      <c r="GK364" s="441">
        <v>1.107</v>
      </c>
      <c r="GL364" s="441">
        <v>2.7669999999999999</v>
      </c>
      <c r="GM364" s="452" t="s">
        <v>262</v>
      </c>
      <c r="GN364" s="6">
        <v>0.2</v>
      </c>
      <c r="GO364" s="6">
        <v>0.375</v>
      </c>
      <c r="GP364" s="6">
        <v>0.6</v>
      </c>
      <c r="GQ364" s="6">
        <v>1.5</v>
      </c>
      <c r="GR364" s="6" t="s">
        <v>230</v>
      </c>
      <c r="GU364" t="s">
        <v>243</v>
      </c>
      <c r="GV364" t="s">
        <v>236</v>
      </c>
      <c r="GW364" t="s">
        <v>244</v>
      </c>
      <c r="GX364" t="s">
        <v>236</v>
      </c>
      <c r="GY364" t="s">
        <v>245</v>
      </c>
      <c r="HE364" t="s">
        <v>247</v>
      </c>
      <c r="HF364" t="s">
        <v>225</v>
      </c>
      <c r="HG364" t="s">
        <v>317</v>
      </c>
      <c r="HH364" t="s">
        <v>236</v>
      </c>
      <c r="HI364" t="s">
        <v>247</v>
      </c>
      <c r="HJ364" t="s">
        <v>223</v>
      </c>
      <c r="HK364" t="s">
        <v>266</v>
      </c>
      <c r="HO364" t="s">
        <v>231</v>
      </c>
      <c r="HP364" t="s">
        <v>223</v>
      </c>
      <c r="HQ364" t="s">
        <v>231</v>
      </c>
      <c r="HR364" t="s">
        <v>223</v>
      </c>
      <c r="HU364" t="s">
        <v>231</v>
      </c>
      <c r="HV364" t="s">
        <v>223</v>
      </c>
      <c r="HW364" t="s">
        <v>246</v>
      </c>
      <c r="HX364" t="s">
        <v>236</v>
      </c>
      <c r="IA364" t="s">
        <v>231</v>
      </c>
      <c r="IB364" t="s">
        <v>250</v>
      </c>
      <c r="IC364">
        <v>0.36899999999999999</v>
      </c>
      <c r="ID364">
        <v>0.69199999999999995</v>
      </c>
      <c r="IE364">
        <v>1.107</v>
      </c>
      <c r="IF364">
        <v>2.7669999999999999</v>
      </c>
      <c r="IH364" t="s">
        <v>267</v>
      </c>
    </row>
    <row r="365" spans="1:242" x14ac:dyDescent="0.35">
      <c r="A365" s="310" t="s">
        <v>2077</v>
      </c>
      <c r="B365" t="s">
        <v>2078</v>
      </c>
      <c r="C365" s="310" t="s">
        <v>2079</v>
      </c>
      <c r="D365" s="316"/>
      <c r="F365" t="s">
        <v>2080</v>
      </c>
      <c r="I365" s="310" t="s">
        <v>2081</v>
      </c>
      <c r="M365" s="313"/>
      <c r="O365"/>
      <c r="P365" s="381"/>
      <c r="Q365"/>
      <c r="T365" s="8"/>
      <c r="U365"/>
      <c r="V365" s="313"/>
      <c r="W365"/>
      <c r="X365"/>
      <c r="Z365"/>
      <c r="AB365"/>
      <c r="AD365" s="8" t="s">
        <v>230</v>
      </c>
      <c r="AF365" s="8" t="s">
        <v>230</v>
      </c>
      <c r="AG365"/>
      <c r="AH365"/>
      <c r="AI365"/>
      <c r="AJ365" t="s">
        <v>221</v>
      </c>
      <c r="AK365">
        <v>0</v>
      </c>
      <c r="AL365">
        <v>0.75</v>
      </c>
      <c r="AM365" t="s">
        <v>221</v>
      </c>
      <c r="AN365" t="s">
        <v>223</v>
      </c>
      <c r="AO365" t="s">
        <v>221</v>
      </c>
      <c r="AP365" t="s">
        <v>223</v>
      </c>
      <c r="AQ365" t="s">
        <v>221</v>
      </c>
      <c r="AR365" t="s">
        <v>225</v>
      </c>
      <c r="AS365" t="s">
        <v>221</v>
      </c>
      <c r="AT365" t="s">
        <v>225</v>
      </c>
      <c r="AU365" t="s">
        <v>220</v>
      </c>
      <c r="AV365"/>
      <c r="AW365" s="313" t="s">
        <v>220</v>
      </c>
      <c r="AX365" t="s">
        <v>226</v>
      </c>
      <c r="AY365" s="313" t="s">
        <v>220</v>
      </c>
      <c r="AZ365" s="313">
        <v>0.122</v>
      </c>
      <c r="BB365" s="313" t="s">
        <v>220</v>
      </c>
      <c r="BC365">
        <v>3.8699999999999998E-2</v>
      </c>
      <c r="BD365" t="s">
        <v>220</v>
      </c>
      <c r="BE365">
        <v>1.04E-2</v>
      </c>
      <c r="BF365" s="2" t="s">
        <v>220</v>
      </c>
      <c r="BG365" s="2" t="s">
        <v>273</v>
      </c>
      <c r="BH365" s="2" t="s">
        <v>274</v>
      </c>
      <c r="BI365" s="2" t="s">
        <v>275</v>
      </c>
      <c r="BM365"/>
      <c r="BP365" s="8"/>
      <c r="BQ365" t="s">
        <v>230</v>
      </c>
      <c r="BR365" t="s">
        <v>230</v>
      </c>
      <c r="BU365" t="s">
        <v>231</v>
      </c>
      <c r="BV365" t="s">
        <v>225</v>
      </c>
      <c r="BW365" t="s">
        <v>232</v>
      </c>
      <c r="BX365" t="s">
        <v>276</v>
      </c>
      <c r="BY365" t="s">
        <v>220</v>
      </c>
      <c r="BZ365">
        <v>0.155</v>
      </c>
      <c r="CA365" t="s">
        <v>234</v>
      </c>
      <c r="CF365" t="s">
        <v>227</v>
      </c>
      <c r="CG365">
        <v>3.5900000000000001E-2</v>
      </c>
      <c r="CH365" t="s">
        <v>227</v>
      </c>
      <c r="CI365">
        <v>1.89E-2</v>
      </c>
      <c r="CK365"/>
      <c r="CL365"/>
      <c r="CM365"/>
      <c r="CS365" s="8"/>
      <c r="CW365" t="s">
        <v>220</v>
      </c>
      <c r="CX365" t="s">
        <v>220</v>
      </c>
      <c r="CY365" t="s">
        <v>231</v>
      </c>
      <c r="CZ365" t="s">
        <v>227</v>
      </c>
      <c r="DA365" t="s">
        <v>227</v>
      </c>
      <c r="DB365" t="s">
        <v>227</v>
      </c>
      <c r="DC365"/>
      <c r="DD365"/>
      <c r="DE365"/>
      <c r="DF365"/>
      <c r="DG365"/>
      <c r="DH365" s="323"/>
      <c r="DI365" s="323"/>
      <c r="DJ365" s="323"/>
      <c r="DL365" t="s">
        <v>220</v>
      </c>
      <c r="DM365" t="s">
        <v>220</v>
      </c>
      <c r="DN365" t="s">
        <v>227</v>
      </c>
      <c r="DO365" t="s">
        <v>227</v>
      </c>
      <c r="DP365" t="s">
        <v>227</v>
      </c>
      <c r="DS365" s="309">
        <v>122.01900000000001</v>
      </c>
      <c r="DU365" s="309">
        <v>518.33500000000004</v>
      </c>
      <c r="DW365"/>
      <c r="DX365" t="s">
        <v>235</v>
      </c>
      <c r="DY365"/>
      <c r="DZ365" t="s">
        <v>235</v>
      </c>
      <c r="EA365"/>
      <c r="EB365"/>
      <c r="ED365" s="410"/>
      <c r="EE365" s="1"/>
      <c r="EG365" s="410"/>
      <c r="EI365" s="410"/>
      <c r="EK365" s="1"/>
      <c r="EM365"/>
      <c r="EQ365" s="344"/>
      <c r="EU365" s="344"/>
      <c r="EW365" s="409"/>
      <c r="EY365" s="1"/>
      <c r="FA365">
        <v>62.58</v>
      </c>
      <c r="FB365" t="s">
        <v>225</v>
      </c>
      <c r="FC365" s="7">
        <v>370.93686741322853</v>
      </c>
      <c r="FD365" s="357" t="s">
        <v>236</v>
      </c>
      <c r="FE365" s="8">
        <v>0.59703528658383687</v>
      </c>
      <c r="FF365" t="s">
        <v>237</v>
      </c>
      <c r="FH365" s="9">
        <v>212.81390459827128</v>
      </c>
      <c r="FI365" s="9" t="s">
        <v>225</v>
      </c>
      <c r="FK365" t="s">
        <v>235</v>
      </c>
      <c r="FL365">
        <v>30.1</v>
      </c>
      <c r="FM365">
        <v>3.4371619861753504</v>
      </c>
      <c r="FN365" s="5" t="s">
        <v>237</v>
      </c>
      <c r="FP365" s="6">
        <v>3.0100000000000002</v>
      </c>
      <c r="FQ365" t="s">
        <v>239</v>
      </c>
      <c r="FS365" t="s">
        <v>240</v>
      </c>
      <c r="FT365" t="e">
        <f>FQ365=#REF!</f>
        <v>#REF!</v>
      </c>
      <c r="FU365" s="8">
        <v>1</v>
      </c>
      <c r="FV365" s="8">
        <v>10</v>
      </c>
      <c r="FW365" s="8">
        <v>10</v>
      </c>
      <c r="FX365" s="8">
        <v>10</v>
      </c>
      <c r="FY365" s="8">
        <v>3</v>
      </c>
      <c r="FZ365">
        <f t="shared" si="5"/>
        <v>3000</v>
      </c>
      <c r="GA365" s="7" t="s">
        <v>326</v>
      </c>
      <c r="GB365" s="7" t="s">
        <v>326</v>
      </c>
      <c r="GC365" s="6">
        <v>1.5</v>
      </c>
      <c r="GD365" s="348" t="s">
        <v>242</v>
      </c>
      <c r="GF365" s="6">
        <v>1.0033333333333333E-2</v>
      </c>
      <c r="GH365" s="7"/>
      <c r="GI365" s="441">
        <v>6.7000000000000004E-2</v>
      </c>
      <c r="GJ365" s="441">
        <v>0.125</v>
      </c>
      <c r="GK365" s="441">
        <v>0.20100000000000001</v>
      </c>
      <c r="GL365" s="441">
        <v>0.502</v>
      </c>
      <c r="GM365" s="452" t="s">
        <v>529</v>
      </c>
      <c r="GN365" s="6">
        <v>0.01</v>
      </c>
      <c r="GO365" s="6">
        <v>1.8749999999999999E-2</v>
      </c>
      <c r="GP365" s="6">
        <v>0.03</v>
      </c>
      <c r="GQ365" s="6">
        <v>7.4999999999999997E-2</v>
      </c>
      <c r="GR365" s="6" t="s">
        <v>230</v>
      </c>
      <c r="GU365" t="s">
        <v>365</v>
      </c>
      <c r="GV365" t="s">
        <v>223</v>
      </c>
      <c r="GW365" t="s">
        <v>244</v>
      </c>
      <c r="GX365" t="s">
        <v>236</v>
      </c>
      <c r="GY365" t="s">
        <v>1032</v>
      </c>
      <c r="HE365" t="s">
        <v>247</v>
      </c>
      <c r="HF365" t="s">
        <v>223</v>
      </c>
      <c r="HG365" t="s">
        <v>231</v>
      </c>
      <c r="HH365" t="s">
        <v>236</v>
      </c>
      <c r="HI365" t="s">
        <v>247</v>
      </c>
      <c r="HJ365" t="s">
        <v>225</v>
      </c>
      <c r="HK365" t="s">
        <v>536</v>
      </c>
      <c r="HO365" t="s">
        <v>231</v>
      </c>
      <c r="HP365" t="s">
        <v>223</v>
      </c>
      <c r="HQ365" t="s">
        <v>231</v>
      </c>
      <c r="HR365" t="s">
        <v>223</v>
      </c>
      <c r="HU365" t="s">
        <v>231</v>
      </c>
      <c r="HV365" t="s">
        <v>225</v>
      </c>
      <c r="HW365" t="s">
        <v>246</v>
      </c>
      <c r="HX365" t="s">
        <v>236</v>
      </c>
      <c r="IA365" t="s">
        <v>317</v>
      </c>
      <c r="IB365" t="s">
        <v>250</v>
      </c>
      <c r="IC365">
        <v>6.7000000000000004E-2</v>
      </c>
      <c r="ID365">
        <v>0.125</v>
      </c>
      <c r="IE365">
        <v>0.20100000000000001</v>
      </c>
      <c r="IF365">
        <v>0.502</v>
      </c>
      <c r="IH365" t="s">
        <v>267</v>
      </c>
    </row>
    <row r="366" spans="1:242" ht="72.5" x14ac:dyDescent="0.35">
      <c r="A366" s="310" t="s">
        <v>2082</v>
      </c>
      <c r="B366" t="s">
        <v>2083</v>
      </c>
      <c r="C366" s="310" t="s">
        <v>2084</v>
      </c>
      <c r="D366" s="316"/>
      <c r="F366" t="s">
        <v>2085</v>
      </c>
      <c r="I366" s="310" t="s">
        <v>2086</v>
      </c>
      <c r="M366" s="313"/>
      <c r="O366"/>
      <c r="P366" s="381"/>
      <c r="Q366"/>
      <c r="T366" s="8"/>
      <c r="U366"/>
      <c r="V366" s="313"/>
      <c r="W366" t="s">
        <v>2039</v>
      </c>
      <c r="X366"/>
      <c r="Z366"/>
      <c r="AB366"/>
      <c r="AD366" s="8" t="s">
        <v>230</v>
      </c>
      <c r="AF366" s="8" t="s">
        <v>230</v>
      </c>
      <c r="AG366"/>
      <c r="AH366"/>
      <c r="AI366"/>
      <c r="AJ366" t="s">
        <v>221</v>
      </c>
      <c r="AK366">
        <v>0</v>
      </c>
      <c r="AL366">
        <v>0.9</v>
      </c>
      <c r="AM366" t="s">
        <v>221</v>
      </c>
      <c r="AN366" t="s">
        <v>223</v>
      </c>
      <c r="AO366" t="s">
        <v>221</v>
      </c>
      <c r="AP366" t="s">
        <v>223</v>
      </c>
      <c r="AQ366" t="s">
        <v>221</v>
      </c>
      <c r="AR366" t="s">
        <v>223</v>
      </c>
      <c r="AS366" t="s">
        <v>221</v>
      </c>
      <c r="AT366" t="s">
        <v>223</v>
      </c>
      <c r="AU366" t="s">
        <v>220</v>
      </c>
      <c r="AV366"/>
      <c r="AW366" s="313" t="s">
        <v>220</v>
      </c>
      <c r="AX366" t="s">
        <v>226</v>
      </c>
      <c r="AY366" s="313" t="s">
        <v>220</v>
      </c>
      <c r="AZ366" s="313">
        <v>2.2700000000000001E-2</v>
      </c>
      <c r="BB366" s="313" t="s">
        <v>220</v>
      </c>
      <c r="BC366">
        <v>1.4999999999999999E-2</v>
      </c>
      <c r="BD366" t="s">
        <v>220</v>
      </c>
      <c r="BE366">
        <v>1.4500000000000001E-2</v>
      </c>
      <c r="BF366" s="2" t="s">
        <v>220</v>
      </c>
      <c r="BG366" s="2" t="s">
        <v>273</v>
      </c>
      <c r="BH366" s="2" t="s">
        <v>274</v>
      </c>
      <c r="BI366" s="2" t="s">
        <v>275</v>
      </c>
      <c r="BM366"/>
      <c r="BP366" s="8"/>
      <c r="BQ366" t="s">
        <v>230</v>
      </c>
      <c r="BR366" t="s">
        <v>230</v>
      </c>
      <c r="BU366" t="s">
        <v>231</v>
      </c>
      <c r="BV366" t="s">
        <v>223</v>
      </c>
      <c r="BW366" t="s">
        <v>232</v>
      </c>
      <c r="BX366" t="s">
        <v>284</v>
      </c>
      <c r="BY366" t="s">
        <v>220</v>
      </c>
      <c r="BZ366">
        <v>0.16400000000000001</v>
      </c>
      <c r="CA366" t="s">
        <v>234</v>
      </c>
      <c r="CF366" t="s">
        <v>220</v>
      </c>
      <c r="CG366">
        <v>5.8299999999999998E-2</v>
      </c>
      <c r="CH366" t="s">
        <v>220</v>
      </c>
      <c r="CI366">
        <v>2.7199999999999998E-2</v>
      </c>
      <c r="CK366"/>
      <c r="CL366"/>
      <c r="CM366"/>
      <c r="CS366" s="8"/>
      <c r="CW366" t="s">
        <v>220</v>
      </c>
      <c r="CX366" t="s">
        <v>220</v>
      </c>
      <c r="CY366" t="s">
        <v>231</v>
      </c>
      <c r="CZ366" t="s">
        <v>220</v>
      </c>
      <c r="DA366" t="s">
        <v>220</v>
      </c>
      <c r="DB366" t="s">
        <v>220</v>
      </c>
      <c r="DC366"/>
      <c r="DD366"/>
      <c r="DE366"/>
      <c r="DF366"/>
      <c r="DG366"/>
      <c r="DH366" s="323"/>
      <c r="DI366" s="323"/>
      <c r="DJ366" s="323"/>
      <c r="DL366" t="s">
        <v>257</v>
      </c>
      <c r="DM366" t="s">
        <v>220</v>
      </c>
      <c r="DN366" t="s">
        <v>257</v>
      </c>
      <c r="DO366" t="s">
        <v>220</v>
      </c>
      <c r="DP366" t="s">
        <v>257</v>
      </c>
      <c r="DS366" s="309">
        <v>610.47500000000002</v>
      </c>
      <c r="DU366" s="309">
        <v>717.20100000000002</v>
      </c>
      <c r="DW366">
        <v>79.3</v>
      </c>
      <c r="DX366" t="s">
        <v>238</v>
      </c>
      <c r="DY366">
        <v>3680</v>
      </c>
      <c r="DZ366" t="s">
        <v>238</v>
      </c>
      <c r="EA366"/>
      <c r="EB366"/>
      <c r="ED366" s="410"/>
      <c r="EE366" s="1"/>
      <c r="EG366" s="410"/>
      <c r="EI366" s="410"/>
      <c r="EK366" s="1"/>
      <c r="EM366"/>
      <c r="EQ366" s="344"/>
      <c r="EU366" s="344"/>
      <c r="EW366" s="409"/>
      <c r="EY366" s="1"/>
      <c r="FA366">
        <v>223.41</v>
      </c>
      <c r="FB366" t="s">
        <v>225</v>
      </c>
      <c r="FC366" s="7">
        <v>562.0824170602134</v>
      </c>
      <c r="FD366" s="357" t="s">
        <v>225</v>
      </c>
      <c r="FE366" s="8">
        <v>28.846956523813638</v>
      </c>
      <c r="FF366" t="s">
        <v>237</v>
      </c>
      <c r="FH366" s="9">
        <v>631.68417928751569</v>
      </c>
      <c r="FI366" s="9" t="s">
        <v>225</v>
      </c>
      <c r="FJ366">
        <v>333</v>
      </c>
      <c r="FK366" t="s">
        <v>238</v>
      </c>
      <c r="FL366">
        <v>295</v>
      </c>
      <c r="FM366">
        <v>164.47503973914559</v>
      </c>
      <c r="FN366" s="5" t="s">
        <v>237</v>
      </c>
      <c r="FP366" s="6">
        <v>29.5</v>
      </c>
      <c r="FQ366" t="s">
        <v>239</v>
      </c>
      <c r="FS366" t="s">
        <v>240</v>
      </c>
      <c r="FT366" t="e">
        <f>FQ366=#REF!</f>
        <v>#REF!</v>
      </c>
      <c r="FU366" s="8">
        <v>1</v>
      </c>
      <c r="FV366" s="8">
        <v>10</v>
      </c>
      <c r="FW366" s="8">
        <v>10</v>
      </c>
      <c r="FX366" s="8">
        <v>10</v>
      </c>
      <c r="FY366" s="8">
        <v>3</v>
      </c>
      <c r="FZ366">
        <f t="shared" si="5"/>
        <v>3000</v>
      </c>
      <c r="GA366" s="7" t="s">
        <v>241</v>
      </c>
      <c r="GB366" s="7" t="s">
        <v>241</v>
      </c>
      <c r="GC366" s="6">
        <v>30</v>
      </c>
      <c r="GD366" s="348" t="s">
        <v>242</v>
      </c>
      <c r="GF366" s="6">
        <v>9.8333333333333342E-2</v>
      </c>
      <c r="GH366" s="7"/>
      <c r="GI366" s="445"/>
      <c r="GJ366" s="445"/>
      <c r="GK366" s="445"/>
      <c r="GL366" s="445"/>
      <c r="GM366" s="460" t="s">
        <v>305</v>
      </c>
      <c r="GN366" s="445"/>
      <c r="GO366" s="445"/>
      <c r="GP366" s="445"/>
      <c r="GQ366" s="445"/>
      <c r="GR366" s="460" t="s">
        <v>305</v>
      </c>
      <c r="GU366" t="s">
        <v>243</v>
      </c>
      <c r="GV366" t="s">
        <v>225</v>
      </c>
      <c r="GW366" t="s">
        <v>244</v>
      </c>
      <c r="GX366" t="s">
        <v>225</v>
      </c>
      <c r="GY366" t="s">
        <v>245</v>
      </c>
      <c r="HE366" t="s">
        <v>247</v>
      </c>
      <c r="HF366" t="s">
        <v>223</v>
      </c>
      <c r="HG366" t="s">
        <v>317</v>
      </c>
      <c r="HH366" t="s">
        <v>236</v>
      </c>
      <c r="HI366" t="s">
        <v>247</v>
      </c>
      <c r="HJ366" t="s">
        <v>223</v>
      </c>
      <c r="HK366" t="s">
        <v>266</v>
      </c>
      <c r="HO366" t="s">
        <v>231</v>
      </c>
      <c r="HP366" t="s">
        <v>223</v>
      </c>
      <c r="HQ366" t="s">
        <v>231</v>
      </c>
      <c r="HR366" t="s">
        <v>223</v>
      </c>
      <c r="HU366" t="s">
        <v>231</v>
      </c>
      <c r="HV366" t="s">
        <v>223</v>
      </c>
      <c r="HW366" t="s">
        <v>506</v>
      </c>
      <c r="HX366" t="s">
        <v>236</v>
      </c>
      <c r="IA366" t="s">
        <v>231</v>
      </c>
      <c r="IB366" t="s">
        <v>250</v>
      </c>
      <c r="IC366" s="445"/>
      <c r="ID366" s="445"/>
      <c r="IE366" s="445"/>
      <c r="IF366" s="445"/>
      <c r="IG366" s="459" t="s">
        <v>451</v>
      </c>
      <c r="IH366" t="s">
        <v>235</v>
      </c>
    </row>
    <row r="367" spans="1:242" x14ac:dyDescent="0.35">
      <c r="A367" s="310" t="s">
        <v>2087</v>
      </c>
      <c r="B367" t="s">
        <v>2088</v>
      </c>
      <c r="C367" s="310" t="s">
        <v>2089</v>
      </c>
      <c r="D367" s="316"/>
      <c r="F367" t="s">
        <v>2090</v>
      </c>
      <c r="I367" s="310" t="s">
        <v>2091</v>
      </c>
      <c r="M367" s="313"/>
      <c r="O367"/>
      <c r="P367" s="381"/>
      <c r="Q367"/>
      <c r="T367" s="8"/>
      <c r="U367"/>
      <c r="V367" s="313"/>
      <c r="W367"/>
      <c r="X367"/>
      <c r="Z367"/>
      <c r="AB367"/>
      <c r="AD367" s="8" t="s">
        <v>230</v>
      </c>
      <c r="AF367" s="8" t="s">
        <v>230</v>
      </c>
      <c r="AG367"/>
      <c r="AH367"/>
      <c r="AI367"/>
      <c r="AJ367" t="s">
        <v>221</v>
      </c>
      <c r="AK367">
        <v>0</v>
      </c>
      <c r="AL367">
        <v>0.9</v>
      </c>
      <c r="AM367" t="s">
        <v>221</v>
      </c>
      <c r="AN367" t="s">
        <v>223</v>
      </c>
      <c r="AO367" t="s">
        <v>221</v>
      </c>
      <c r="AP367" t="s">
        <v>223</v>
      </c>
      <c r="AQ367" t="s">
        <v>221</v>
      </c>
      <c r="AR367" t="s">
        <v>223</v>
      </c>
      <c r="AS367" t="s">
        <v>221</v>
      </c>
      <c r="AT367" t="s">
        <v>223</v>
      </c>
      <c r="AU367" t="s">
        <v>220</v>
      </c>
      <c r="AV367"/>
      <c r="AW367" s="313" t="s">
        <v>220</v>
      </c>
      <c r="AX367" t="s">
        <v>226</v>
      </c>
      <c r="AY367" s="313" t="s">
        <v>220</v>
      </c>
      <c r="AZ367" s="313">
        <v>2.4E-2</v>
      </c>
      <c r="BB367" s="313" t="s">
        <v>220</v>
      </c>
      <c r="BC367">
        <v>1.9E-2</v>
      </c>
      <c r="BD367" t="s">
        <v>220</v>
      </c>
      <c r="BE367">
        <v>1.09E-2</v>
      </c>
      <c r="BF367" s="2" t="s">
        <v>220</v>
      </c>
      <c r="BG367" s="2" t="s">
        <v>273</v>
      </c>
      <c r="BH367" s="2" t="s">
        <v>274</v>
      </c>
      <c r="BI367" s="2" t="s">
        <v>275</v>
      </c>
      <c r="BM367"/>
      <c r="BP367" s="8"/>
      <c r="BQ367" t="s">
        <v>230</v>
      </c>
      <c r="BR367" t="s">
        <v>230</v>
      </c>
      <c r="BU367" t="s">
        <v>231</v>
      </c>
      <c r="BV367" t="s">
        <v>225</v>
      </c>
      <c r="BW367" t="s">
        <v>232</v>
      </c>
      <c r="BX367" t="s">
        <v>284</v>
      </c>
      <c r="BY367" t="s">
        <v>220</v>
      </c>
      <c r="BZ367">
        <v>0.16700000000000001</v>
      </c>
      <c r="CA367" t="s">
        <v>234</v>
      </c>
      <c r="CF367" t="s">
        <v>220</v>
      </c>
      <c r="CG367">
        <v>4.7699999999999999E-2</v>
      </c>
      <c r="CH367" t="s">
        <v>220</v>
      </c>
      <c r="CI367">
        <v>7.3899999999999999E-3</v>
      </c>
      <c r="CK367"/>
      <c r="CL367"/>
      <c r="CM367"/>
      <c r="CS367" s="8"/>
      <c r="CW367" t="s">
        <v>220</v>
      </c>
      <c r="CX367" t="s">
        <v>220</v>
      </c>
      <c r="CY367" t="s">
        <v>231</v>
      </c>
      <c r="CZ367" t="s">
        <v>220</v>
      </c>
      <c r="DA367" t="s">
        <v>220</v>
      </c>
      <c r="DB367" t="s">
        <v>220</v>
      </c>
      <c r="DC367"/>
      <c r="DD367"/>
      <c r="DE367"/>
      <c r="DF367"/>
      <c r="DG367"/>
      <c r="DH367" s="323"/>
      <c r="DI367" s="323"/>
      <c r="DJ367" s="323"/>
      <c r="DL367" t="s">
        <v>257</v>
      </c>
      <c r="DM367" t="s">
        <v>220</v>
      </c>
      <c r="DN367" t="s">
        <v>257</v>
      </c>
      <c r="DO367" t="s">
        <v>220</v>
      </c>
      <c r="DP367" t="s">
        <v>257</v>
      </c>
      <c r="DS367" s="309">
        <v>463.226</v>
      </c>
      <c r="DU367" s="309">
        <v>726.91399999999999</v>
      </c>
      <c r="DW367">
        <v>1550</v>
      </c>
      <c r="DX367" t="s">
        <v>238</v>
      </c>
      <c r="DY367">
        <v>1310</v>
      </c>
      <c r="DZ367" t="s">
        <v>238</v>
      </c>
      <c r="EA367"/>
      <c r="EB367"/>
      <c r="ED367" s="410"/>
      <c r="EE367" s="1"/>
      <c r="EG367" s="410"/>
      <c r="EI367" s="410"/>
      <c r="EK367" s="1"/>
      <c r="EM367"/>
      <c r="EQ367" s="344"/>
      <c r="EU367" s="344"/>
      <c r="EW367" s="409"/>
      <c r="EY367" s="1"/>
      <c r="FA367">
        <v>223.41</v>
      </c>
      <c r="FB367" t="s">
        <v>225</v>
      </c>
      <c r="FC367" s="7">
        <v>591.01703661024408</v>
      </c>
      <c r="FD367" s="357" t="s">
        <v>225</v>
      </c>
      <c r="FE367" s="8">
        <v>19.792470212375797</v>
      </c>
      <c r="FF367" t="s">
        <v>237</v>
      </c>
      <c r="FH367" s="9">
        <v>521.6749703076016</v>
      </c>
      <c r="FI367" s="9" t="s">
        <v>225</v>
      </c>
      <c r="FJ367">
        <v>228</v>
      </c>
      <c r="FK367" t="s">
        <v>238</v>
      </c>
      <c r="FL367">
        <v>365</v>
      </c>
      <c r="FM367">
        <v>79.983425500702907</v>
      </c>
      <c r="FN367" s="5" t="s">
        <v>237</v>
      </c>
      <c r="FP367" s="6">
        <v>3.9991712750351454</v>
      </c>
      <c r="FQ367" t="s">
        <v>277</v>
      </c>
      <c r="FS367" t="s">
        <v>240</v>
      </c>
      <c r="FT367" t="e">
        <f>FQ367=#REF!</f>
        <v>#REF!</v>
      </c>
      <c r="FU367" s="8">
        <v>2</v>
      </c>
      <c r="FV367" s="8">
        <v>10</v>
      </c>
      <c r="FW367" s="8">
        <v>10</v>
      </c>
      <c r="FX367" s="8">
        <v>10</v>
      </c>
      <c r="FY367" s="8">
        <v>3</v>
      </c>
      <c r="FZ367">
        <f t="shared" si="5"/>
        <v>6000</v>
      </c>
      <c r="GA367" s="7" t="s">
        <v>241</v>
      </c>
      <c r="GB367" s="7" t="s">
        <v>241</v>
      </c>
      <c r="GC367" s="6">
        <v>30</v>
      </c>
      <c r="GD367" s="348" t="s">
        <v>242</v>
      </c>
      <c r="GF367" s="6">
        <v>3.2987450353959662E-2</v>
      </c>
      <c r="GH367" s="7"/>
      <c r="GI367" s="445"/>
      <c r="GJ367" s="445"/>
      <c r="GK367" s="445"/>
      <c r="GL367" s="445"/>
      <c r="GM367" s="453"/>
      <c r="GN367" s="441">
        <v>0.2</v>
      </c>
      <c r="GO367" s="441">
        <v>0.375</v>
      </c>
      <c r="GP367" s="441">
        <v>0.6</v>
      </c>
      <c r="GQ367" s="441">
        <v>1.5</v>
      </c>
      <c r="GR367" s="452"/>
      <c r="GU367" t="s">
        <v>243</v>
      </c>
      <c r="GV367" t="s">
        <v>223</v>
      </c>
      <c r="GW367" t="s">
        <v>244</v>
      </c>
      <c r="GX367" t="s">
        <v>236</v>
      </c>
      <c r="GY367" t="s">
        <v>245</v>
      </c>
      <c r="HE367" t="s">
        <v>247</v>
      </c>
      <c r="HF367" t="s">
        <v>223</v>
      </c>
      <c r="HG367" t="s">
        <v>317</v>
      </c>
      <c r="HH367" t="s">
        <v>223</v>
      </c>
      <c r="HI367" t="s">
        <v>247</v>
      </c>
      <c r="HJ367" t="s">
        <v>223</v>
      </c>
      <c r="HK367" t="s">
        <v>266</v>
      </c>
      <c r="HO367" t="s">
        <v>231</v>
      </c>
      <c r="HP367" t="s">
        <v>223</v>
      </c>
      <c r="HQ367" t="s">
        <v>231</v>
      </c>
      <c r="HR367" t="s">
        <v>223</v>
      </c>
      <c r="HU367" t="s">
        <v>231</v>
      </c>
      <c r="HV367" t="s">
        <v>223</v>
      </c>
      <c r="HW367" t="s">
        <v>506</v>
      </c>
      <c r="HX367" t="s">
        <v>236</v>
      </c>
      <c r="IA367" t="s">
        <v>231</v>
      </c>
      <c r="IB367" t="s">
        <v>250</v>
      </c>
      <c r="IC367" s="447"/>
      <c r="ID367" s="447"/>
      <c r="IE367" s="447"/>
      <c r="IF367" s="447"/>
      <c r="IG367" s="459" t="s">
        <v>2092</v>
      </c>
      <c r="IH367" t="s">
        <v>235</v>
      </c>
    </row>
    <row r="368" spans="1:242" x14ac:dyDescent="0.35">
      <c r="A368" s="310" t="s">
        <v>2093</v>
      </c>
      <c r="B368" t="s">
        <v>2094</v>
      </c>
      <c r="C368" s="310" t="s">
        <v>2095</v>
      </c>
      <c r="D368" s="316"/>
      <c r="F368" t="s">
        <v>2096</v>
      </c>
      <c r="I368" s="310" t="s">
        <v>2097</v>
      </c>
      <c r="M368" s="313"/>
      <c r="O368"/>
      <c r="P368" s="381"/>
      <c r="Q368"/>
      <c r="T368" s="8"/>
      <c r="U368"/>
      <c r="V368" s="313"/>
      <c r="W368"/>
      <c r="X368"/>
      <c r="Z368"/>
      <c r="AB368"/>
      <c r="AD368" s="8" t="s">
        <v>230</v>
      </c>
      <c r="AF368" s="8" t="s">
        <v>230</v>
      </c>
      <c r="AG368"/>
      <c r="AH368"/>
      <c r="AI368"/>
      <c r="AJ368" t="s">
        <v>221</v>
      </c>
      <c r="AK368">
        <v>0.05</v>
      </c>
      <c r="AL368">
        <v>0.42499999999999999</v>
      </c>
      <c r="AM368" t="s">
        <v>221</v>
      </c>
      <c r="AN368" t="s">
        <v>225</v>
      </c>
      <c r="AO368" t="s">
        <v>224</v>
      </c>
      <c r="AP368" t="s">
        <v>236</v>
      </c>
      <c r="AQ368" t="s">
        <v>221</v>
      </c>
      <c r="AR368" t="s">
        <v>223</v>
      </c>
      <c r="AS368" t="s">
        <v>414</v>
      </c>
      <c r="AT368" t="s">
        <v>236</v>
      </c>
      <c r="AU368" t="s">
        <v>220</v>
      </c>
      <c r="AV368"/>
      <c r="AW368" s="313" t="s">
        <v>220</v>
      </c>
      <c r="AX368" t="s">
        <v>226</v>
      </c>
      <c r="AY368" s="313" t="s">
        <v>220</v>
      </c>
      <c r="AZ368" s="313">
        <v>0.104</v>
      </c>
      <c r="BB368" s="313" t="s">
        <v>220</v>
      </c>
      <c r="BC368">
        <v>7.6200000000000004E-2</v>
      </c>
      <c r="BD368" t="s">
        <v>220</v>
      </c>
      <c r="BE368">
        <v>0.156</v>
      </c>
      <c r="BF368" s="2" t="s">
        <v>220</v>
      </c>
      <c r="BG368" s="2" t="s">
        <v>653</v>
      </c>
      <c r="BH368" s="2" t="s">
        <v>274</v>
      </c>
      <c r="BI368" s="2" t="s">
        <v>275</v>
      </c>
      <c r="BM368"/>
      <c r="BP368" s="8"/>
      <c r="BQ368" t="s">
        <v>230</v>
      </c>
      <c r="BR368" t="s">
        <v>230</v>
      </c>
      <c r="BU368" t="s">
        <v>317</v>
      </c>
      <c r="BV368" t="s">
        <v>236</v>
      </c>
      <c r="BW368" t="s">
        <v>232</v>
      </c>
      <c r="BX368" t="s">
        <v>284</v>
      </c>
      <c r="BY368" t="s">
        <v>220</v>
      </c>
      <c r="BZ368">
        <v>0.34899999999999998</v>
      </c>
      <c r="CA368" t="s">
        <v>234</v>
      </c>
      <c r="CF368" t="s">
        <v>220</v>
      </c>
      <c r="CG368">
        <v>0.41099999999999998</v>
      </c>
      <c r="CH368" t="s">
        <v>257</v>
      </c>
      <c r="CI368">
        <v>0.68600000000000005</v>
      </c>
      <c r="CK368"/>
      <c r="CL368"/>
      <c r="CM368"/>
      <c r="CS368" s="8"/>
      <c r="CW368" t="s">
        <v>227</v>
      </c>
      <c r="CX368" t="s">
        <v>220</v>
      </c>
      <c r="CY368" t="s">
        <v>231</v>
      </c>
      <c r="CZ368" t="s">
        <v>220</v>
      </c>
      <c r="DA368" t="s">
        <v>220</v>
      </c>
      <c r="DB368" t="s">
        <v>220</v>
      </c>
      <c r="DC368"/>
      <c r="DD368"/>
      <c r="DE368"/>
      <c r="DF368"/>
      <c r="DG368"/>
      <c r="DH368" s="323"/>
      <c r="DI368" s="323"/>
      <c r="DJ368" s="323"/>
      <c r="DL368" t="s">
        <v>257</v>
      </c>
      <c r="DM368" t="s">
        <v>220</v>
      </c>
      <c r="DN368" t="s">
        <v>227</v>
      </c>
      <c r="DO368" t="s">
        <v>220</v>
      </c>
      <c r="DP368" t="s">
        <v>220</v>
      </c>
      <c r="DS368" s="309">
        <v>152.83500000000001</v>
      </c>
      <c r="DU368" s="309">
        <v>608.58399999999995</v>
      </c>
      <c r="DW368"/>
      <c r="DX368" t="s">
        <v>235</v>
      </c>
      <c r="DY368"/>
      <c r="DZ368" t="s">
        <v>235</v>
      </c>
      <c r="EA368"/>
      <c r="EB368"/>
      <c r="ED368" s="410"/>
      <c r="EE368" s="1"/>
      <c r="EG368" s="410"/>
      <c r="EI368" s="410"/>
      <c r="EK368" s="1"/>
      <c r="EM368"/>
      <c r="EQ368" s="344"/>
      <c r="EU368" s="344"/>
      <c r="EW368" s="409"/>
      <c r="EY368" s="1"/>
      <c r="FA368">
        <v>126.2</v>
      </c>
      <c r="FB368" t="s">
        <v>225</v>
      </c>
      <c r="FC368" s="7">
        <v>114.73607789425294</v>
      </c>
      <c r="FD368" s="357" t="s">
        <v>225</v>
      </c>
      <c r="FE368" s="8">
        <v>1.3100865862570281</v>
      </c>
      <c r="FF368" t="s">
        <v>237</v>
      </c>
      <c r="FH368" s="9">
        <v>112.40871934697306</v>
      </c>
      <c r="FI368" s="9" t="s">
        <v>225</v>
      </c>
      <c r="FK368" t="s">
        <v>235</v>
      </c>
      <c r="FL368">
        <v>128</v>
      </c>
      <c r="FM368">
        <v>3.5900458899019942</v>
      </c>
      <c r="FN368" s="5" t="s">
        <v>237</v>
      </c>
      <c r="FP368" s="6">
        <v>0.17950229449509972</v>
      </c>
      <c r="FQ368" t="s">
        <v>277</v>
      </c>
      <c r="FS368" t="s">
        <v>240</v>
      </c>
      <c r="FT368" t="e">
        <f>FQ368=#REF!</f>
        <v>#REF!</v>
      </c>
      <c r="FU368" s="8">
        <v>2</v>
      </c>
      <c r="FV368" s="8">
        <v>10</v>
      </c>
      <c r="FW368" s="8">
        <v>10</v>
      </c>
      <c r="FX368" s="8">
        <v>10</v>
      </c>
      <c r="FY368" s="8">
        <v>1</v>
      </c>
      <c r="FZ368">
        <f t="shared" si="5"/>
        <v>2000</v>
      </c>
      <c r="GA368" s="7" t="s">
        <v>326</v>
      </c>
      <c r="GB368" s="7" t="s">
        <v>326</v>
      </c>
      <c r="GC368" s="6">
        <v>1.5</v>
      </c>
      <c r="GD368" s="348" t="s">
        <v>242</v>
      </c>
      <c r="GF368" s="6">
        <v>2.1834776437617133E-3</v>
      </c>
      <c r="GH368" s="7"/>
      <c r="GI368" s="441">
        <v>1.2E-2</v>
      </c>
      <c r="GJ368" s="441">
        <v>2.1999999999999999E-2</v>
      </c>
      <c r="GK368" s="441">
        <v>3.5999999999999997E-2</v>
      </c>
      <c r="GL368" s="441">
        <v>0.09</v>
      </c>
      <c r="GM368" s="452" t="s">
        <v>552</v>
      </c>
      <c r="GN368" s="441">
        <v>0.01</v>
      </c>
      <c r="GO368" s="441">
        <v>1.8749999999999999E-2</v>
      </c>
      <c r="GP368" s="441">
        <v>0.03</v>
      </c>
      <c r="GQ368" s="441">
        <v>7.4999999999999997E-2</v>
      </c>
      <c r="GR368" s="452"/>
      <c r="GU368" t="s">
        <v>243</v>
      </c>
      <c r="GV368" t="s">
        <v>236</v>
      </c>
      <c r="GW368" t="s">
        <v>244</v>
      </c>
      <c r="GX368" t="s">
        <v>236</v>
      </c>
      <c r="GY368" t="s">
        <v>245</v>
      </c>
      <c r="HE368" t="s">
        <v>384</v>
      </c>
      <c r="HF368" t="s">
        <v>223</v>
      </c>
      <c r="HG368" t="s">
        <v>231</v>
      </c>
      <c r="HH368" t="s">
        <v>223</v>
      </c>
      <c r="HI368" t="s">
        <v>247</v>
      </c>
      <c r="HJ368" t="s">
        <v>223</v>
      </c>
      <c r="HK368" t="s">
        <v>266</v>
      </c>
      <c r="HO368" t="s">
        <v>231</v>
      </c>
      <c r="HP368" t="s">
        <v>223</v>
      </c>
      <c r="HQ368" t="s">
        <v>231</v>
      </c>
      <c r="HR368" t="s">
        <v>223</v>
      </c>
      <c r="HU368" t="s">
        <v>231</v>
      </c>
      <c r="HV368" t="s">
        <v>223</v>
      </c>
      <c r="HW368" t="s">
        <v>506</v>
      </c>
      <c r="HX368" t="s">
        <v>225</v>
      </c>
      <c r="IA368" t="s">
        <v>231</v>
      </c>
      <c r="IB368" t="s">
        <v>250</v>
      </c>
      <c r="IC368">
        <v>1.2E-2</v>
      </c>
      <c r="ID368">
        <v>2.1999999999999999E-2</v>
      </c>
      <c r="IE368">
        <v>3.5999999999999997E-2</v>
      </c>
      <c r="IF368">
        <v>0.09</v>
      </c>
      <c r="IG368" s="459" t="s">
        <v>2092</v>
      </c>
      <c r="IH368" t="s">
        <v>267</v>
      </c>
    </row>
    <row r="369" spans="1:242" ht="72.5" x14ac:dyDescent="0.35">
      <c r="A369" s="310" t="s">
        <v>2098</v>
      </c>
      <c r="B369" t="s">
        <v>2099</v>
      </c>
      <c r="C369" s="310" t="s">
        <v>2100</v>
      </c>
      <c r="D369" s="316"/>
      <c r="F369" t="s">
        <v>2101</v>
      </c>
      <c r="I369" s="310" t="s">
        <v>2102</v>
      </c>
      <c r="M369" s="313"/>
      <c r="O369"/>
      <c r="P369" s="381"/>
      <c r="Q369"/>
      <c r="T369" s="8"/>
      <c r="U369"/>
      <c r="V369" s="313"/>
      <c r="W369"/>
      <c r="X369"/>
      <c r="Z369"/>
      <c r="AB369"/>
      <c r="AD369" s="8" t="s">
        <v>230</v>
      </c>
      <c r="AF369" s="8" t="s">
        <v>230</v>
      </c>
      <c r="AG369"/>
      <c r="AH369"/>
      <c r="AI369"/>
      <c r="AJ369" t="s">
        <v>221</v>
      </c>
      <c r="AK369">
        <v>0</v>
      </c>
      <c r="AL369">
        <v>0.9</v>
      </c>
      <c r="AM369" t="s">
        <v>221</v>
      </c>
      <c r="AN369" t="s">
        <v>223</v>
      </c>
      <c r="AO369" t="s">
        <v>221</v>
      </c>
      <c r="AP369" t="s">
        <v>223</v>
      </c>
      <c r="AQ369" t="s">
        <v>221</v>
      </c>
      <c r="AR369" t="s">
        <v>223</v>
      </c>
      <c r="AS369" t="s">
        <v>221</v>
      </c>
      <c r="AT369" t="s">
        <v>223</v>
      </c>
      <c r="AU369" t="s">
        <v>220</v>
      </c>
      <c r="AV369"/>
      <c r="AW369" s="313" t="s">
        <v>220</v>
      </c>
      <c r="AX369" t="s">
        <v>226</v>
      </c>
      <c r="AY369" s="313" t="s">
        <v>220</v>
      </c>
      <c r="AZ369" s="313">
        <v>2.3E-2</v>
      </c>
      <c r="BB369" s="313" t="s">
        <v>220</v>
      </c>
      <c r="BC369">
        <v>1.5100000000000001E-2</v>
      </c>
      <c r="BD369" t="s">
        <v>220</v>
      </c>
      <c r="BE369">
        <v>1.54E-2</v>
      </c>
      <c r="BF369" s="2" t="s">
        <v>220</v>
      </c>
      <c r="BG369" s="2" t="s">
        <v>273</v>
      </c>
      <c r="BH369" s="2" t="s">
        <v>274</v>
      </c>
      <c r="BI369" s="2" t="s">
        <v>275</v>
      </c>
      <c r="BM369"/>
      <c r="BP369" s="8"/>
      <c r="BQ369" t="s">
        <v>230</v>
      </c>
      <c r="BR369" t="s">
        <v>230</v>
      </c>
      <c r="BU369" t="s">
        <v>231</v>
      </c>
      <c r="BV369" t="s">
        <v>223</v>
      </c>
      <c r="BW369" t="s">
        <v>232</v>
      </c>
      <c r="BX369" t="s">
        <v>284</v>
      </c>
      <c r="BY369" t="s">
        <v>220</v>
      </c>
      <c r="BZ369">
        <v>0.17199999999999999</v>
      </c>
      <c r="CA369" t="s">
        <v>234</v>
      </c>
      <c r="CF369" t="s">
        <v>220</v>
      </c>
      <c r="CG369">
        <v>6.6799999999999998E-2</v>
      </c>
      <c r="CH369" t="s">
        <v>220</v>
      </c>
      <c r="CI369">
        <v>3.1099999999999999E-2</v>
      </c>
      <c r="CK369"/>
      <c r="CL369"/>
      <c r="CM369"/>
      <c r="CS369" s="8"/>
      <c r="CW369" t="s">
        <v>220</v>
      </c>
      <c r="CX369" t="s">
        <v>220</v>
      </c>
      <c r="CY369" t="s">
        <v>231</v>
      </c>
      <c r="CZ369" t="s">
        <v>220</v>
      </c>
      <c r="DA369" t="s">
        <v>220</v>
      </c>
      <c r="DB369" t="s">
        <v>220</v>
      </c>
      <c r="DC369"/>
      <c r="DD369"/>
      <c r="DE369"/>
      <c r="DF369"/>
      <c r="DG369"/>
      <c r="DH369" s="323"/>
      <c r="DI369" s="323"/>
      <c r="DJ369" s="323"/>
      <c r="DL369" t="s">
        <v>257</v>
      </c>
      <c r="DM369" t="s">
        <v>220</v>
      </c>
      <c r="DN369" t="s">
        <v>257</v>
      </c>
      <c r="DO369" t="s">
        <v>220</v>
      </c>
      <c r="DP369" t="s">
        <v>257</v>
      </c>
      <c r="DS369" s="309">
        <v>455.01799999999997</v>
      </c>
      <c r="DU369" s="309">
        <v>684.38099999999997</v>
      </c>
      <c r="DW369">
        <v>79.400000000000006</v>
      </c>
      <c r="DX369" t="s">
        <v>238</v>
      </c>
      <c r="DY369">
        <v>947</v>
      </c>
      <c r="DZ369" t="s">
        <v>238</v>
      </c>
      <c r="EA369"/>
      <c r="EB369"/>
      <c r="ED369" s="410"/>
      <c r="EE369" s="1"/>
      <c r="EG369" s="410"/>
      <c r="EI369" s="410"/>
      <c r="EK369" s="1"/>
      <c r="EM369"/>
      <c r="EQ369" s="344"/>
      <c r="EU369" s="344"/>
      <c r="EW369" s="409"/>
      <c r="EY369" s="1"/>
      <c r="FA369">
        <v>201.37</v>
      </c>
      <c r="FB369" t="s">
        <v>225</v>
      </c>
      <c r="FC369" s="7">
        <v>413.80906481672548</v>
      </c>
      <c r="FD369" s="357" t="s">
        <v>225</v>
      </c>
      <c r="FE369" s="8">
        <v>32.628717214308523</v>
      </c>
      <c r="FF369" t="s">
        <v>237</v>
      </c>
      <c r="FH369" s="9">
        <v>481.72590355916327</v>
      </c>
      <c r="FI369" s="9" t="s">
        <v>225</v>
      </c>
      <c r="FJ369">
        <v>315</v>
      </c>
      <c r="FK369" t="s">
        <v>238</v>
      </c>
      <c r="FL369">
        <v>280</v>
      </c>
      <c r="FM369">
        <v>166.91678072110594</v>
      </c>
      <c r="FN369" s="5" t="s">
        <v>237</v>
      </c>
      <c r="FP369" s="6">
        <v>8.3458390360552972</v>
      </c>
      <c r="FQ369" t="s">
        <v>277</v>
      </c>
      <c r="FS369" t="s">
        <v>240</v>
      </c>
      <c r="FT369" t="e">
        <f>FQ369=#REF!</f>
        <v>#REF!</v>
      </c>
      <c r="FU369" s="8">
        <v>2</v>
      </c>
      <c r="FV369" s="8">
        <v>10</v>
      </c>
      <c r="FW369" s="8">
        <v>10</v>
      </c>
      <c r="FX369" s="8">
        <v>10</v>
      </c>
      <c r="FY369" s="8">
        <v>3</v>
      </c>
      <c r="FZ369">
        <f t="shared" si="5"/>
        <v>6000</v>
      </c>
      <c r="GA369" s="7" t="s">
        <v>241</v>
      </c>
      <c r="GB369" s="7" t="s">
        <v>241</v>
      </c>
      <c r="GC369" s="6">
        <v>30</v>
      </c>
      <c r="GD369" s="348" t="s">
        <v>242</v>
      </c>
      <c r="GF369" s="6">
        <v>5.4381195357180868E-2</v>
      </c>
      <c r="GH369" s="7"/>
      <c r="GI369" s="445"/>
      <c r="GJ369" s="445"/>
      <c r="GK369" s="445"/>
      <c r="GL369" s="445"/>
      <c r="GM369" s="460" t="s">
        <v>305</v>
      </c>
      <c r="GN369" s="445"/>
      <c r="GO369" s="445"/>
      <c r="GP369" s="445"/>
      <c r="GQ369" s="445"/>
      <c r="GR369" s="460" t="s">
        <v>305</v>
      </c>
      <c r="GU369" t="s">
        <v>243</v>
      </c>
      <c r="GV369" t="s">
        <v>225</v>
      </c>
      <c r="GW369" t="s">
        <v>244</v>
      </c>
      <c r="GX369" t="s">
        <v>225</v>
      </c>
      <c r="GY369" t="s">
        <v>245</v>
      </c>
      <c r="HE369" t="s">
        <v>247</v>
      </c>
      <c r="HF369" t="s">
        <v>223</v>
      </c>
      <c r="HG369" t="s">
        <v>317</v>
      </c>
      <c r="HH369" t="s">
        <v>236</v>
      </c>
      <c r="HI369" t="s">
        <v>247</v>
      </c>
      <c r="HJ369" t="s">
        <v>223</v>
      </c>
      <c r="HK369" t="s">
        <v>266</v>
      </c>
      <c r="HL369" t="s">
        <v>231</v>
      </c>
      <c r="HM369" t="s">
        <v>231</v>
      </c>
      <c r="HO369" t="s">
        <v>231</v>
      </c>
      <c r="HP369" t="s">
        <v>249</v>
      </c>
      <c r="HQ369" t="s">
        <v>231</v>
      </c>
      <c r="HR369" t="s">
        <v>249</v>
      </c>
      <c r="HS369" t="s">
        <v>231</v>
      </c>
      <c r="HU369" t="s">
        <v>231</v>
      </c>
      <c r="HV369" t="s">
        <v>249</v>
      </c>
      <c r="HW369" t="s">
        <v>506</v>
      </c>
      <c r="HX369" t="s">
        <v>236</v>
      </c>
      <c r="IA369" t="s">
        <v>231</v>
      </c>
      <c r="IB369" t="s">
        <v>250</v>
      </c>
      <c r="IC369" s="447"/>
      <c r="ID369" s="447"/>
      <c r="IE369" s="447"/>
      <c r="IF369" s="447"/>
      <c r="IG369" s="459" t="s">
        <v>451</v>
      </c>
      <c r="IH369" t="s">
        <v>235</v>
      </c>
    </row>
    <row r="370" spans="1:242" x14ac:dyDescent="0.35">
      <c r="A370" s="310" t="s">
        <v>2103</v>
      </c>
      <c r="B370" t="s">
        <v>2104</v>
      </c>
      <c r="C370" s="310" t="s">
        <v>2105</v>
      </c>
      <c r="D370" s="316"/>
      <c r="F370" t="s">
        <v>2106</v>
      </c>
      <c r="I370" s="310" t="s">
        <v>2107</v>
      </c>
      <c r="M370" s="313"/>
      <c r="O370"/>
      <c r="P370" s="381"/>
      <c r="Q370"/>
      <c r="T370" s="8"/>
      <c r="U370"/>
      <c r="V370" s="313"/>
      <c r="W370"/>
      <c r="X370"/>
      <c r="Z370"/>
      <c r="AB370"/>
      <c r="AD370" s="8" t="s">
        <v>230</v>
      </c>
      <c r="AF370" s="8" t="s">
        <v>230</v>
      </c>
      <c r="AG370"/>
      <c r="AH370"/>
      <c r="AI370"/>
      <c r="AJ370" t="s">
        <v>221</v>
      </c>
      <c r="AK370">
        <v>0</v>
      </c>
      <c r="AL370">
        <v>0.75</v>
      </c>
      <c r="AM370" t="s">
        <v>221</v>
      </c>
      <c r="AN370" t="s">
        <v>223</v>
      </c>
      <c r="AO370" t="s">
        <v>221</v>
      </c>
      <c r="AP370" t="s">
        <v>223</v>
      </c>
      <c r="AQ370" t="s">
        <v>221</v>
      </c>
      <c r="AR370" t="s">
        <v>225</v>
      </c>
      <c r="AS370" t="s">
        <v>221</v>
      </c>
      <c r="AT370" t="s">
        <v>225</v>
      </c>
      <c r="AU370" t="s">
        <v>220</v>
      </c>
      <c r="AV370"/>
      <c r="AW370" s="313" t="s">
        <v>220</v>
      </c>
      <c r="AX370" t="s">
        <v>226</v>
      </c>
      <c r="AY370" s="313" t="s">
        <v>220</v>
      </c>
      <c r="AZ370" s="313">
        <v>0.121</v>
      </c>
      <c r="BB370" s="313" t="s">
        <v>220</v>
      </c>
      <c r="BC370">
        <v>3.8399999999999997E-2</v>
      </c>
      <c r="BD370" t="s">
        <v>220</v>
      </c>
      <c r="BE370">
        <v>6.5399999999999998E-3</v>
      </c>
      <c r="BF370" s="2" t="s">
        <v>220</v>
      </c>
      <c r="BG370" s="2" t="s">
        <v>273</v>
      </c>
      <c r="BH370" s="2" t="s">
        <v>274</v>
      </c>
      <c r="BI370" s="2" t="s">
        <v>275</v>
      </c>
      <c r="BM370"/>
      <c r="BP370" s="8"/>
      <c r="BQ370" t="s">
        <v>230</v>
      </c>
      <c r="BR370" t="s">
        <v>230</v>
      </c>
      <c r="BU370" t="s">
        <v>231</v>
      </c>
      <c r="BV370" t="s">
        <v>225</v>
      </c>
      <c r="BW370" t="s">
        <v>232</v>
      </c>
      <c r="BX370" t="s">
        <v>276</v>
      </c>
      <c r="BY370" t="s">
        <v>220</v>
      </c>
      <c r="BZ370">
        <v>0.154</v>
      </c>
      <c r="CA370" t="s">
        <v>234</v>
      </c>
      <c r="CF370" t="s">
        <v>227</v>
      </c>
      <c r="CG370">
        <v>1.4200000000000001E-2</v>
      </c>
      <c r="CH370" t="s">
        <v>227</v>
      </c>
      <c r="CI370">
        <v>6.1199999999999996E-3</v>
      </c>
      <c r="CK370"/>
      <c r="CL370"/>
      <c r="CM370"/>
      <c r="CS370" s="8"/>
      <c r="CW370" t="s">
        <v>220</v>
      </c>
      <c r="CX370" t="s">
        <v>220</v>
      </c>
      <c r="CY370" t="s">
        <v>231</v>
      </c>
      <c r="CZ370" t="s">
        <v>227</v>
      </c>
      <c r="DA370" t="s">
        <v>227</v>
      </c>
      <c r="DB370" t="s">
        <v>227</v>
      </c>
      <c r="DC370"/>
      <c r="DD370"/>
      <c r="DE370"/>
      <c r="DF370"/>
      <c r="DG370"/>
      <c r="DH370" s="323"/>
      <c r="DI370" s="323"/>
      <c r="DJ370" s="323"/>
      <c r="DL370" t="s">
        <v>220</v>
      </c>
      <c r="DM370" t="s">
        <v>220</v>
      </c>
      <c r="DN370" t="s">
        <v>220</v>
      </c>
      <c r="DO370" t="s">
        <v>227</v>
      </c>
      <c r="DP370" t="s">
        <v>227</v>
      </c>
      <c r="DS370" s="309">
        <v>86.832999999999998</v>
      </c>
      <c r="DU370" s="309">
        <v>464.815</v>
      </c>
      <c r="DW370"/>
      <c r="DX370" t="s">
        <v>235</v>
      </c>
      <c r="DY370"/>
      <c r="DZ370" t="s">
        <v>235</v>
      </c>
      <c r="EA370"/>
      <c r="EB370"/>
      <c r="ED370" s="410"/>
      <c r="EE370" s="1"/>
      <c r="EG370" s="410"/>
      <c r="EI370" s="410"/>
      <c r="EK370" s="1"/>
      <c r="EM370"/>
      <c r="EQ370" s="344"/>
      <c r="EU370" s="344"/>
      <c r="EW370" s="409"/>
      <c r="EY370" s="1"/>
      <c r="FA370">
        <v>82.32</v>
      </c>
      <c r="FB370" t="s">
        <v>225</v>
      </c>
      <c r="FC370" s="7">
        <v>199.80207767658686</v>
      </c>
      <c r="FD370" s="357" t="s">
        <v>236</v>
      </c>
      <c r="FE370" s="8">
        <v>0.45446453720950863</v>
      </c>
      <c r="FF370" t="s">
        <v>237</v>
      </c>
      <c r="FH370" s="9">
        <v>162.51745024063547</v>
      </c>
      <c r="FI370" s="9" t="s">
        <v>225</v>
      </c>
      <c r="FK370" t="s">
        <v>235</v>
      </c>
      <c r="FL370">
        <v>27.6</v>
      </c>
      <c r="FM370">
        <v>2.3030321463117618</v>
      </c>
      <c r="FN370" s="5" t="s">
        <v>237</v>
      </c>
      <c r="FP370" s="6">
        <v>0.11515160731558809</v>
      </c>
      <c r="FQ370" t="s">
        <v>277</v>
      </c>
      <c r="FS370" t="s">
        <v>240</v>
      </c>
      <c r="FT370" t="e">
        <f>FQ370=#REF!</f>
        <v>#REF!</v>
      </c>
      <c r="FU370" s="8">
        <v>2</v>
      </c>
      <c r="FV370" s="8">
        <v>10</v>
      </c>
      <c r="FW370" s="8">
        <v>10</v>
      </c>
      <c r="FX370" s="8">
        <v>10</v>
      </c>
      <c r="FY370" s="8">
        <v>1</v>
      </c>
      <c r="FZ370">
        <f t="shared" si="5"/>
        <v>2000</v>
      </c>
      <c r="GA370" s="7" t="s">
        <v>326</v>
      </c>
      <c r="GB370" s="7" t="s">
        <v>326</v>
      </c>
      <c r="GC370" s="6">
        <v>1.5</v>
      </c>
      <c r="GD370" s="348" t="s">
        <v>242</v>
      </c>
      <c r="GF370" s="6">
        <v>7.5744089534918115E-4</v>
      </c>
      <c r="GH370" s="7"/>
      <c r="GI370" s="445"/>
      <c r="GJ370" s="445"/>
      <c r="GK370" s="445"/>
      <c r="GL370" s="445"/>
      <c r="GM370" s="453"/>
      <c r="GN370" s="6">
        <v>0.01</v>
      </c>
      <c r="GO370" s="6">
        <v>1.8749999999999999E-2</v>
      </c>
      <c r="GP370" s="6">
        <v>0.03</v>
      </c>
      <c r="GQ370" s="6">
        <v>7.4999999999999997E-2</v>
      </c>
      <c r="GR370" s="6" t="s">
        <v>230</v>
      </c>
      <c r="GU370" t="s">
        <v>365</v>
      </c>
      <c r="GV370" t="s">
        <v>223</v>
      </c>
      <c r="GW370" t="s">
        <v>244</v>
      </c>
      <c r="GX370" t="s">
        <v>236</v>
      </c>
      <c r="GY370" t="s">
        <v>245</v>
      </c>
      <c r="HE370" t="s">
        <v>247</v>
      </c>
      <c r="HF370" t="s">
        <v>223</v>
      </c>
      <c r="HG370" t="s">
        <v>231</v>
      </c>
      <c r="HH370" t="s">
        <v>236</v>
      </c>
      <c r="HI370" t="s">
        <v>247</v>
      </c>
      <c r="HJ370" t="s">
        <v>225</v>
      </c>
      <c r="HK370" t="s">
        <v>418</v>
      </c>
      <c r="HO370" t="s">
        <v>231</v>
      </c>
      <c r="HP370" t="s">
        <v>223</v>
      </c>
      <c r="HQ370" t="s">
        <v>231</v>
      </c>
      <c r="HR370" t="s">
        <v>223</v>
      </c>
      <c r="HU370" t="s">
        <v>231</v>
      </c>
      <c r="HV370" t="s">
        <v>225</v>
      </c>
      <c r="HW370" t="s">
        <v>246</v>
      </c>
      <c r="HX370" t="s">
        <v>236</v>
      </c>
      <c r="IA370" t="s">
        <v>317</v>
      </c>
      <c r="IB370" t="s">
        <v>250</v>
      </c>
      <c r="IC370" s="447"/>
      <c r="ID370" s="447"/>
      <c r="IE370" s="447"/>
      <c r="IF370" s="447"/>
      <c r="IH370" t="s">
        <v>235</v>
      </c>
    </row>
    <row r="371" spans="1:242" x14ac:dyDescent="0.35">
      <c r="A371" s="310" t="s">
        <v>2108</v>
      </c>
      <c r="B371" t="s">
        <v>2109</v>
      </c>
      <c r="C371" s="310" t="s">
        <v>2110</v>
      </c>
      <c r="D371" s="316"/>
      <c r="F371" t="s">
        <v>2111</v>
      </c>
      <c r="I371" s="310" t="s">
        <v>2112</v>
      </c>
      <c r="M371" s="313"/>
      <c r="O371"/>
      <c r="P371" s="381"/>
      <c r="Q371"/>
      <c r="T371" s="8"/>
      <c r="U371"/>
      <c r="V371" s="313"/>
      <c r="W371"/>
      <c r="X371"/>
      <c r="Z371"/>
      <c r="AB371"/>
      <c r="AD371" s="8" t="s">
        <v>230</v>
      </c>
      <c r="AF371" s="8" t="s">
        <v>230</v>
      </c>
      <c r="AG371"/>
      <c r="AH371"/>
      <c r="AI371"/>
      <c r="AJ371" t="s">
        <v>221</v>
      </c>
      <c r="AK371">
        <v>0</v>
      </c>
      <c r="AL371">
        <v>0.75</v>
      </c>
      <c r="AM371" t="s">
        <v>221</v>
      </c>
      <c r="AN371" t="s">
        <v>223</v>
      </c>
      <c r="AO371" t="s">
        <v>221</v>
      </c>
      <c r="AP371" t="s">
        <v>223</v>
      </c>
      <c r="AQ371" t="s">
        <v>221</v>
      </c>
      <c r="AR371" t="s">
        <v>225</v>
      </c>
      <c r="AS371" t="s">
        <v>221</v>
      </c>
      <c r="AT371" t="s">
        <v>225</v>
      </c>
      <c r="AU371" t="s">
        <v>220</v>
      </c>
      <c r="AV371"/>
      <c r="AW371" s="313" t="s">
        <v>220</v>
      </c>
      <c r="AX371" t="s">
        <v>226</v>
      </c>
      <c r="AY371" s="313" t="s">
        <v>220</v>
      </c>
      <c r="AZ371" s="313">
        <v>4.7800000000000002E-2</v>
      </c>
      <c r="BB371" s="313" t="s">
        <v>220</v>
      </c>
      <c r="BC371">
        <v>2.4799999999999999E-2</v>
      </c>
      <c r="BD371" t="s">
        <v>220</v>
      </c>
      <c r="BE371">
        <v>7.8700000000000006E-2</v>
      </c>
      <c r="BF371" s="2" t="s">
        <v>220</v>
      </c>
      <c r="BG371" s="2" t="s">
        <v>273</v>
      </c>
      <c r="BH371" s="2" t="s">
        <v>274</v>
      </c>
      <c r="BI371" s="2" t="s">
        <v>275</v>
      </c>
      <c r="BM371"/>
      <c r="BP371" s="8"/>
      <c r="BQ371" t="s">
        <v>230</v>
      </c>
      <c r="BR371" t="s">
        <v>230</v>
      </c>
      <c r="BU371" t="s">
        <v>231</v>
      </c>
      <c r="BV371" t="s">
        <v>223</v>
      </c>
      <c r="BW371" t="s">
        <v>232</v>
      </c>
      <c r="BX371" t="s">
        <v>500</v>
      </c>
      <c r="BY371" t="s">
        <v>220</v>
      </c>
      <c r="BZ371">
        <v>0.23899999999999999</v>
      </c>
      <c r="CA371" t="s">
        <v>234</v>
      </c>
      <c r="CF371" t="s">
        <v>220</v>
      </c>
      <c r="CG371">
        <v>0.11899999999999999</v>
      </c>
      <c r="CH371" t="s">
        <v>220</v>
      </c>
      <c r="CI371">
        <v>0.14000000000000001</v>
      </c>
      <c r="CK371"/>
      <c r="CL371"/>
      <c r="CM371"/>
      <c r="CS371" s="8"/>
      <c r="CW371" t="s">
        <v>220</v>
      </c>
      <c r="CX371" t="s">
        <v>220</v>
      </c>
      <c r="CY371" t="s">
        <v>231</v>
      </c>
      <c r="CZ371" t="s">
        <v>220</v>
      </c>
      <c r="DA371" t="s">
        <v>227</v>
      </c>
      <c r="DB371" t="s">
        <v>220</v>
      </c>
      <c r="DC371"/>
      <c r="DD371"/>
      <c r="DE371"/>
      <c r="DF371"/>
      <c r="DG371"/>
      <c r="DH371" s="323"/>
      <c r="DI371" s="323"/>
      <c r="DJ371" s="323"/>
      <c r="DL371" t="s">
        <v>220</v>
      </c>
      <c r="DM371" t="s">
        <v>220</v>
      </c>
      <c r="DN371" t="s">
        <v>227</v>
      </c>
      <c r="DO371" t="s">
        <v>227</v>
      </c>
      <c r="DP371" t="s">
        <v>227</v>
      </c>
      <c r="DS371" s="338">
        <v>347.65199999999999</v>
      </c>
      <c r="DT371" s="8" t="s">
        <v>394</v>
      </c>
      <c r="DU371" s="309">
        <v>327.47500000000002</v>
      </c>
      <c r="DW371">
        <v>9.3699999999999992</v>
      </c>
      <c r="DX371" t="s">
        <v>238</v>
      </c>
      <c r="DY371">
        <v>1430</v>
      </c>
      <c r="DZ371" t="s">
        <v>238</v>
      </c>
      <c r="EA371"/>
      <c r="EB371"/>
      <c r="ED371" s="410"/>
      <c r="EE371" s="1"/>
      <c r="EG371" s="410"/>
      <c r="EI371" s="410"/>
      <c r="EK371" s="1"/>
      <c r="EM371"/>
      <c r="EQ371" s="344"/>
      <c r="EU371" s="344"/>
      <c r="EW371" s="409"/>
      <c r="EY371" s="1"/>
      <c r="FA371">
        <v>22.54</v>
      </c>
      <c r="FB371" t="s">
        <v>236</v>
      </c>
      <c r="FC371" s="7">
        <v>495.22208008852141</v>
      </c>
      <c r="FD371" s="357" t="s">
        <v>225</v>
      </c>
      <c r="FE371" s="8">
        <v>2.6631768070405206</v>
      </c>
      <c r="FF371" t="s">
        <v>237</v>
      </c>
      <c r="FH371" s="9">
        <v>130.28667477561606</v>
      </c>
      <c r="FI371" s="9" t="s">
        <v>236</v>
      </c>
      <c r="FJ371">
        <v>122</v>
      </c>
      <c r="FK371" t="s">
        <v>238</v>
      </c>
      <c r="FL371">
        <v>101</v>
      </c>
      <c r="FM371">
        <v>20.658557819227212</v>
      </c>
      <c r="FN371" s="5" t="s">
        <v>237</v>
      </c>
      <c r="FP371" s="6">
        <v>10.1</v>
      </c>
      <c r="FQ371" t="s">
        <v>239</v>
      </c>
      <c r="FS371" t="s">
        <v>240</v>
      </c>
      <c r="FT371" t="e">
        <f>FQ371=#REF!</f>
        <v>#REF!</v>
      </c>
      <c r="FU371" s="8">
        <v>1</v>
      </c>
      <c r="FV371" s="8">
        <v>10</v>
      </c>
      <c r="FW371" s="8">
        <v>10</v>
      </c>
      <c r="FX371" s="8">
        <v>10</v>
      </c>
      <c r="FY371" s="8">
        <v>3</v>
      </c>
      <c r="FZ371">
        <f t="shared" si="5"/>
        <v>3000</v>
      </c>
      <c r="GA371" s="7" t="s">
        <v>326</v>
      </c>
      <c r="GB371" s="7" t="s">
        <v>326</v>
      </c>
      <c r="GC371" s="6">
        <v>1.5</v>
      </c>
      <c r="GD371" s="348" t="s">
        <v>242</v>
      </c>
      <c r="GF371" s="6">
        <v>2.1714445795936014E-2</v>
      </c>
      <c r="GH371" s="7"/>
      <c r="GI371" s="441">
        <v>0.224</v>
      </c>
      <c r="GJ371" s="441">
        <v>0.42099999999999999</v>
      </c>
      <c r="GK371" s="441">
        <v>0.67300000000000004</v>
      </c>
      <c r="GL371" s="441">
        <v>1.6830000000000001</v>
      </c>
      <c r="GM371" s="452" t="s">
        <v>262</v>
      </c>
      <c r="GN371" s="6">
        <v>0.01</v>
      </c>
      <c r="GO371" s="6">
        <v>1.8749999999999999E-2</v>
      </c>
      <c r="GP371" s="6">
        <v>0.03</v>
      </c>
      <c r="GQ371" s="6">
        <v>7.4999999999999997E-2</v>
      </c>
      <c r="GR371" s="6" t="s">
        <v>230</v>
      </c>
      <c r="GU371" t="s">
        <v>243</v>
      </c>
      <c r="GV371" t="s">
        <v>236</v>
      </c>
      <c r="GW371" t="s">
        <v>244</v>
      </c>
      <c r="GX371" t="s">
        <v>236</v>
      </c>
      <c r="GY371" t="s">
        <v>245</v>
      </c>
      <c r="HE371" t="s">
        <v>247</v>
      </c>
      <c r="HF371" t="s">
        <v>236</v>
      </c>
      <c r="HG371" t="s">
        <v>317</v>
      </c>
      <c r="HH371" t="s">
        <v>236</v>
      </c>
      <c r="HI371" t="s">
        <v>247</v>
      </c>
      <c r="HJ371" t="s">
        <v>236</v>
      </c>
      <c r="HK371" t="s">
        <v>266</v>
      </c>
      <c r="HL371" t="s">
        <v>231</v>
      </c>
      <c r="HM371" t="s">
        <v>231</v>
      </c>
      <c r="HO371" t="s">
        <v>231</v>
      </c>
      <c r="HP371" t="s">
        <v>249</v>
      </c>
      <c r="HQ371" t="s">
        <v>231</v>
      </c>
      <c r="HR371" t="s">
        <v>249</v>
      </c>
      <c r="HU371" t="s">
        <v>231</v>
      </c>
      <c r="HV371" t="s">
        <v>223</v>
      </c>
      <c r="HW371" t="s">
        <v>482</v>
      </c>
      <c r="HX371" t="s">
        <v>223</v>
      </c>
      <c r="IA371" t="s">
        <v>231</v>
      </c>
      <c r="IB371" t="s">
        <v>250</v>
      </c>
      <c r="IC371">
        <v>0.224</v>
      </c>
      <c r="ID371">
        <v>0.42099999999999999</v>
      </c>
      <c r="IE371">
        <v>0.67300000000000004</v>
      </c>
      <c r="IF371">
        <v>1.6830000000000001</v>
      </c>
      <c r="IH371" t="s">
        <v>267</v>
      </c>
    </row>
    <row r="372" spans="1:242" x14ac:dyDescent="0.35">
      <c r="A372" s="310" t="s">
        <v>2113</v>
      </c>
      <c r="B372" t="s">
        <v>2114</v>
      </c>
      <c r="C372" s="310" t="s">
        <v>2115</v>
      </c>
      <c r="D372" s="316"/>
      <c r="F372" t="s">
        <v>2116</v>
      </c>
      <c r="I372" s="310" t="s">
        <v>2117</v>
      </c>
      <c r="M372" s="313"/>
      <c r="O372"/>
      <c r="P372" s="381"/>
      <c r="Q372"/>
      <c r="T372" s="8"/>
      <c r="U372"/>
      <c r="V372" s="313"/>
      <c r="W372"/>
      <c r="X372"/>
      <c r="Z372"/>
      <c r="AB372"/>
      <c r="AD372" s="8" t="s">
        <v>230</v>
      </c>
      <c r="AF372" s="8" t="s">
        <v>230</v>
      </c>
      <c r="AG372"/>
      <c r="AH372"/>
      <c r="AI372"/>
      <c r="AJ372" t="s">
        <v>221</v>
      </c>
      <c r="AK372">
        <v>0</v>
      </c>
      <c r="AL372">
        <v>0.75</v>
      </c>
      <c r="AM372" t="s">
        <v>221</v>
      </c>
      <c r="AN372" t="s">
        <v>223</v>
      </c>
      <c r="AO372" t="s">
        <v>221</v>
      </c>
      <c r="AP372" t="s">
        <v>223</v>
      </c>
      <c r="AQ372" t="s">
        <v>221</v>
      </c>
      <c r="AR372" t="s">
        <v>225</v>
      </c>
      <c r="AS372" t="s">
        <v>221</v>
      </c>
      <c r="AT372" t="s">
        <v>225</v>
      </c>
      <c r="AU372" t="s">
        <v>220</v>
      </c>
      <c r="AV372"/>
      <c r="AW372" s="313" t="s">
        <v>220</v>
      </c>
      <c r="AX372" t="s">
        <v>226</v>
      </c>
      <c r="AY372" s="313" t="s">
        <v>220</v>
      </c>
      <c r="AZ372" s="313">
        <v>4.8399999999999999E-2</v>
      </c>
      <c r="BB372" s="313" t="s">
        <v>220</v>
      </c>
      <c r="BC372">
        <v>2.4899999999999999E-2</v>
      </c>
      <c r="BD372" t="s">
        <v>220</v>
      </c>
      <c r="BE372">
        <v>8.3299999999999999E-2</v>
      </c>
      <c r="BF372" s="2" t="s">
        <v>220</v>
      </c>
      <c r="BG372" s="2" t="s">
        <v>273</v>
      </c>
      <c r="BH372" s="2" t="s">
        <v>274</v>
      </c>
      <c r="BI372" s="2" t="s">
        <v>275</v>
      </c>
      <c r="BM372"/>
      <c r="BP372" s="8"/>
      <c r="BQ372" t="s">
        <v>230</v>
      </c>
      <c r="BR372" t="s">
        <v>230</v>
      </c>
      <c r="BU372" t="s">
        <v>231</v>
      </c>
      <c r="BV372" t="s">
        <v>223</v>
      </c>
      <c r="BW372" t="s">
        <v>232</v>
      </c>
      <c r="BX372" t="s">
        <v>500</v>
      </c>
      <c r="BY372" t="s">
        <v>220</v>
      </c>
      <c r="BZ372">
        <v>0.25</v>
      </c>
      <c r="CA372" t="s">
        <v>234</v>
      </c>
      <c r="CF372" t="s">
        <v>220</v>
      </c>
      <c r="CG372">
        <v>0.13500000000000001</v>
      </c>
      <c r="CH372" t="s">
        <v>220</v>
      </c>
      <c r="CI372">
        <v>0.158</v>
      </c>
      <c r="CK372"/>
      <c r="CL372"/>
      <c r="CM372"/>
      <c r="CS372" s="8"/>
      <c r="CW372" t="s">
        <v>220</v>
      </c>
      <c r="CX372" t="s">
        <v>220</v>
      </c>
      <c r="CY372" t="s">
        <v>231</v>
      </c>
      <c r="CZ372" t="s">
        <v>220</v>
      </c>
      <c r="DA372" t="s">
        <v>227</v>
      </c>
      <c r="DB372" t="s">
        <v>220</v>
      </c>
      <c r="DC372"/>
      <c r="DD372"/>
      <c r="DE372"/>
      <c r="DF372"/>
      <c r="DG372"/>
      <c r="DH372" s="323"/>
      <c r="DI372" s="323"/>
      <c r="DJ372" s="323"/>
      <c r="DL372" t="s">
        <v>220</v>
      </c>
      <c r="DM372" t="s">
        <v>220</v>
      </c>
      <c r="DN372" t="s">
        <v>227</v>
      </c>
      <c r="DO372" t="s">
        <v>227</v>
      </c>
      <c r="DP372" t="s">
        <v>227</v>
      </c>
      <c r="DS372" s="309">
        <v>254.554</v>
      </c>
      <c r="DU372" s="309">
        <v>309.20999999999998</v>
      </c>
      <c r="DW372">
        <v>6.89</v>
      </c>
      <c r="DX372" t="s">
        <v>238</v>
      </c>
      <c r="DY372">
        <v>1150</v>
      </c>
      <c r="DZ372" t="s">
        <v>238</v>
      </c>
      <c r="EA372"/>
      <c r="EB372"/>
      <c r="ED372" s="410"/>
      <c r="EE372" s="1"/>
      <c r="EG372" s="410"/>
      <c r="EI372" s="410"/>
      <c r="EK372" s="1"/>
      <c r="EM372"/>
      <c r="EQ372" s="344"/>
      <c r="EU372" s="344"/>
      <c r="EW372" s="409"/>
      <c r="EY372" s="1"/>
      <c r="FA372">
        <v>20.32</v>
      </c>
      <c r="FB372" t="s">
        <v>236</v>
      </c>
      <c r="FC372" s="7">
        <v>364.5860101972761</v>
      </c>
      <c r="FD372" s="357" t="s">
        <v>225</v>
      </c>
      <c r="FE372" s="8">
        <v>3.012312333777607</v>
      </c>
      <c r="FF372" t="s">
        <v>237</v>
      </c>
      <c r="FH372" s="9">
        <v>99.380230568111827</v>
      </c>
      <c r="FI372" s="9" t="s">
        <v>236</v>
      </c>
      <c r="FJ372">
        <v>101</v>
      </c>
      <c r="FK372" t="s">
        <v>238</v>
      </c>
      <c r="FL372">
        <v>95.6</v>
      </c>
      <c r="FM372">
        <v>20.965247802919585</v>
      </c>
      <c r="FN372" s="5" t="s">
        <v>237</v>
      </c>
      <c r="FP372" s="6">
        <v>9.5599999999999987</v>
      </c>
      <c r="FQ372" t="s">
        <v>239</v>
      </c>
      <c r="FS372" t="s">
        <v>240</v>
      </c>
      <c r="FT372" t="e">
        <f>FQ372=#REF!</f>
        <v>#REF!</v>
      </c>
      <c r="FU372" s="8">
        <v>1</v>
      </c>
      <c r="FV372" s="8">
        <v>10</v>
      </c>
      <c r="FW372" s="8">
        <v>10</v>
      </c>
      <c r="FX372" s="8">
        <v>10</v>
      </c>
      <c r="FY372" s="8">
        <v>3</v>
      </c>
      <c r="FZ372">
        <f t="shared" si="5"/>
        <v>3000</v>
      </c>
      <c r="GA372" s="7" t="s">
        <v>326</v>
      </c>
      <c r="GB372" s="7" t="s">
        <v>326</v>
      </c>
      <c r="GC372" s="6">
        <v>1.5</v>
      </c>
      <c r="GD372" s="348" t="s">
        <v>242</v>
      </c>
      <c r="GF372" s="6">
        <v>1.6563371761351971E-2</v>
      </c>
      <c r="GH372" s="7"/>
      <c r="GI372" s="441">
        <v>0.21199999999999999</v>
      </c>
      <c r="GJ372" s="441">
        <v>0.39800000000000002</v>
      </c>
      <c r="GK372" s="441">
        <v>0.63700000000000001</v>
      </c>
      <c r="GL372" s="441">
        <v>1.593</v>
      </c>
      <c r="GM372" s="452" t="s">
        <v>262</v>
      </c>
      <c r="GN372" s="6">
        <v>0.01</v>
      </c>
      <c r="GO372" s="6">
        <v>1.8749999999999999E-2</v>
      </c>
      <c r="GP372" s="6">
        <v>0.03</v>
      </c>
      <c r="GQ372" s="6">
        <v>7.4999999999999997E-2</v>
      </c>
      <c r="GR372" s="6" t="s">
        <v>230</v>
      </c>
      <c r="GU372" t="s">
        <v>243</v>
      </c>
      <c r="GV372" t="s">
        <v>236</v>
      </c>
      <c r="GW372" t="s">
        <v>244</v>
      </c>
      <c r="GX372" t="s">
        <v>236</v>
      </c>
      <c r="GY372" t="s">
        <v>245</v>
      </c>
      <c r="HE372" t="s">
        <v>247</v>
      </c>
      <c r="HF372" t="s">
        <v>236</v>
      </c>
      <c r="HG372" t="s">
        <v>317</v>
      </c>
      <c r="HH372" t="s">
        <v>236</v>
      </c>
      <c r="HI372" t="s">
        <v>247</v>
      </c>
      <c r="HJ372" t="s">
        <v>225</v>
      </c>
      <c r="HK372" t="s">
        <v>266</v>
      </c>
      <c r="HO372" t="s">
        <v>231</v>
      </c>
      <c r="HP372" t="s">
        <v>223</v>
      </c>
      <c r="HQ372" t="s">
        <v>231</v>
      </c>
      <c r="HR372" t="s">
        <v>223</v>
      </c>
      <c r="HU372" t="s">
        <v>231</v>
      </c>
      <c r="HV372" t="s">
        <v>223</v>
      </c>
      <c r="HW372" t="s">
        <v>482</v>
      </c>
      <c r="HX372" t="s">
        <v>223</v>
      </c>
      <c r="IA372" t="s">
        <v>231</v>
      </c>
      <c r="IB372" t="s">
        <v>250</v>
      </c>
      <c r="IC372">
        <v>0.21199999999999999</v>
      </c>
      <c r="ID372">
        <v>0.39800000000000002</v>
      </c>
      <c r="IE372">
        <v>0.63700000000000001</v>
      </c>
      <c r="IF372">
        <v>1.593</v>
      </c>
      <c r="IH372" t="s">
        <v>267</v>
      </c>
    </row>
    <row r="373" spans="1:242" x14ac:dyDescent="0.35">
      <c r="A373" s="310" t="s">
        <v>2118</v>
      </c>
      <c r="B373" t="s">
        <v>2119</v>
      </c>
      <c r="C373" s="310" t="s">
        <v>2120</v>
      </c>
      <c r="D373" s="316"/>
      <c r="F373" t="s">
        <v>2121</v>
      </c>
      <c r="I373" s="310" t="s">
        <v>2122</v>
      </c>
      <c r="M373" s="313" t="s">
        <v>220</v>
      </c>
      <c r="O373" t="s">
        <v>221</v>
      </c>
      <c r="P373" s="381"/>
      <c r="Q373" t="s">
        <v>221</v>
      </c>
      <c r="T373" s="8"/>
      <c r="U373" t="s">
        <v>221</v>
      </c>
      <c r="V373" s="313"/>
      <c r="W373" t="s">
        <v>301</v>
      </c>
      <c r="X373" t="s">
        <v>1184</v>
      </c>
      <c r="Z373" t="s">
        <v>220</v>
      </c>
      <c r="AB373"/>
      <c r="AD373" s="8" t="s">
        <v>230</v>
      </c>
      <c r="AF373" s="8" t="s">
        <v>230</v>
      </c>
      <c r="AG373"/>
      <c r="AH373"/>
      <c r="AI373"/>
      <c r="AJ373" t="s">
        <v>221</v>
      </c>
      <c r="AK373">
        <v>0</v>
      </c>
      <c r="AL373">
        <v>1</v>
      </c>
      <c r="AM373" t="s">
        <v>221</v>
      </c>
      <c r="AN373" t="s">
        <v>249</v>
      </c>
      <c r="AO373" t="s">
        <v>221</v>
      </c>
      <c r="AP373"/>
      <c r="AQ373" t="s">
        <v>221</v>
      </c>
      <c r="AR373" t="s">
        <v>225</v>
      </c>
      <c r="AS373" t="s">
        <v>221</v>
      </c>
      <c r="AT373"/>
      <c r="AU373" t="s">
        <v>220</v>
      </c>
      <c r="AV373"/>
      <c r="AW373" s="313" t="s">
        <v>335</v>
      </c>
      <c r="AX373" t="s">
        <v>226</v>
      </c>
      <c r="AY373" s="313" t="s">
        <v>1184</v>
      </c>
      <c r="AZ373" s="313">
        <v>0.111</v>
      </c>
      <c r="BB373" s="313" t="s">
        <v>220</v>
      </c>
      <c r="BC373">
        <v>5.5599999999999997E-2</v>
      </c>
      <c r="BD373" t="s">
        <v>220</v>
      </c>
      <c r="BE373">
        <v>4.3600000000000002E-3</v>
      </c>
      <c r="BF373" s="2" t="s">
        <v>220</v>
      </c>
      <c r="BH373" s="2" t="s">
        <v>228</v>
      </c>
      <c r="BI373" s="2" t="s">
        <v>275</v>
      </c>
      <c r="BM373"/>
      <c r="BP373" s="8"/>
      <c r="BQ373" t="s">
        <v>230</v>
      </c>
      <c r="BR373" t="s">
        <v>230</v>
      </c>
      <c r="BS373" t="s">
        <v>255</v>
      </c>
      <c r="BU373" t="s">
        <v>231</v>
      </c>
      <c r="BV373" t="s">
        <v>225</v>
      </c>
      <c r="BW373" t="s">
        <v>232</v>
      </c>
      <c r="BX373" t="s">
        <v>256</v>
      </c>
      <c r="BY373" t="s">
        <v>220</v>
      </c>
      <c r="BZ373">
        <v>0.11</v>
      </c>
      <c r="CA373" t="s">
        <v>234</v>
      </c>
      <c r="CF373" t="s">
        <v>227</v>
      </c>
      <c r="CG373">
        <v>1.8400000000000001E-3</v>
      </c>
      <c r="CH373" t="s">
        <v>227</v>
      </c>
      <c r="CI373">
        <v>2.47E-3</v>
      </c>
      <c r="CK373"/>
      <c r="CL373" t="s">
        <v>220</v>
      </c>
      <c r="CM373" t="s">
        <v>231</v>
      </c>
      <c r="CS373" s="8"/>
      <c r="CW373" t="s">
        <v>220</v>
      </c>
      <c r="CX373" t="s">
        <v>220</v>
      </c>
      <c r="CY373" t="s">
        <v>231</v>
      </c>
      <c r="CZ373" t="s">
        <v>227</v>
      </c>
      <c r="DA373" t="s">
        <v>227</v>
      </c>
      <c r="DB373" t="s">
        <v>227</v>
      </c>
      <c r="DC373"/>
      <c r="DD373"/>
      <c r="DE373"/>
      <c r="DF373"/>
      <c r="DG373"/>
      <c r="DH373" s="323"/>
      <c r="DI373" s="323"/>
      <c r="DJ373" s="323"/>
      <c r="DL373" t="s">
        <v>220</v>
      </c>
      <c r="DM373" t="s">
        <v>220</v>
      </c>
      <c r="DN373" t="s">
        <v>227</v>
      </c>
      <c r="DO373" t="s">
        <v>227</v>
      </c>
      <c r="DP373" t="s">
        <v>227</v>
      </c>
      <c r="DQ373" s="332" t="s">
        <v>835</v>
      </c>
      <c r="DR373" s="332" t="s">
        <v>702</v>
      </c>
      <c r="DS373" s="309">
        <v>401.87299999999999</v>
      </c>
      <c r="DU373" s="338">
        <v>460.80700000000002</v>
      </c>
      <c r="DV373" s="8" t="s">
        <v>394</v>
      </c>
      <c r="DW373"/>
      <c r="DX373" t="s">
        <v>235</v>
      </c>
      <c r="DY373"/>
      <c r="DZ373" t="s">
        <v>235</v>
      </c>
      <c r="EA373"/>
      <c r="EB373"/>
      <c r="ED373" s="410"/>
      <c r="EE373" s="1"/>
      <c r="EG373" s="410"/>
      <c r="EI373" s="410"/>
      <c r="EK373" s="1"/>
      <c r="EM373"/>
      <c r="EQ373" s="344"/>
      <c r="EU373" s="344"/>
      <c r="EW373" s="409"/>
      <c r="EY373" s="1"/>
      <c r="FA373">
        <v>108.63</v>
      </c>
      <c r="FB373" t="s">
        <v>225</v>
      </c>
      <c r="FC373" s="7">
        <v>197.3331279536504</v>
      </c>
      <c r="FD373" s="357" t="s">
        <v>236</v>
      </c>
      <c r="FE373" s="8">
        <v>2.9383261486728092</v>
      </c>
      <c r="FF373" t="s">
        <v>237</v>
      </c>
      <c r="FH373" s="9">
        <v>126.29902560699364</v>
      </c>
      <c r="FI373" s="9" t="s">
        <v>225</v>
      </c>
      <c r="FJ373">
        <v>1780</v>
      </c>
      <c r="FK373" t="s">
        <v>238</v>
      </c>
      <c r="FL373">
        <v>18.2</v>
      </c>
      <c r="FM373">
        <v>53.40722340937613</v>
      </c>
      <c r="FN373" s="5" t="s">
        <v>237</v>
      </c>
      <c r="FP373" s="6">
        <v>1.8199999999999998</v>
      </c>
      <c r="FQ373" t="s">
        <v>239</v>
      </c>
      <c r="FS373" t="s">
        <v>240</v>
      </c>
      <c r="FT373" t="e">
        <f>FQ373=#REF!</f>
        <v>#REF!</v>
      </c>
      <c r="FU373" s="8">
        <v>1</v>
      </c>
      <c r="FV373" s="8">
        <v>10</v>
      </c>
      <c r="FW373" s="8">
        <v>10</v>
      </c>
      <c r="FX373" s="8">
        <v>10</v>
      </c>
      <c r="FY373" s="8">
        <v>3</v>
      </c>
      <c r="FZ373">
        <f t="shared" si="5"/>
        <v>3000</v>
      </c>
      <c r="GA373" s="7" t="s">
        <v>303</v>
      </c>
      <c r="GB373" s="7" t="s">
        <v>303</v>
      </c>
      <c r="GC373" s="6">
        <v>9</v>
      </c>
      <c r="GD373" s="348" t="s">
        <v>242</v>
      </c>
      <c r="GF373" s="6">
        <v>6.0666666666666655E-3</v>
      </c>
      <c r="GH373" s="7"/>
      <c r="GI373" s="441"/>
      <c r="GJ373" s="441"/>
      <c r="GK373" s="441"/>
      <c r="GL373" s="441"/>
      <c r="GM373" s="452"/>
      <c r="GR373" s="6" t="s">
        <v>230</v>
      </c>
      <c r="GU373" t="s">
        <v>365</v>
      </c>
      <c r="GV373" t="s">
        <v>223</v>
      </c>
      <c r="GW373" t="s">
        <v>244</v>
      </c>
      <c r="GX373" t="s">
        <v>236</v>
      </c>
      <c r="GY373" t="s">
        <v>245</v>
      </c>
      <c r="HE373" t="s">
        <v>246</v>
      </c>
      <c r="HF373" t="s">
        <v>236</v>
      </c>
      <c r="HG373" t="s">
        <v>231</v>
      </c>
      <c r="HH373" t="s">
        <v>236</v>
      </c>
      <c r="HI373" t="s">
        <v>247</v>
      </c>
      <c r="HJ373" t="s">
        <v>225</v>
      </c>
      <c r="HK373" t="s">
        <v>418</v>
      </c>
      <c r="HO373" t="s">
        <v>231</v>
      </c>
      <c r="HP373" t="s">
        <v>223</v>
      </c>
      <c r="HQ373" t="s">
        <v>231</v>
      </c>
      <c r="HR373" t="s">
        <v>223</v>
      </c>
      <c r="HU373" t="s">
        <v>231</v>
      </c>
      <c r="HV373" t="s">
        <v>223</v>
      </c>
      <c r="HW373" t="s">
        <v>246</v>
      </c>
      <c r="HX373" t="s">
        <v>236</v>
      </c>
      <c r="IA373" t="s">
        <v>317</v>
      </c>
      <c r="IB373" t="s">
        <v>250</v>
      </c>
      <c r="IH373" t="s">
        <v>235</v>
      </c>
    </row>
    <row r="374" spans="1:242" x14ac:dyDescent="0.35">
      <c r="A374" s="310" t="s">
        <v>2123</v>
      </c>
      <c r="B374" t="s">
        <v>2124</v>
      </c>
      <c r="C374" s="310" t="s">
        <v>2125</v>
      </c>
      <c r="D374" s="316"/>
      <c r="F374" t="s">
        <v>2126</v>
      </c>
      <c r="I374" s="310" t="s">
        <v>2127</v>
      </c>
      <c r="M374" s="313"/>
      <c r="O374"/>
      <c r="P374" s="381"/>
      <c r="Q374"/>
      <c r="T374" s="8"/>
      <c r="U374" t="s">
        <v>221</v>
      </c>
      <c r="V374" s="313"/>
      <c r="W374" t="s">
        <v>1184</v>
      </c>
      <c r="X374" t="s">
        <v>1184</v>
      </c>
      <c r="Z374" t="s">
        <v>220</v>
      </c>
      <c r="AB374"/>
      <c r="AD374" s="8" t="s">
        <v>230</v>
      </c>
      <c r="AF374" s="8" t="s">
        <v>230</v>
      </c>
      <c r="AG374"/>
      <c r="AH374"/>
      <c r="AI374"/>
      <c r="AJ374" t="s">
        <v>221</v>
      </c>
      <c r="AK374">
        <v>0</v>
      </c>
      <c r="AL374">
        <v>1</v>
      </c>
      <c r="AM374" t="s">
        <v>221</v>
      </c>
      <c r="AN374" t="s">
        <v>223</v>
      </c>
      <c r="AO374" t="s">
        <v>221</v>
      </c>
      <c r="AP374" t="s">
        <v>223</v>
      </c>
      <c r="AQ374" t="s">
        <v>221</v>
      </c>
      <c r="AR374" t="s">
        <v>223</v>
      </c>
      <c r="AS374" t="s">
        <v>221</v>
      </c>
      <c r="AT374"/>
      <c r="AU374" t="s">
        <v>220</v>
      </c>
      <c r="AV374"/>
      <c r="AW374" s="313" t="s">
        <v>1184</v>
      </c>
      <c r="AX374" t="s">
        <v>226</v>
      </c>
      <c r="AY374" s="313" t="s">
        <v>1184</v>
      </c>
      <c r="AZ374" s="313">
        <v>1.7899999999999999E-2</v>
      </c>
      <c r="BB374" s="313" t="s">
        <v>220</v>
      </c>
      <c r="BC374">
        <v>7.0800000000000004E-3</v>
      </c>
      <c r="BD374" t="s">
        <v>220</v>
      </c>
      <c r="BE374">
        <v>5.8999999999999999E-3</v>
      </c>
      <c r="BF374" s="2" t="s">
        <v>220</v>
      </c>
      <c r="BH374" s="2" t="s">
        <v>228</v>
      </c>
      <c r="BI374" s="2" t="s">
        <v>424</v>
      </c>
      <c r="BM374"/>
      <c r="BO374" t="s">
        <v>220</v>
      </c>
      <c r="BP374" s="8"/>
      <c r="BQ374" t="s">
        <v>230</v>
      </c>
      <c r="BR374" t="s">
        <v>230</v>
      </c>
      <c r="BS374" t="s">
        <v>255</v>
      </c>
      <c r="BU374" t="s">
        <v>231</v>
      </c>
      <c r="BV374" t="s">
        <v>225</v>
      </c>
      <c r="BW374" t="s">
        <v>232</v>
      </c>
      <c r="BX374" t="s">
        <v>256</v>
      </c>
      <c r="BY374" t="s">
        <v>220</v>
      </c>
      <c r="BZ374">
        <v>0.214</v>
      </c>
      <c r="CA374" t="s">
        <v>234</v>
      </c>
      <c r="CF374" t="s">
        <v>220</v>
      </c>
      <c r="CG374">
        <v>0</v>
      </c>
      <c r="CH374" t="s">
        <v>220</v>
      </c>
      <c r="CI374">
        <v>1.4E-3</v>
      </c>
      <c r="CK374"/>
      <c r="CL374"/>
      <c r="CM374"/>
      <c r="CS374" s="8"/>
      <c r="CW374" t="s">
        <v>220</v>
      </c>
      <c r="CX374" t="s">
        <v>220</v>
      </c>
      <c r="CY374" t="s">
        <v>231</v>
      </c>
      <c r="CZ374" t="s">
        <v>220</v>
      </c>
      <c r="DA374" t="s">
        <v>227</v>
      </c>
      <c r="DB374" t="s">
        <v>220</v>
      </c>
      <c r="DC374"/>
      <c r="DD374"/>
      <c r="DE374"/>
      <c r="DF374"/>
      <c r="DG374"/>
      <c r="DH374" s="323"/>
      <c r="DI374" s="323"/>
      <c r="DJ374" s="323"/>
      <c r="DL374" t="s">
        <v>220</v>
      </c>
      <c r="DM374" t="s">
        <v>220</v>
      </c>
      <c r="DN374" t="s">
        <v>227</v>
      </c>
      <c r="DO374" t="s">
        <v>227</v>
      </c>
      <c r="DP374" t="s">
        <v>227</v>
      </c>
      <c r="DS374" s="338">
        <v>1869.133</v>
      </c>
      <c r="DT374" s="8" t="s">
        <v>394</v>
      </c>
      <c r="DU374" s="338">
        <v>647.53800000000001</v>
      </c>
      <c r="DV374" s="8" t="s">
        <v>394</v>
      </c>
      <c r="DW374">
        <v>12.7</v>
      </c>
      <c r="DX374" t="s">
        <v>238</v>
      </c>
      <c r="DY374"/>
      <c r="DZ374" t="s">
        <v>235</v>
      </c>
      <c r="EA374"/>
      <c r="EB374"/>
      <c r="ED374" s="410"/>
      <c r="EE374" s="1"/>
      <c r="EG374" s="410"/>
      <c r="EI374" s="410"/>
      <c r="EK374" s="1"/>
      <c r="EM374"/>
      <c r="EQ374" s="344"/>
      <c r="EU374" s="344"/>
      <c r="EW374" s="409"/>
      <c r="EY374" s="1"/>
      <c r="FA374">
        <v>68.239999999999995</v>
      </c>
      <c r="FB374" t="s">
        <v>236</v>
      </c>
      <c r="FC374" s="7">
        <v>456.98295328596112</v>
      </c>
      <c r="FD374" s="357" t="s">
        <v>236</v>
      </c>
      <c r="FE374" s="8">
        <v>5.1015247738556029E-2</v>
      </c>
      <c r="FF374" t="s">
        <v>337</v>
      </c>
      <c r="FH374" s="9">
        <v>12.650275973072668</v>
      </c>
      <c r="FI374" s="9" t="s">
        <v>236</v>
      </c>
      <c r="FK374" t="s">
        <v>235</v>
      </c>
      <c r="FL374">
        <v>6.1</v>
      </c>
      <c r="FM374">
        <v>1.1651987230250005</v>
      </c>
      <c r="FN374" s="5" t="s">
        <v>337</v>
      </c>
      <c r="FP374" s="6">
        <v>0.61</v>
      </c>
      <c r="FQ374" t="s">
        <v>239</v>
      </c>
      <c r="FS374" t="s">
        <v>240</v>
      </c>
      <c r="FT374" t="e">
        <f>FQ374=#REF!</f>
        <v>#REF!</v>
      </c>
      <c r="FU374" s="8">
        <v>1</v>
      </c>
      <c r="FV374" s="8">
        <v>10</v>
      </c>
      <c r="FW374" s="8">
        <v>10</v>
      </c>
      <c r="FX374" s="8">
        <v>10</v>
      </c>
      <c r="FY374" s="8">
        <v>3</v>
      </c>
      <c r="FZ374">
        <f t="shared" si="5"/>
        <v>3000</v>
      </c>
      <c r="GA374" s="7" t="s">
        <v>326</v>
      </c>
      <c r="GB374" s="7" t="s">
        <v>326</v>
      </c>
      <c r="GC374" s="6">
        <v>1.5</v>
      </c>
      <c r="GD374" s="348" t="s">
        <v>1514</v>
      </c>
      <c r="GF374" s="6">
        <v>2.0333333333333332E-3</v>
      </c>
      <c r="GH374" s="7"/>
      <c r="GI374" s="441" t="s">
        <v>395</v>
      </c>
      <c r="GJ374" s="441" t="s">
        <v>395</v>
      </c>
      <c r="GK374" s="441" t="s">
        <v>395</v>
      </c>
      <c r="GL374" s="441" t="s">
        <v>395</v>
      </c>
      <c r="GM374" s="452" t="s">
        <v>529</v>
      </c>
      <c r="GN374" s="6" t="s">
        <v>395</v>
      </c>
      <c r="GO374" s="6" t="s">
        <v>395</v>
      </c>
      <c r="GP374" s="6" t="s">
        <v>395</v>
      </c>
      <c r="GQ374" s="6" t="s">
        <v>395</v>
      </c>
      <c r="GR374" s="6" t="s">
        <v>396</v>
      </c>
      <c r="GU374" t="s">
        <v>365</v>
      </c>
      <c r="GV374" t="s">
        <v>223</v>
      </c>
      <c r="GW374" t="s">
        <v>244</v>
      </c>
      <c r="GX374" t="s">
        <v>236</v>
      </c>
      <c r="GY374" t="s">
        <v>245</v>
      </c>
      <c r="HE374" t="s">
        <v>246</v>
      </c>
      <c r="HF374" t="s">
        <v>236</v>
      </c>
      <c r="HG374" t="s">
        <v>231</v>
      </c>
      <c r="HH374" t="s">
        <v>225</v>
      </c>
      <c r="HI374" t="s">
        <v>1435</v>
      </c>
      <c r="HJ374" t="s">
        <v>223</v>
      </c>
      <c r="HK374" t="s">
        <v>536</v>
      </c>
      <c r="HL374" t="s">
        <v>231</v>
      </c>
      <c r="HM374" t="s">
        <v>231</v>
      </c>
      <c r="HO374" t="s">
        <v>231</v>
      </c>
      <c r="HP374" t="s">
        <v>249</v>
      </c>
      <c r="HQ374" t="s">
        <v>231</v>
      </c>
      <c r="HR374" t="s">
        <v>249</v>
      </c>
      <c r="HU374" t="s">
        <v>231</v>
      </c>
      <c r="HV374" t="s">
        <v>223</v>
      </c>
      <c r="HW374" t="s">
        <v>246</v>
      </c>
      <c r="HX374" t="s">
        <v>236</v>
      </c>
      <c r="IA374" t="s">
        <v>231</v>
      </c>
      <c r="IB374" t="s">
        <v>250</v>
      </c>
      <c r="IC374" t="s">
        <v>395</v>
      </c>
      <c r="ID374" t="s">
        <v>395</v>
      </c>
      <c r="IE374" t="s">
        <v>395</v>
      </c>
      <c r="IF374" t="s">
        <v>395</v>
      </c>
      <c r="IH374" t="s">
        <v>235</v>
      </c>
    </row>
    <row r="375" spans="1:242" x14ac:dyDescent="0.35">
      <c r="A375" s="310" t="s">
        <v>2128</v>
      </c>
      <c r="B375" t="s">
        <v>2129</v>
      </c>
      <c r="C375" s="310" t="s">
        <v>2130</v>
      </c>
      <c r="D375" s="316"/>
      <c r="F375" t="s">
        <v>2131</v>
      </c>
      <c r="I375" s="310" t="s">
        <v>2132</v>
      </c>
      <c r="M375" s="313" t="s">
        <v>220</v>
      </c>
      <c r="O375"/>
      <c r="P375" s="381"/>
      <c r="Q375"/>
      <c r="T375" s="8"/>
      <c r="U375"/>
      <c r="V375" s="313"/>
      <c r="W375" t="s">
        <v>301</v>
      </c>
      <c r="X375"/>
      <c r="Z375"/>
      <c r="AB375"/>
      <c r="AD375" s="8" t="s">
        <v>222</v>
      </c>
      <c r="AF375" s="8" t="s">
        <v>230</v>
      </c>
      <c r="AG375"/>
      <c r="AH375"/>
      <c r="AI375"/>
      <c r="AJ375" t="s">
        <v>221</v>
      </c>
      <c r="AK375">
        <v>0</v>
      </c>
      <c r="AL375">
        <v>0.67500000000000004</v>
      </c>
      <c r="AM375" t="s">
        <v>221</v>
      </c>
      <c r="AN375" t="s">
        <v>225</v>
      </c>
      <c r="AO375" t="s">
        <v>221</v>
      </c>
      <c r="AP375" t="s">
        <v>225</v>
      </c>
      <c r="AQ375" t="s">
        <v>221</v>
      </c>
      <c r="AR375" t="s">
        <v>225</v>
      </c>
      <c r="AS375" t="s">
        <v>221</v>
      </c>
      <c r="AT375" t="s">
        <v>223</v>
      </c>
      <c r="AU375" t="s">
        <v>220</v>
      </c>
      <c r="AV375"/>
      <c r="AW375" s="313" t="s">
        <v>220</v>
      </c>
      <c r="AX375" t="s">
        <v>226</v>
      </c>
      <c r="AY375" s="313" t="s">
        <v>220</v>
      </c>
      <c r="AZ375" s="313">
        <v>0.16500000000000001</v>
      </c>
      <c r="BB375" s="313" t="s">
        <v>220</v>
      </c>
      <c r="BC375">
        <v>9.3299999999999994E-2</v>
      </c>
      <c r="BD375" t="s">
        <v>220</v>
      </c>
      <c r="BE375">
        <v>4.0399999999999998E-2</v>
      </c>
      <c r="BF375" s="2" t="s">
        <v>220</v>
      </c>
      <c r="BH375" s="2" t="s">
        <v>228</v>
      </c>
      <c r="BI375" s="2" t="s">
        <v>302</v>
      </c>
      <c r="BM375"/>
      <c r="BP375" s="8"/>
      <c r="BQ375" t="s">
        <v>230</v>
      </c>
      <c r="BR375" t="s">
        <v>230</v>
      </c>
      <c r="BU375" t="s">
        <v>231</v>
      </c>
      <c r="BV375" t="s">
        <v>223</v>
      </c>
      <c r="BW375" t="s">
        <v>232</v>
      </c>
      <c r="BX375" t="s">
        <v>233</v>
      </c>
      <c r="BY375" t="s">
        <v>220</v>
      </c>
      <c r="BZ375">
        <v>0.23</v>
      </c>
      <c r="CA375" t="s">
        <v>234</v>
      </c>
      <c r="CF375" t="s">
        <v>220</v>
      </c>
      <c r="CG375">
        <v>1.35E-2</v>
      </c>
      <c r="CH375" t="s">
        <v>220</v>
      </c>
      <c r="CI375">
        <v>9.11E-2</v>
      </c>
      <c r="CK375"/>
      <c r="CL375"/>
      <c r="CM375"/>
      <c r="CS375" s="8"/>
      <c r="CW375" t="s">
        <v>220</v>
      </c>
      <c r="CX375" t="s">
        <v>220</v>
      </c>
      <c r="CY375" t="s">
        <v>231</v>
      </c>
      <c r="CZ375" t="s">
        <v>220</v>
      </c>
      <c r="DA375" t="s">
        <v>227</v>
      </c>
      <c r="DB375" t="s">
        <v>220</v>
      </c>
      <c r="DC375"/>
      <c r="DD375"/>
      <c r="DE375"/>
      <c r="DF375"/>
      <c r="DG375"/>
      <c r="DH375" s="323"/>
      <c r="DI375" s="323"/>
      <c r="DJ375" s="323"/>
      <c r="DL375" t="s">
        <v>220</v>
      </c>
      <c r="DM375" t="s">
        <v>220</v>
      </c>
      <c r="DN375" t="s">
        <v>227</v>
      </c>
      <c r="DO375" t="s">
        <v>220</v>
      </c>
      <c r="DP375" t="s">
        <v>257</v>
      </c>
      <c r="DS375" s="309">
        <v>485.18299999999999</v>
      </c>
      <c r="DU375" s="309">
        <v>698.45699999999999</v>
      </c>
      <c r="DW375"/>
      <c r="DX375" t="s">
        <v>235</v>
      </c>
      <c r="DY375"/>
      <c r="DZ375" t="s">
        <v>235</v>
      </c>
      <c r="EA375"/>
      <c r="EB375"/>
      <c r="ED375" s="410"/>
      <c r="EE375" s="1"/>
      <c r="EG375" s="410"/>
      <c r="EI375" s="410"/>
      <c r="EK375" s="1"/>
      <c r="EM375"/>
      <c r="EQ375" s="344"/>
      <c r="EU375" s="344"/>
      <c r="EW375" s="409"/>
      <c r="EY375" s="1"/>
      <c r="FA375">
        <v>98.03</v>
      </c>
      <c r="FB375" t="s">
        <v>225</v>
      </c>
      <c r="FC375" s="7">
        <v>304.57903053734248</v>
      </c>
      <c r="FD375" s="357" t="s">
        <v>236</v>
      </c>
      <c r="FE375" s="8">
        <v>7.9560957293002152</v>
      </c>
      <c r="FF375" t="s">
        <v>237</v>
      </c>
      <c r="FH375" s="9">
        <v>122.06748591607426</v>
      </c>
      <c r="FI375" s="9" t="s">
        <v>225</v>
      </c>
      <c r="FJ375">
        <v>1620</v>
      </c>
      <c r="FK375" t="s">
        <v>238</v>
      </c>
      <c r="FL375">
        <v>112</v>
      </c>
      <c r="FM375">
        <v>19.957217939926341</v>
      </c>
      <c r="FN375" s="5" t="s">
        <v>237</v>
      </c>
      <c r="FP375" s="6">
        <v>0.99786089699631708</v>
      </c>
      <c r="FQ375" t="s">
        <v>277</v>
      </c>
      <c r="FS375" t="s">
        <v>240</v>
      </c>
      <c r="FT375" t="e">
        <f>FQ375=#REF!</f>
        <v>#REF!</v>
      </c>
      <c r="FU375" s="8">
        <v>2</v>
      </c>
      <c r="FV375" s="8">
        <v>10</v>
      </c>
      <c r="FW375" s="8">
        <v>10</v>
      </c>
      <c r="FX375" s="8">
        <v>10</v>
      </c>
      <c r="FY375" s="8">
        <v>3</v>
      </c>
      <c r="FZ375">
        <f t="shared" si="5"/>
        <v>6000</v>
      </c>
      <c r="GA375" s="7" t="s">
        <v>303</v>
      </c>
      <c r="GB375" s="7" t="s">
        <v>303</v>
      </c>
      <c r="GC375" s="6">
        <v>9</v>
      </c>
      <c r="GD375" s="348" t="s">
        <v>242</v>
      </c>
      <c r="GF375" s="6">
        <v>1.3260159548833693E-2</v>
      </c>
      <c r="GH375" s="7"/>
      <c r="GI375" s="445"/>
      <c r="GJ375" s="445"/>
      <c r="GK375" s="445"/>
      <c r="GL375" s="445"/>
      <c r="GM375" s="453"/>
      <c r="GN375" s="6">
        <v>0.06</v>
      </c>
      <c r="GO375" s="6">
        <v>0.1125</v>
      </c>
      <c r="GP375" s="6">
        <v>0.18</v>
      </c>
      <c r="GQ375" s="6">
        <v>0.45</v>
      </c>
      <c r="GR375" s="6" t="s">
        <v>230</v>
      </c>
      <c r="GU375" t="s">
        <v>243</v>
      </c>
      <c r="GV375" t="s">
        <v>225</v>
      </c>
      <c r="GW375" t="s">
        <v>244</v>
      </c>
      <c r="GX375" t="s">
        <v>236</v>
      </c>
      <c r="GY375" t="s">
        <v>245</v>
      </c>
      <c r="HE375" t="s">
        <v>384</v>
      </c>
      <c r="HF375" t="s">
        <v>223</v>
      </c>
      <c r="HG375" t="s">
        <v>317</v>
      </c>
      <c r="HH375" t="s">
        <v>236</v>
      </c>
      <c r="HI375" t="s">
        <v>247</v>
      </c>
      <c r="HJ375" t="s">
        <v>223</v>
      </c>
      <c r="HK375" t="s">
        <v>266</v>
      </c>
      <c r="HO375" t="s">
        <v>231</v>
      </c>
      <c r="HP375" t="s">
        <v>223</v>
      </c>
      <c r="HQ375" t="s">
        <v>231</v>
      </c>
      <c r="HR375" t="s">
        <v>223</v>
      </c>
      <c r="HU375" t="s">
        <v>231</v>
      </c>
      <c r="HV375" t="s">
        <v>223</v>
      </c>
      <c r="HW375" t="s">
        <v>246</v>
      </c>
      <c r="HX375" t="s">
        <v>236</v>
      </c>
      <c r="IA375" t="s">
        <v>231</v>
      </c>
      <c r="IB375" t="s">
        <v>250</v>
      </c>
      <c r="IC375" s="447"/>
      <c r="ID375" s="447"/>
      <c r="IE375" s="447"/>
      <c r="IF375" s="447"/>
      <c r="IH375" t="s">
        <v>235</v>
      </c>
    </row>
    <row r="376" spans="1:242" ht="72.5" x14ac:dyDescent="0.35">
      <c r="A376" s="310" t="s">
        <v>2133</v>
      </c>
      <c r="B376" t="s">
        <v>2134</v>
      </c>
      <c r="C376" s="310" t="s">
        <v>2135</v>
      </c>
      <c r="D376" s="316"/>
      <c r="F376" t="s">
        <v>2136</v>
      </c>
      <c r="I376" s="310" t="s">
        <v>2137</v>
      </c>
      <c r="M376" s="313"/>
      <c r="O376" t="s">
        <v>221</v>
      </c>
      <c r="P376" s="381"/>
      <c r="Q376" t="s">
        <v>221</v>
      </c>
      <c r="T376" s="8"/>
      <c r="U376" t="s">
        <v>221</v>
      </c>
      <c r="V376" s="313"/>
      <c r="W376" t="s">
        <v>220</v>
      </c>
      <c r="X376" t="s">
        <v>220</v>
      </c>
      <c r="Z376" t="s">
        <v>220</v>
      </c>
      <c r="AB376"/>
      <c r="AD376" s="8" t="s">
        <v>230</v>
      </c>
      <c r="AF376" s="8" t="s">
        <v>222</v>
      </c>
      <c r="AG376"/>
      <c r="AH376"/>
      <c r="AI376"/>
      <c r="AJ376" t="s">
        <v>221</v>
      </c>
      <c r="AK376">
        <v>0</v>
      </c>
      <c r="AL376">
        <v>1</v>
      </c>
      <c r="AM376" t="s">
        <v>221</v>
      </c>
      <c r="AN376" t="s">
        <v>249</v>
      </c>
      <c r="AO376" t="s">
        <v>221</v>
      </c>
      <c r="AP376"/>
      <c r="AQ376" t="s">
        <v>221</v>
      </c>
      <c r="AR376" t="s">
        <v>223</v>
      </c>
      <c r="AS376" t="s">
        <v>221</v>
      </c>
      <c r="AT376"/>
      <c r="AU376" t="s">
        <v>220</v>
      </c>
      <c r="AV376"/>
      <c r="AW376" s="313" t="s">
        <v>220</v>
      </c>
      <c r="AX376" t="s">
        <v>226</v>
      </c>
      <c r="AY376" s="313" t="s">
        <v>220</v>
      </c>
      <c r="AZ376" s="313">
        <v>2.3400000000000001E-2</v>
      </c>
      <c r="BB376" s="313" t="s">
        <v>220</v>
      </c>
      <c r="BC376">
        <v>1.5100000000000001E-2</v>
      </c>
      <c r="BD376" t="s">
        <v>220</v>
      </c>
      <c r="BE376">
        <v>1.6899999999999998E-2</v>
      </c>
      <c r="BF376" s="2" t="s">
        <v>220</v>
      </c>
      <c r="BH376" s="2" t="s">
        <v>228</v>
      </c>
      <c r="BI376" s="2" t="s">
        <v>292</v>
      </c>
      <c r="BM376"/>
      <c r="BP376" s="8"/>
      <c r="BQ376" t="s">
        <v>230</v>
      </c>
      <c r="BR376" t="s">
        <v>230</v>
      </c>
      <c r="BU376" t="s">
        <v>231</v>
      </c>
      <c r="BV376" t="s">
        <v>223</v>
      </c>
      <c r="BW376" t="s">
        <v>232</v>
      </c>
      <c r="BX376" t="s">
        <v>284</v>
      </c>
      <c r="BY376" t="s">
        <v>220</v>
      </c>
      <c r="BZ376">
        <v>0.182</v>
      </c>
      <c r="CA376" t="s">
        <v>234</v>
      </c>
      <c r="CF376" t="s">
        <v>220</v>
      </c>
      <c r="CG376">
        <v>8.1600000000000006E-2</v>
      </c>
      <c r="CH376" t="s">
        <v>220</v>
      </c>
      <c r="CI376">
        <v>3.7900000000000003E-2</v>
      </c>
      <c r="CK376"/>
      <c r="CL376"/>
      <c r="CM376"/>
      <c r="CS376" s="8"/>
      <c r="CW376" t="s">
        <v>220</v>
      </c>
      <c r="CX376" t="s">
        <v>220</v>
      </c>
      <c r="CY376" t="s">
        <v>231</v>
      </c>
      <c r="CZ376" t="s">
        <v>220</v>
      </c>
      <c r="DA376" t="s">
        <v>220</v>
      </c>
      <c r="DB376" t="s">
        <v>220</v>
      </c>
      <c r="DC376"/>
      <c r="DD376"/>
      <c r="DE376"/>
      <c r="DF376"/>
      <c r="DG376"/>
      <c r="DH376" s="323"/>
      <c r="DI376" s="323"/>
      <c r="DJ376" s="323"/>
      <c r="DL376" t="s">
        <v>257</v>
      </c>
      <c r="DM376" t="s">
        <v>220</v>
      </c>
      <c r="DN376" t="s">
        <v>257</v>
      </c>
      <c r="DO376" t="s">
        <v>220</v>
      </c>
      <c r="DP376" t="s">
        <v>257</v>
      </c>
      <c r="DS376" s="309">
        <v>292.73899999999998</v>
      </c>
      <c r="DU376" s="309">
        <v>632.42499999999995</v>
      </c>
      <c r="DW376">
        <v>69.5</v>
      </c>
      <c r="DX376" t="s">
        <v>238</v>
      </c>
      <c r="DY376">
        <v>637</v>
      </c>
      <c r="DZ376" t="s">
        <v>238</v>
      </c>
      <c r="EA376"/>
      <c r="EB376"/>
      <c r="ED376" s="410"/>
      <c r="EE376" s="1"/>
      <c r="EG376" s="410"/>
      <c r="EI376" s="410"/>
      <c r="EK376" s="1"/>
      <c r="EM376"/>
      <c r="EQ376" s="344"/>
      <c r="EU376" s="344"/>
      <c r="EW376" s="409"/>
      <c r="EY376" s="1"/>
      <c r="FA376">
        <v>172.33</v>
      </c>
      <c r="FB376" t="s">
        <v>225</v>
      </c>
      <c r="FC376" s="7">
        <v>261.3966394904877</v>
      </c>
      <c r="FD376" s="357" t="s">
        <v>225</v>
      </c>
      <c r="FE376" s="8">
        <v>39.246415735346034</v>
      </c>
      <c r="FF376" t="s">
        <v>237</v>
      </c>
      <c r="FH376" s="9">
        <v>320.84849020359536</v>
      </c>
      <c r="FI376" s="9" t="s">
        <v>225</v>
      </c>
      <c r="FJ376">
        <v>235</v>
      </c>
      <c r="FK376" t="s">
        <v>238</v>
      </c>
      <c r="FL376">
        <v>250</v>
      </c>
      <c r="FM376">
        <v>170.6868249915666</v>
      </c>
      <c r="FN376" s="5" t="s">
        <v>237</v>
      </c>
      <c r="FP376" s="6">
        <v>8.5343412495783291</v>
      </c>
      <c r="FQ376" t="s">
        <v>277</v>
      </c>
      <c r="FS376" t="s">
        <v>240</v>
      </c>
      <c r="FT376" t="e">
        <f>FQ376=#REF!</f>
        <v>#REF!</v>
      </c>
      <c r="FU376" s="8">
        <v>2</v>
      </c>
      <c r="FV376" s="8">
        <v>10</v>
      </c>
      <c r="FW376" s="8">
        <v>10</v>
      </c>
      <c r="FX376" s="8">
        <v>10</v>
      </c>
      <c r="FY376" s="8">
        <v>3</v>
      </c>
      <c r="FZ376">
        <f t="shared" si="5"/>
        <v>6000</v>
      </c>
      <c r="GA376" s="7" t="s">
        <v>241</v>
      </c>
      <c r="GB376" s="7" t="s">
        <v>241</v>
      </c>
      <c r="GC376" s="6">
        <v>30</v>
      </c>
      <c r="GD376" s="348" t="s">
        <v>242</v>
      </c>
      <c r="GF376" s="6">
        <v>5.3474748367265894E-2</v>
      </c>
      <c r="GH376" s="7"/>
      <c r="GI376" s="441"/>
      <c r="GJ376" s="441"/>
      <c r="GK376" s="441"/>
      <c r="GL376" s="441"/>
      <c r="GM376" s="460" t="s">
        <v>305</v>
      </c>
      <c r="GN376" s="441"/>
      <c r="GO376" s="441"/>
      <c r="GP376" s="441"/>
      <c r="GQ376" s="441"/>
      <c r="GR376" s="460" t="s">
        <v>305</v>
      </c>
      <c r="GS376" s="441"/>
      <c r="GT376" s="441"/>
      <c r="GU376" s="441"/>
      <c r="GV376" s="441"/>
      <c r="GW376" s="441"/>
      <c r="GX376" s="441"/>
      <c r="GY376" s="441"/>
      <c r="GZ376" s="441"/>
      <c r="HA376" s="441"/>
      <c r="HB376" s="441"/>
      <c r="HC376" s="441"/>
      <c r="HD376" s="441"/>
      <c r="HE376" s="441"/>
      <c r="HF376" s="441"/>
      <c r="HG376" s="441"/>
      <c r="HH376" s="441"/>
      <c r="HI376" s="441"/>
      <c r="HJ376" s="441"/>
      <c r="HK376" s="441"/>
      <c r="HL376" s="441"/>
      <c r="HM376" s="441"/>
      <c r="HN376" s="441"/>
      <c r="HO376" s="441"/>
      <c r="HP376" s="441"/>
      <c r="HQ376" s="441"/>
      <c r="HR376" s="441"/>
      <c r="HS376" s="441"/>
      <c r="HT376" s="441"/>
      <c r="HU376" s="441"/>
      <c r="HV376" s="441"/>
      <c r="HW376" s="441"/>
      <c r="HX376" s="441"/>
      <c r="HY376" s="441"/>
      <c r="HZ376" s="441"/>
      <c r="IA376" s="441"/>
      <c r="IB376" s="441"/>
      <c r="IC376" s="441"/>
      <c r="ID376" s="441"/>
      <c r="IE376" s="441"/>
      <c r="IF376" s="441"/>
      <c r="IG376" s="459" t="s">
        <v>451</v>
      </c>
      <c r="IH376" t="s">
        <v>235</v>
      </c>
    </row>
    <row r="377" spans="1:242" x14ac:dyDescent="0.35">
      <c r="A377" s="310" t="s">
        <v>2138</v>
      </c>
      <c r="B377" t="s">
        <v>2139</v>
      </c>
      <c r="C377" s="310" t="s">
        <v>2140</v>
      </c>
      <c r="D377" s="316"/>
      <c r="F377" t="s">
        <v>2141</v>
      </c>
      <c r="I377" s="310" t="s">
        <v>2142</v>
      </c>
      <c r="M377" s="313"/>
      <c r="O377"/>
      <c r="P377" s="381"/>
      <c r="Q377"/>
      <c r="T377" s="8"/>
      <c r="U377"/>
      <c r="V377" s="313"/>
      <c r="W377"/>
      <c r="X377"/>
      <c r="Z377"/>
      <c r="AB377"/>
      <c r="AD377" s="8" t="s">
        <v>230</v>
      </c>
      <c r="AF377" s="8" t="s">
        <v>230</v>
      </c>
      <c r="AG377"/>
      <c r="AH377"/>
      <c r="AI377"/>
      <c r="AJ377" t="s">
        <v>221</v>
      </c>
      <c r="AK377">
        <v>0</v>
      </c>
      <c r="AL377">
        <v>0.6</v>
      </c>
      <c r="AM377" t="s">
        <v>221</v>
      </c>
      <c r="AN377" t="s">
        <v>225</v>
      </c>
      <c r="AO377" t="s">
        <v>221</v>
      </c>
      <c r="AP377" t="s">
        <v>225</v>
      </c>
      <c r="AQ377" t="s">
        <v>221</v>
      </c>
      <c r="AR377" t="s">
        <v>225</v>
      </c>
      <c r="AS377" t="s">
        <v>221</v>
      </c>
      <c r="AT377" t="s">
        <v>225</v>
      </c>
      <c r="AU377" t="s">
        <v>220</v>
      </c>
      <c r="AV377"/>
      <c r="AW377" s="313" t="s">
        <v>220</v>
      </c>
      <c r="AX377" t="s">
        <v>226</v>
      </c>
      <c r="AY377" s="313" t="s">
        <v>220</v>
      </c>
      <c r="AZ377" s="313">
        <v>0.23899999999999999</v>
      </c>
      <c r="BB377" s="313" t="s">
        <v>220</v>
      </c>
      <c r="BC377">
        <v>0.14499999999999999</v>
      </c>
      <c r="BD377" t="s">
        <v>227</v>
      </c>
      <c r="BE377">
        <v>2.3300000000000001E-2</v>
      </c>
      <c r="BF377" s="2" t="s">
        <v>220</v>
      </c>
      <c r="BG377" s="2" t="s">
        <v>273</v>
      </c>
      <c r="BH377" s="2" t="s">
        <v>274</v>
      </c>
      <c r="BI377" s="2" t="s">
        <v>275</v>
      </c>
      <c r="BM377"/>
      <c r="BP377" s="8"/>
      <c r="BQ377" t="s">
        <v>230</v>
      </c>
      <c r="BR377" t="s">
        <v>230</v>
      </c>
      <c r="BU377" t="s">
        <v>231</v>
      </c>
      <c r="BV377" t="s">
        <v>223</v>
      </c>
      <c r="BW377" t="s">
        <v>232</v>
      </c>
      <c r="BX377" t="s">
        <v>276</v>
      </c>
      <c r="BY377" t="s">
        <v>220</v>
      </c>
      <c r="BZ377">
        <v>0.29899999999999999</v>
      </c>
      <c r="CA377" t="s">
        <v>234</v>
      </c>
      <c r="CF377" t="s">
        <v>227</v>
      </c>
      <c r="CG377">
        <v>0.02</v>
      </c>
      <c r="CH377" t="s">
        <v>227</v>
      </c>
      <c r="CI377">
        <v>2.4799999999999999E-2</v>
      </c>
      <c r="CK377"/>
      <c r="CL377"/>
      <c r="CM377"/>
      <c r="CS377" s="8"/>
      <c r="CW377" t="s">
        <v>220</v>
      </c>
      <c r="CX377" t="s">
        <v>227</v>
      </c>
      <c r="CY377" t="s">
        <v>231</v>
      </c>
      <c r="CZ377" t="s">
        <v>220</v>
      </c>
      <c r="DA377" t="s">
        <v>220</v>
      </c>
      <c r="DB377" t="s">
        <v>220</v>
      </c>
      <c r="DC377"/>
      <c r="DD377"/>
      <c r="DE377"/>
      <c r="DF377"/>
      <c r="DG377"/>
      <c r="DH377" s="323"/>
      <c r="DI377" s="323"/>
      <c r="DJ377" s="323"/>
      <c r="DL377" t="s">
        <v>220</v>
      </c>
      <c r="DM377" t="s">
        <v>220</v>
      </c>
      <c r="DN377" t="s">
        <v>227</v>
      </c>
      <c r="DO377" t="s">
        <v>220</v>
      </c>
      <c r="DP377" t="s">
        <v>227</v>
      </c>
      <c r="DS377" s="338">
        <v>1575.999</v>
      </c>
      <c r="DT377" s="8" t="s">
        <v>394</v>
      </c>
      <c r="DU377" s="338">
        <v>773.30700000000002</v>
      </c>
      <c r="DV377" s="8" t="s">
        <v>394</v>
      </c>
      <c r="DW377"/>
      <c r="DX377" t="s">
        <v>235</v>
      </c>
      <c r="DY377"/>
      <c r="DZ377" t="s">
        <v>235</v>
      </c>
      <c r="EA377"/>
      <c r="EB377"/>
      <c r="ED377" s="410"/>
      <c r="EE377" s="1"/>
      <c r="EG377" s="410"/>
      <c r="EI377" s="410"/>
      <c r="EK377" s="1"/>
      <c r="EM377"/>
      <c r="EQ377" s="344"/>
      <c r="EU377" s="344"/>
      <c r="EW377" s="409"/>
      <c r="EY377" s="1"/>
      <c r="FA377">
        <v>8.84</v>
      </c>
      <c r="FB377" t="s">
        <v>225</v>
      </c>
      <c r="FC377" s="7">
        <v>235.01739060913897</v>
      </c>
      <c r="FD377" s="357" t="s">
        <v>236</v>
      </c>
      <c r="FE377" s="8">
        <v>0.10473696860703932</v>
      </c>
      <c r="FF377" t="s">
        <v>337</v>
      </c>
      <c r="FH377" s="9">
        <v>172.30584105672023</v>
      </c>
      <c r="FI377" s="9" t="s">
        <v>236</v>
      </c>
      <c r="FK377" t="s">
        <v>235</v>
      </c>
      <c r="FL377">
        <v>2.87</v>
      </c>
      <c r="FM377">
        <v>0.16753285902815229</v>
      </c>
      <c r="FN377" s="5" t="s">
        <v>337</v>
      </c>
      <c r="FP377" s="6">
        <v>0.28700000000000003</v>
      </c>
      <c r="FQ377" t="s">
        <v>239</v>
      </c>
      <c r="FS377" t="s">
        <v>240</v>
      </c>
      <c r="FT377" t="e">
        <f>FQ377=#REF!</f>
        <v>#REF!</v>
      </c>
      <c r="FU377" s="8">
        <v>1</v>
      </c>
      <c r="FV377" s="8">
        <v>10</v>
      </c>
      <c r="FW377" s="8">
        <v>10</v>
      </c>
      <c r="FX377" s="8">
        <v>10</v>
      </c>
      <c r="FY377" s="8">
        <v>3</v>
      </c>
      <c r="FZ377">
        <f t="shared" si="5"/>
        <v>3000</v>
      </c>
      <c r="GA377" s="7" t="s">
        <v>241</v>
      </c>
      <c r="GB377" s="7" t="s">
        <v>241</v>
      </c>
      <c r="GC377" s="6">
        <v>30</v>
      </c>
      <c r="GD377" s="348" t="s">
        <v>242</v>
      </c>
      <c r="GF377" s="6">
        <v>9.5666666666666675E-4</v>
      </c>
      <c r="GH377" s="7"/>
      <c r="GI377" s="441" t="s">
        <v>395</v>
      </c>
      <c r="GJ377" s="441" t="s">
        <v>395</v>
      </c>
      <c r="GK377" s="441" t="s">
        <v>395</v>
      </c>
      <c r="GL377" s="441" t="s">
        <v>395</v>
      </c>
      <c r="GM377" s="452" t="s">
        <v>529</v>
      </c>
      <c r="GN377" s="6" t="s">
        <v>395</v>
      </c>
      <c r="GO377" s="6" t="s">
        <v>395</v>
      </c>
      <c r="GP377" s="6" t="s">
        <v>395</v>
      </c>
      <c r="GQ377" s="6" t="s">
        <v>395</v>
      </c>
      <c r="GR377" s="6" t="s">
        <v>396</v>
      </c>
      <c r="GU377" t="s">
        <v>365</v>
      </c>
      <c r="GV377" t="s">
        <v>223</v>
      </c>
      <c r="GW377" t="s">
        <v>244</v>
      </c>
      <c r="GX377" t="s">
        <v>236</v>
      </c>
      <c r="GY377" t="s">
        <v>245</v>
      </c>
      <c r="HE377" t="s">
        <v>246</v>
      </c>
      <c r="HF377" t="s">
        <v>236</v>
      </c>
      <c r="HG377" t="s">
        <v>317</v>
      </c>
      <c r="HH377" t="s">
        <v>236</v>
      </c>
      <c r="HI377" t="s">
        <v>1435</v>
      </c>
      <c r="HJ377" t="s">
        <v>225</v>
      </c>
      <c r="HK377" t="s">
        <v>248</v>
      </c>
      <c r="HO377" t="s">
        <v>231</v>
      </c>
      <c r="HP377" t="s">
        <v>223</v>
      </c>
      <c r="HQ377" t="s">
        <v>231</v>
      </c>
      <c r="HR377" t="s">
        <v>223</v>
      </c>
      <c r="HU377" t="s">
        <v>231</v>
      </c>
      <c r="HV377" t="s">
        <v>223</v>
      </c>
      <c r="HW377" t="s">
        <v>246</v>
      </c>
      <c r="HX377" t="s">
        <v>236</v>
      </c>
      <c r="IA377" t="s">
        <v>231</v>
      </c>
      <c r="IB377" t="s">
        <v>250</v>
      </c>
      <c r="IC377" t="s">
        <v>395</v>
      </c>
      <c r="ID377" t="s">
        <v>395</v>
      </c>
      <c r="IE377" t="s">
        <v>395</v>
      </c>
      <c r="IF377" t="s">
        <v>395</v>
      </c>
      <c r="IH377" t="s">
        <v>235</v>
      </c>
    </row>
    <row r="378" spans="1:242" x14ac:dyDescent="0.35">
      <c r="A378" s="310" t="s">
        <v>2143</v>
      </c>
      <c r="B378" t="s">
        <v>2144</v>
      </c>
      <c r="C378" s="310" t="s">
        <v>2145</v>
      </c>
      <c r="D378" s="316"/>
      <c r="F378" t="s">
        <v>2146</v>
      </c>
      <c r="I378" s="310" t="s">
        <v>2147</v>
      </c>
      <c r="M378" s="313"/>
      <c r="O378"/>
      <c r="P378" s="381"/>
      <c r="Q378"/>
      <c r="T378" s="8"/>
      <c r="U378"/>
      <c r="V378" s="313"/>
      <c r="W378"/>
      <c r="X378"/>
      <c r="Z378"/>
      <c r="AB378"/>
      <c r="AD378" s="8" t="s">
        <v>230</v>
      </c>
      <c r="AF378" s="8" t="s">
        <v>230</v>
      </c>
      <c r="AG378"/>
      <c r="AH378"/>
      <c r="AI378"/>
      <c r="AJ378" t="s">
        <v>221</v>
      </c>
      <c r="AK378">
        <v>0</v>
      </c>
      <c r="AL378">
        <v>0.75</v>
      </c>
      <c r="AM378" t="s">
        <v>221</v>
      </c>
      <c r="AN378" t="s">
        <v>223</v>
      </c>
      <c r="AO378" t="s">
        <v>221</v>
      </c>
      <c r="AP378" t="s">
        <v>223</v>
      </c>
      <c r="AQ378" t="s">
        <v>221</v>
      </c>
      <c r="AR378" t="s">
        <v>225</v>
      </c>
      <c r="AS378" t="s">
        <v>221</v>
      </c>
      <c r="AT378" t="s">
        <v>225</v>
      </c>
      <c r="AU378" t="s">
        <v>220</v>
      </c>
      <c r="AV378"/>
      <c r="AW378" s="313" t="s">
        <v>220</v>
      </c>
      <c r="AX378" t="s">
        <v>226</v>
      </c>
      <c r="AY378" s="313" t="s">
        <v>220</v>
      </c>
      <c r="AZ378" s="313">
        <v>0.122</v>
      </c>
      <c r="BB378" s="313" t="s">
        <v>220</v>
      </c>
      <c r="BC378">
        <v>3.8699999999999998E-2</v>
      </c>
      <c r="BD378" t="s">
        <v>220</v>
      </c>
      <c r="BE378">
        <v>1.6500000000000001E-2</v>
      </c>
      <c r="BF378" s="2" t="s">
        <v>220</v>
      </c>
      <c r="BG378" s="2" t="s">
        <v>273</v>
      </c>
      <c r="BH378" s="2" t="s">
        <v>274</v>
      </c>
      <c r="BI378" s="2" t="s">
        <v>275</v>
      </c>
      <c r="BM378"/>
      <c r="BP378" s="8"/>
      <c r="BQ378" t="s">
        <v>230</v>
      </c>
      <c r="BR378" t="s">
        <v>230</v>
      </c>
      <c r="BU378" t="s">
        <v>231</v>
      </c>
      <c r="BV378" t="s">
        <v>225</v>
      </c>
      <c r="BW378" t="s">
        <v>232</v>
      </c>
      <c r="BX378" t="s">
        <v>276</v>
      </c>
      <c r="BY378" t="s">
        <v>220</v>
      </c>
      <c r="BZ378">
        <v>0.155</v>
      </c>
      <c r="CA378" t="s">
        <v>234</v>
      </c>
      <c r="CF378" t="s">
        <v>227</v>
      </c>
      <c r="CG378">
        <v>3.5900000000000001E-2</v>
      </c>
      <c r="CH378" t="s">
        <v>227</v>
      </c>
      <c r="CI378">
        <v>1.6299999999999999E-2</v>
      </c>
      <c r="CK378"/>
      <c r="CL378"/>
      <c r="CM378"/>
      <c r="CS378" s="8"/>
      <c r="CW378" t="s">
        <v>220</v>
      </c>
      <c r="CX378" t="s">
        <v>220</v>
      </c>
      <c r="CY378" t="s">
        <v>231</v>
      </c>
      <c r="CZ378" t="s">
        <v>227</v>
      </c>
      <c r="DA378" t="s">
        <v>227</v>
      </c>
      <c r="DB378" t="s">
        <v>227</v>
      </c>
      <c r="DC378"/>
      <c r="DD378"/>
      <c r="DE378"/>
      <c r="DF378"/>
      <c r="DG378"/>
      <c r="DH378" s="323"/>
      <c r="DI378" s="323"/>
      <c r="DJ378" s="323"/>
      <c r="DL378" t="s">
        <v>220</v>
      </c>
      <c r="DM378" t="s">
        <v>220</v>
      </c>
      <c r="DN378" t="s">
        <v>227</v>
      </c>
      <c r="DO378" t="s">
        <v>227</v>
      </c>
      <c r="DP378" t="s">
        <v>227</v>
      </c>
      <c r="DS378" s="309">
        <v>125.449</v>
      </c>
      <c r="DU378" s="309">
        <v>541.38599999999997</v>
      </c>
      <c r="DW378"/>
      <c r="DX378" t="s">
        <v>235</v>
      </c>
      <c r="DY378"/>
      <c r="DZ378" t="s">
        <v>235</v>
      </c>
      <c r="EA378"/>
      <c r="EB378"/>
      <c r="ED378" s="410"/>
      <c r="EE378" s="1"/>
      <c r="EG378" s="410"/>
      <c r="EI378" s="410"/>
      <c r="EK378" s="1"/>
      <c r="EM378"/>
      <c r="EQ378" s="344"/>
      <c r="EU378" s="344"/>
      <c r="EW378" s="409"/>
      <c r="EY378" s="1"/>
      <c r="FA378">
        <v>62.58</v>
      </c>
      <c r="FB378" t="s">
        <v>225</v>
      </c>
      <c r="FC378" s="7">
        <v>186.98208577366489</v>
      </c>
      <c r="FD378" s="357" t="s">
        <v>236</v>
      </c>
      <c r="FE378" s="8">
        <v>0.47851989635834041</v>
      </c>
      <c r="FF378" t="s">
        <v>237</v>
      </c>
      <c r="FH378" s="9">
        <v>218.17249589883016</v>
      </c>
      <c r="FI378" s="9" t="s">
        <v>225</v>
      </c>
      <c r="FK378" t="s">
        <v>235</v>
      </c>
      <c r="FL378">
        <v>30.1</v>
      </c>
      <c r="FM378">
        <v>1.8936512548966735</v>
      </c>
      <c r="FN378" s="5" t="s">
        <v>237</v>
      </c>
      <c r="FP378" s="6">
        <v>9.4682562744833679E-2</v>
      </c>
      <c r="FQ378" t="s">
        <v>277</v>
      </c>
      <c r="FS378" t="s">
        <v>240</v>
      </c>
      <c r="FT378" t="e">
        <f>FQ378=#REF!</f>
        <v>#REF!</v>
      </c>
      <c r="FU378" s="8">
        <v>2</v>
      </c>
      <c r="FV378" s="8">
        <v>10</v>
      </c>
      <c r="FW378" s="8">
        <v>10</v>
      </c>
      <c r="FX378" s="8">
        <v>10</v>
      </c>
      <c r="FY378" s="8">
        <v>1</v>
      </c>
      <c r="FZ378">
        <f t="shared" si="5"/>
        <v>2000</v>
      </c>
      <c r="GA378" s="7" t="s">
        <v>326</v>
      </c>
      <c r="GB378" s="7" t="s">
        <v>326</v>
      </c>
      <c r="GC378" s="6">
        <v>1.5</v>
      </c>
      <c r="GD378" s="348" t="s">
        <v>242</v>
      </c>
      <c r="GF378" s="6">
        <v>7.9753316059723398E-4</v>
      </c>
      <c r="GH378" s="7"/>
      <c r="GI378" s="445"/>
      <c r="GJ378" s="445"/>
      <c r="GK378" s="445"/>
      <c r="GL378" s="445"/>
      <c r="GM378" s="453"/>
      <c r="GN378" s="6">
        <v>0.01</v>
      </c>
      <c r="GO378" s="6">
        <v>1.8749999999999999E-2</v>
      </c>
      <c r="GP378" s="6">
        <v>0.03</v>
      </c>
      <c r="GQ378" s="6">
        <v>7.4999999999999997E-2</v>
      </c>
      <c r="GR378" s="6" t="s">
        <v>230</v>
      </c>
      <c r="GU378" t="s">
        <v>365</v>
      </c>
      <c r="GV378" t="s">
        <v>223</v>
      </c>
      <c r="GW378" t="s">
        <v>244</v>
      </c>
      <c r="GX378" t="s">
        <v>236</v>
      </c>
      <c r="GY378" t="s">
        <v>1032</v>
      </c>
      <c r="HE378" t="s">
        <v>247</v>
      </c>
      <c r="HF378" t="s">
        <v>225</v>
      </c>
      <c r="HG378" t="s">
        <v>231</v>
      </c>
      <c r="HH378" t="s">
        <v>236</v>
      </c>
      <c r="HI378" t="s">
        <v>247</v>
      </c>
      <c r="HJ378" t="s">
        <v>225</v>
      </c>
      <c r="HK378" t="s">
        <v>536</v>
      </c>
      <c r="HO378" t="s">
        <v>231</v>
      </c>
      <c r="HP378" t="s">
        <v>223</v>
      </c>
      <c r="HQ378" t="s">
        <v>231</v>
      </c>
      <c r="HR378" t="s">
        <v>223</v>
      </c>
      <c r="HU378" t="s">
        <v>231</v>
      </c>
      <c r="HV378" t="s">
        <v>225</v>
      </c>
      <c r="HW378" t="s">
        <v>246</v>
      </c>
      <c r="HX378" t="s">
        <v>236</v>
      </c>
      <c r="IA378" t="s">
        <v>317</v>
      </c>
      <c r="IB378" t="s">
        <v>250</v>
      </c>
      <c r="IC378" s="447"/>
      <c r="ID378" s="447"/>
      <c r="IE378" s="447"/>
      <c r="IF378" s="447"/>
      <c r="IH378" t="s">
        <v>235</v>
      </c>
    </row>
    <row r="379" spans="1:242" hidden="1" x14ac:dyDescent="0.35">
      <c r="A379" s="310" t="s">
        <v>2148</v>
      </c>
      <c r="B379" t="s">
        <v>2149</v>
      </c>
      <c r="C379" s="310" t="s">
        <v>2150</v>
      </c>
      <c r="D379" s="316"/>
      <c r="F379" t="s">
        <v>2151</v>
      </c>
      <c r="I379" s="310" t="s">
        <v>2152</v>
      </c>
      <c r="M379" s="313" t="s">
        <v>220</v>
      </c>
      <c r="O379" t="s">
        <v>221</v>
      </c>
      <c r="P379" s="381"/>
      <c r="Q379" t="s">
        <v>221</v>
      </c>
      <c r="T379" s="8"/>
      <c r="U379" t="s">
        <v>221</v>
      </c>
      <c r="V379" s="313"/>
      <c r="W379" t="s">
        <v>257</v>
      </c>
      <c r="X379" t="s">
        <v>257</v>
      </c>
      <c r="Z379"/>
      <c r="AB379" t="s">
        <v>257</v>
      </c>
      <c r="AD379" s="8" t="s">
        <v>230</v>
      </c>
      <c r="AF379" s="8" t="s">
        <v>230</v>
      </c>
      <c r="AG379"/>
      <c r="AH379"/>
      <c r="AI379"/>
      <c r="AJ379" t="s">
        <v>221</v>
      </c>
      <c r="AK379">
        <v>0</v>
      </c>
      <c r="AL379">
        <v>1</v>
      </c>
      <c r="AM379" t="s">
        <v>221</v>
      </c>
      <c r="AN379" t="s">
        <v>249</v>
      </c>
      <c r="AO379" t="s">
        <v>224</v>
      </c>
      <c r="AP379"/>
      <c r="AQ379" t="s">
        <v>221</v>
      </c>
      <c r="AR379" t="s">
        <v>236</v>
      </c>
      <c r="AS379" t="s">
        <v>221</v>
      </c>
      <c r="AT379"/>
      <c r="AU379" t="s">
        <v>257</v>
      </c>
      <c r="AV379"/>
      <c r="AW379" s="313" t="s">
        <v>257</v>
      </c>
      <c r="AX379" t="s">
        <v>226</v>
      </c>
      <c r="AY379" s="313" t="s">
        <v>257</v>
      </c>
      <c r="AZ379" s="313">
        <v>0.46100000000000002</v>
      </c>
      <c r="BB379" s="313" t="s">
        <v>220</v>
      </c>
      <c r="BC379">
        <v>0.35499999999999998</v>
      </c>
      <c r="BD379" t="s">
        <v>257</v>
      </c>
      <c r="BE379">
        <v>0.23599999999999999</v>
      </c>
      <c r="BF379" s="2" t="s">
        <v>257</v>
      </c>
      <c r="BH379" s="2" t="s">
        <v>228</v>
      </c>
      <c r="BI379" s="2" t="s">
        <v>1026</v>
      </c>
      <c r="BM379"/>
      <c r="BP379" s="8"/>
      <c r="BQ379" t="s">
        <v>230</v>
      </c>
      <c r="BR379" t="s">
        <v>230</v>
      </c>
      <c r="BU379" t="s">
        <v>293</v>
      </c>
      <c r="BV379" t="s">
        <v>236</v>
      </c>
      <c r="BW379" t="s">
        <v>321</v>
      </c>
      <c r="BX379" t="s">
        <v>276</v>
      </c>
      <c r="BY379" t="s">
        <v>227</v>
      </c>
      <c r="BZ379">
        <v>0.60299999999999998</v>
      </c>
      <c r="CA379" t="s">
        <v>234</v>
      </c>
      <c r="CF379" t="s">
        <v>227</v>
      </c>
      <c r="CG379">
        <v>0.54100000000000004</v>
      </c>
      <c r="CH379" t="s">
        <v>227</v>
      </c>
      <c r="CI379">
        <v>0.57599999999999996</v>
      </c>
      <c r="CK379"/>
      <c r="CL379"/>
      <c r="CM379"/>
      <c r="CS379" s="8"/>
      <c r="CW379" t="s">
        <v>227</v>
      </c>
      <c r="CX379" t="s">
        <v>227</v>
      </c>
      <c r="CY379" t="s">
        <v>231</v>
      </c>
      <c r="CZ379" t="s">
        <v>227</v>
      </c>
      <c r="DA379" t="s">
        <v>227</v>
      </c>
      <c r="DB379" t="s">
        <v>227</v>
      </c>
      <c r="DC379"/>
      <c r="DD379"/>
      <c r="DE379"/>
      <c r="DF379"/>
      <c r="DG379"/>
      <c r="DH379" s="323"/>
      <c r="DI379" s="323"/>
      <c r="DJ379" s="323"/>
      <c r="DL379" t="s">
        <v>227</v>
      </c>
      <c r="DM379" t="s">
        <v>257</v>
      </c>
      <c r="DN379" t="s">
        <v>257</v>
      </c>
      <c r="DO379" t="s">
        <v>227</v>
      </c>
      <c r="DP379" t="s">
        <v>227</v>
      </c>
      <c r="DQ379" s="331" t="s">
        <v>702</v>
      </c>
      <c r="DR379" s="331" t="s">
        <v>835</v>
      </c>
      <c r="DS379" s="309">
        <v>21.091999999999999</v>
      </c>
      <c r="DU379" s="309">
        <v>256</v>
      </c>
      <c r="DW379">
        <v>1.78</v>
      </c>
      <c r="DX379" t="s">
        <v>238</v>
      </c>
      <c r="DY379">
        <v>24.2</v>
      </c>
      <c r="DZ379" t="s">
        <v>238</v>
      </c>
      <c r="EA379"/>
      <c r="EB379"/>
      <c r="ED379" s="410"/>
      <c r="EE379" s="1"/>
      <c r="EG379" s="410"/>
      <c r="EI379" s="410"/>
      <c r="EK379" s="1"/>
      <c r="EM379"/>
      <c r="EQ379" s="344"/>
      <c r="EU379" s="344"/>
      <c r="EW379" s="409"/>
      <c r="EY379" s="1"/>
      <c r="FA379">
        <v>3.86</v>
      </c>
      <c r="FB379" t="s">
        <v>236</v>
      </c>
      <c r="FC379" s="7">
        <v>50.909636952309413</v>
      </c>
      <c r="FD379" s="357" t="s">
        <v>236</v>
      </c>
      <c r="FE379" s="8">
        <v>92.214666512426476</v>
      </c>
      <c r="FF379" t="s">
        <v>237</v>
      </c>
      <c r="FH379" s="9">
        <v>79.946600252031672</v>
      </c>
      <c r="FI379" s="9" t="s">
        <v>225</v>
      </c>
      <c r="FJ379">
        <v>29</v>
      </c>
      <c r="FK379" t="s">
        <v>238</v>
      </c>
      <c r="FL379">
        <v>47.5</v>
      </c>
      <c r="FM379">
        <v>112.82361216489933</v>
      </c>
      <c r="FN379" s="419" t="s">
        <v>237</v>
      </c>
      <c r="FV379" s="8"/>
      <c r="FW379" s="8"/>
      <c r="FX379" s="8"/>
      <c r="GC379" s="7">
        <v>2.5000000000000001E-3</v>
      </c>
      <c r="GH379" s="7"/>
      <c r="GI379" s="441" t="s">
        <v>395</v>
      </c>
      <c r="GJ379" s="441" t="s">
        <v>395</v>
      </c>
      <c r="GK379" s="441" t="s">
        <v>395</v>
      </c>
      <c r="GL379" s="441" t="s">
        <v>395</v>
      </c>
      <c r="GM379" s="452" t="s">
        <v>230</v>
      </c>
      <c r="GN379" s="6" t="s">
        <v>395</v>
      </c>
      <c r="GO379" s="6" t="s">
        <v>395</v>
      </c>
      <c r="GP379" s="6" t="s">
        <v>395</v>
      </c>
      <c r="GQ379" s="6" t="s">
        <v>395</v>
      </c>
      <c r="GR379" s="6" t="s">
        <v>230</v>
      </c>
      <c r="GU379" t="s">
        <v>243</v>
      </c>
      <c r="GV379" t="s">
        <v>225</v>
      </c>
      <c r="GW379" t="s">
        <v>244</v>
      </c>
      <c r="GX379" t="s">
        <v>236</v>
      </c>
      <c r="GY379" t="s">
        <v>245</v>
      </c>
      <c r="GZ379" t="s">
        <v>376</v>
      </c>
      <c r="HB379" t="s">
        <v>376</v>
      </c>
      <c r="HE379" t="s">
        <v>247</v>
      </c>
      <c r="HF379" t="s">
        <v>249</v>
      </c>
      <c r="HG379" t="s">
        <v>231</v>
      </c>
      <c r="HH379" t="s">
        <v>225</v>
      </c>
      <c r="HI379" t="s">
        <v>247</v>
      </c>
      <c r="HJ379" t="s">
        <v>249</v>
      </c>
      <c r="HK379" t="s">
        <v>248</v>
      </c>
      <c r="HL379" t="s">
        <v>231</v>
      </c>
      <c r="HM379" t="s">
        <v>231</v>
      </c>
      <c r="HO379" t="s">
        <v>231</v>
      </c>
      <c r="HP379" t="s">
        <v>249</v>
      </c>
      <c r="HQ379" t="s">
        <v>231</v>
      </c>
      <c r="HR379" t="s">
        <v>249</v>
      </c>
      <c r="HS379" t="s">
        <v>231</v>
      </c>
      <c r="HU379" t="s">
        <v>231</v>
      </c>
      <c r="HV379" t="s">
        <v>249</v>
      </c>
      <c r="HW379" t="s">
        <v>246</v>
      </c>
      <c r="HX379" t="s">
        <v>236</v>
      </c>
      <c r="IA379" t="s">
        <v>231</v>
      </c>
      <c r="IB379" t="s">
        <v>250</v>
      </c>
      <c r="IC379" t="s">
        <v>395</v>
      </c>
      <c r="ID379" t="s">
        <v>395</v>
      </c>
      <c r="IE379" t="s">
        <v>395</v>
      </c>
      <c r="IF379" t="s">
        <v>395</v>
      </c>
      <c r="IH379" t="s">
        <v>235</v>
      </c>
    </row>
    <row r="380" spans="1:242" ht="18" x14ac:dyDescent="0.35">
      <c r="A380" s="310" t="s">
        <v>2153</v>
      </c>
      <c r="B380" t="s">
        <v>2154</v>
      </c>
      <c r="C380" s="310" t="s">
        <v>2155</v>
      </c>
      <c r="D380" s="316"/>
      <c r="F380" t="s">
        <v>2156</v>
      </c>
      <c r="I380" s="315" t="s">
        <v>2157</v>
      </c>
      <c r="M380" s="313" t="s">
        <v>220</v>
      </c>
      <c r="O380" t="s">
        <v>221</v>
      </c>
      <c r="P380" s="381"/>
      <c r="Q380" t="s">
        <v>221</v>
      </c>
      <c r="S380" t="s">
        <v>221</v>
      </c>
      <c r="T380" s="8"/>
      <c r="U380"/>
      <c r="V380" s="313"/>
      <c r="W380" t="s">
        <v>220</v>
      </c>
      <c r="X380" t="s">
        <v>220</v>
      </c>
      <c r="Z380" t="s">
        <v>220</v>
      </c>
      <c r="AB380"/>
      <c r="AD380" s="8" t="s">
        <v>222</v>
      </c>
      <c r="AF380" s="8" t="s">
        <v>222</v>
      </c>
      <c r="AG380"/>
      <c r="AH380" t="s">
        <v>312</v>
      </c>
      <c r="AI380"/>
      <c r="AJ380" t="s">
        <v>221</v>
      </c>
      <c r="AK380">
        <v>0</v>
      </c>
      <c r="AL380">
        <v>1</v>
      </c>
      <c r="AM380" t="s">
        <v>221</v>
      </c>
      <c r="AN380" t="s">
        <v>249</v>
      </c>
      <c r="AO380" t="s">
        <v>221</v>
      </c>
      <c r="AP380"/>
      <c r="AQ380" t="s">
        <v>221</v>
      </c>
      <c r="AR380"/>
      <c r="AS380" t="s">
        <v>221</v>
      </c>
      <c r="AT380" t="s">
        <v>223</v>
      </c>
      <c r="AU380" t="s">
        <v>220</v>
      </c>
      <c r="AV380"/>
      <c r="AW380" s="313" t="s">
        <v>220</v>
      </c>
      <c r="AX380" t="s">
        <v>226</v>
      </c>
      <c r="AY380" s="313" t="s">
        <v>220</v>
      </c>
      <c r="AZ380" s="313">
        <v>6.6799999999999998E-2</v>
      </c>
      <c r="BB380" s="313" t="s">
        <v>220</v>
      </c>
      <c r="BC380">
        <v>2.87E-2</v>
      </c>
      <c r="BD380" t="s">
        <v>220</v>
      </c>
      <c r="BE380">
        <v>2.2800000000000001E-2</v>
      </c>
      <c r="BF380" s="2" t="s">
        <v>220</v>
      </c>
      <c r="BH380" s="2" t="s">
        <v>228</v>
      </c>
      <c r="BI380" s="2" t="s">
        <v>229</v>
      </c>
      <c r="BK380" s="2" t="s">
        <v>352</v>
      </c>
      <c r="BL380" s="2" t="s">
        <v>312</v>
      </c>
      <c r="BM380" t="s">
        <v>231</v>
      </c>
      <c r="BO380" t="s">
        <v>257</v>
      </c>
      <c r="BP380" s="8"/>
      <c r="BQ380" t="s">
        <v>709</v>
      </c>
      <c r="BR380" t="s">
        <v>222</v>
      </c>
      <c r="BU380" t="s">
        <v>231</v>
      </c>
      <c r="BV380" t="s">
        <v>249</v>
      </c>
      <c r="BW380" t="s">
        <v>232</v>
      </c>
      <c r="BX380" t="s">
        <v>284</v>
      </c>
      <c r="BY380" t="s">
        <v>257</v>
      </c>
      <c r="BZ380">
        <v>0.315</v>
      </c>
      <c r="CA380" t="s">
        <v>372</v>
      </c>
      <c r="CF380" t="s">
        <v>220</v>
      </c>
      <c r="CG380">
        <v>1.6000000000000001E-3</v>
      </c>
      <c r="CH380" t="s">
        <v>220</v>
      </c>
      <c r="CI380">
        <v>2.5500000000000002E-3</v>
      </c>
      <c r="CK380" t="s">
        <v>220</v>
      </c>
      <c r="CL380"/>
      <c r="CM380"/>
      <c r="CN380" s="2" t="s">
        <v>312</v>
      </c>
      <c r="CP380" t="s">
        <v>220</v>
      </c>
      <c r="CQ380" t="s">
        <v>220</v>
      </c>
      <c r="CS380" s="8" t="s">
        <v>312</v>
      </c>
      <c r="CW380" t="s">
        <v>220</v>
      </c>
      <c r="CX380" t="s">
        <v>220</v>
      </c>
      <c r="CY380" t="s">
        <v>231</v>
      </c>
      <c r="CZ380" t="s">
        <v>220</v>
      </c>
      <c r="DA380" t="s">
        <v>220</v>
      </c>
      <c r="DB380" t="s">
        <v>227</v>
      </c>
      <c r="DC380" t="s">
        <v>257</v>
      </c>
      <c r="DD380" t="s">
        <v>257</v>
      </c>
      <c r="DE380"/>
      <c r="DF380" t="s">
        <v>257</v>
      </c>
      <c r="DG380" t="s">
        <v>257</v>
      </c>
      <c r="DH380" s="323" t="s">
        <v>345</v>
      </c>
      <c r="DI380" s="323" t="s">
        <v>312</v>
      </c>
      <c r="DJ380" s="323" t="s">
        <v>312</v>
      </c>
      <c r="DL380" t="s">
        <v>257</v>
      </c>
      <c r="DM380" t="s">
        <v>257</v>
      </c>
      <c r="DN380" t="s">
        <v>227</v>
      </c>
      <c r="DO380" t="s">
        <v>257</v>
      </c>
      <c r="DP380" t="s">
        <v>257</v>
      </c>
      <c r="DQ380" s="332" t="s">
        <v>2158</v>
      </c>
      <c r="DR380" s="332" t="s">
        <v>2159</v>
      </c>
      <c r="DS380" s="309">
        <v>205.49</v>
      </c>
      <c r="DU380" s="309">
        <v>560.15</v>
      </c>
      <c r="DW380">
        <v>1350</v>
      </c>
      <c r="DX380" t="s">
        <v>238</v>
      </c>
      <c r="DY380">
        <v>6410</v>
      </c>
      <c r="DZ380" t="s">
        <v>238</v>
      </c>
      <c r="EA380"/>
      <c r="EB380"/>
      <c r="ED380" s="410">
        <v>5</v>
      </c>
      <c r="EE380" s="1"/>
      <c r="EF380" s="8" t="s">
        <v>323</v>
      </c>
      <c r="EG380" s="410">
        <v>5</v>
      </c>
      <c r="EH380" s="8" t="s">
        <v>323</v>
      </c>
      <c r="EI380" s="410"/>
      <c r="EK380" s="1">
        <v>4.8</v>
      </c>
      <c r="EL380" s="8" t="s">
        <v>323</v>
      </c>
      <c r="EM380"/>
      <c r="EN380" s="9">
        <v>199.82182896640001</v>
      </c>
      <c r="EQ380" s="344"/>
      <c r="EU380" s="344"/>
      <c r="EW380" s="381">
        <v>180</v>
      </c>
      <c r="EX380" s="8" t="s">
        <v>323</v>
      </c>
      <c r="EY380" s="1"/>
      <c r="FA380">
        <v>57.67</v>
      </c>
      <c r="FB380" t="s">
        <v>225</v>
      </c>
      <c r="FC380" s="7">
        <v>441.57044735331272</v>
      </c>
      <c r="FD380" s="357" t="s">
        <v>225</v>
      </c>
      <c r="FE380" s="8">
        <v>69.326615720511995</v>
      </c>
      <c r="FF380" t="s">
        <v>237</v>
      </c>
      <c r="FH380" s="9">
        <v>583.17647973164298</v>
      </c>
      <c r="FI380" s="9" t="s">
        <v>225</v>
      </c>
      <c r="FJ380">
        <v>1260</v>
      </c>
      <c r="FK380" t="s">
        <v>238</v>
      </c>
      <c r="FL380">
        <v>253</v>
      </c>
      <c r="FM380">
        <v>234.42288153199232</v>
      </c>
      <c r="FN380" s="5" t="s">
        <v>237</v>
      </c>
      <c r="FP380" s="6">
        <v>4.8</v>
      </c>
      <c r="FQ380" t="s">
        <v>260</v>
      </c>
      <c r="FS380" t="s">
        <v>261</v>
      </c>
      <c r="FT380" t="e">
        <f>FQ380=#REF!</f>
        <v>#REF!</v>
      </c>
      <c r="FU380" s="8">
        <v>1</v>
      </c>
      <c r="FV380" s="8">
        <v>10</v>
      </c>
      <c r="FW380" s="8">
        <v>10</v>
      </c>
      <c r="FX380" s="8">
        <v>1</v>
      </c>
      <c r="FY380" s="8">
        <v>1</v>
      </c>
      <c r="FZ380">
        <f t="shared" ref="FZ380:FZ429" si="6">FU380*FV380*FW380*FX380*FY380</f>
        <v>100</v>
      </c>
      <c r="GA380" s="7" t="s">
        <v>241</v>
      </c>
      <c r="GB380" s="7" t="s">
        <v>241</v>
      </c>
      <c r="GC380" s="6">
        <v>30</v>
      </c>
      <c r="GD380" s="348" t="s">
        <v>242</v>
      </c>
      <c r="GE380" s="6">
        <v>0.05</v>
      </c>
      <c r="GF380" s="6">
        <v>4.8000000000000001E-2</v>
      </c>
      <c r="GH380" s="7"/>
      <c r="GI380" s="441"/>
      <c r="GJ380" s="441"/>
      <c r="GK380" s="441"/>
      <c r="GL380" s="441"/>
      <c r="GM380" s="454"/>
      <c r="GN380" s="441"/>
      <c r="GO380" s="441"/>
      <c r="GP380" s="441"/>
      <c r="GQ380" s="441"/>
      <c r="GR380" s="441"/>
      <c r="GS380" s="441"/>
      <c r="GT380" s="441"/>
      <c r="GU380" s="441"/>
      <c r="GV380" s="441"/>
      <c r="GW380" s="441"/>
      <c r="GX380" s="441"/>
      <c r="GY380" s="441"/>
      <c r="GZ380" s="441"/>
      <c r="HA380" s="441"/>
      <c r="HB380" s="441"/>
      <c r="HC380" s="441"/>
      <c r="HD380" s="441"/>
      <c r="HE380" s="441"/>
      <c r="HF380" s="441"/>
      <c r="HG380" s="441"/>
      <c r="HH380" s="441"/>
      <c r="HI380" s="441"/>
      <c r="HJ380" s="441"/>
      <c r="HK380" s="441"/>
      <c r="HL380" s="441"/>
      <c r="HM380" s="441"/>
      <c r="HN380" s="441"/>
      <c r="HO380" s="441"/>
      <c r="HP380" s="441"/>
      <c r="HQ380" s="441"/>
      <c r="HR380" s="441"/>
      <c r="HS380" s="441"/>
      <c r="HT380" s="441"/>
      <c r="HU380" s="441"/>
      <c r="HV380" s="441"/>
      <c r="HW380" s="441"/>
      <c r="HX380" s="441"/>
      <c r="HY380" s="441"/>
      <c r="HZ380" s="441"/>
      <c r="IA380" s="441"/>
      <c r="IB380" s="441"/>
      <c r="IC380" s="441"/>
      <c r="ID380" s="441"/>
      <c r="IE380" s="441"/>
      <c r="IF380" s="441"/>
      <c r="IH380" t="s">
        <v>235</v>
      </c>
    </row>
    <row r="381" spans="1:242" x14ac:dyDescent="0.35">
      <c r="A381" s="310" t="s">
        <v>2160</v>
      </c>
      <c r="B381" t="s">
        <v>2161</v>
      </c>
      <c r="C381" s="310" t="s">
        <v>2162</v>
      </c>
      <c r="D381" s="316"/>
      <c r="F381" t="s">
        <v>2163</v>
      </c>
      <c r="I381" s="310" t="s">
        <v>2164</v>
      </c>
      <c r="M381" s="313"/>
      <c r="O381"/>
      <c r="P381" s="381"/>
      <c r="Q381"/>
      <c r="T381" s="8"/>
      <c r="U381"/>
      <c r="V381" s="313"/>
      <c r="W381"/>
      <c r="X381"/>
      <c r="Z381"/>
      <c r="AB381"/>
      <c r="AD381" s="8" t="s">
        <v>230</v>
      </c>
      <c r="AF381" s="8" t="s">
        <v>230</v>
      </c>
      <c r="AG381"/>
      <c r="AH381"/>
      <c r="AI381"/>
      <c r="AJ381" t="s">
        <v>221</v>
      </c>
      <c r="AK381">
        <v>0.05</v>
      </c>
      <c r="AL381">
        <v>0.67500000000000004</v>
      </c>
      <c r="AM381" s="442" t="s">
        <v>414</v>
      </c>
      <c r="AN381" t="s">
        <v>236</v>
      </c>
      <c r="AO381" t="s">
        <v>221</v>
      </c>
      <c r="AP381" t="s">
        <v>223</v>
      </c>
      <c r="AQ381" t="s">
        <v>221</v>
      </c>
      <c r="AR381" t="s">
        <v>223</v>
      </c>
      <c r="AS381" t="s">
        <v>221</v>
      </c>
      <c r="AT381" t="s">
        <v>223</v>
      </c>
      <c r="AU381" t="s">
        <v>220</v>
      </c>
      <c r="AV381"/>
      <c r="AW381" s="313" t="s">
        <v>220</v>
      </c>
      <c r="AX381" t="s">
        <v>226</v>
      </c>
      <c r="AY381" s="313" t="s">
        <v>220</v>
      </c>
      <c r="AZ381" s="313">
        <v>1.7999999999999999E-2</v>
      </c>
      <c r="BB381" s="313" t="s">
        <v>220</v>
      </c>
      <c r="BC381">
        <v>7.0899999999999999E-3</v>
      </c>
      <c r="BD381" t="s">
        <v>220</v>
      </c>
      <c r="BE381">
        <v>6.0899999999999999E-3</v>
      </c>
      <c r="BF381" s="2" t="s">
        <v>220</v>
      </c>
      <c r="BG381" s="3" t="s">
        <v>416</v>
      </c>
      <c r="BH381" s="2" t="s">
        <v>274</v>
      </c>
      <c r="BI381" s="2" t="s">
        <v>275</v>
      </c>
      <c r="BM381"/>
      <c r="BP381" s="8"/>
      <c r="BQ381" t="s">
        <v>230</v>
      </c>
      <c r="BR381" t="s">
        <v>230</v>
      </c>
      <c r="BU381" t="s">
        <v>231</v>
      </c>
      <c r="BV381" t="s">
        <v>225</v>
      </c>
      <c r="BW381" t="s">
        <v>232</v>
      </c>
      <c r="BX381" t="s">
        <v>284</v>
      </c>
      <c r="BY381" t="s">
        <v>220</v>
      </c>
      <c r="BZ381">
        <v>0.219</v>
      </c>
      <c r="CA381" t="s">
        <v>234</v>
      </c>
      <c r="CF381" t="s">
        <v>220</v>
      </c>
      <c r="CG381">
        <v>0</v>
      </c>
      <c r="CH381" t="s">
        <v>220</v>
      </c>
      <c r="CI381">
        <v>1.5E-3</v>
      </c>
      <c r="CK381"/>
      <c r="CL381"/>
      <c r="CM381"/>
      <c r="CS381" s="8"/>
      <c r="CW381" t="s">
        <v>220</v>
      </c>
      <c r="CX381" t="s">
        <v>220</v>
      </c>
      <c r="CY381" t="s">
        <v>231</v>
      </c>
      <c r="CZ381" t="s">
        <v>220</v>
      </c>
      <c r="DA381" t="s">
        <v>227</v>
      </c>
      <c r="DB381" t="s">
        <v>220</v>
      </c>
      <c r="DC381"/>
      <c r="DD381"/>
      <c r="DE381"/>
      <c r="DF381"/>
      <c r="DG381"/>
      <c r="DH381" s="323"/>
      <c r="DI381" s="323"/>
      <c r="DJ381" s="323"/>
      <c r="DL381" t="s">
        <v>220</v>
      </c>
      <c r="DM381" t="s">
        <v>220</v>
      </c>
      <c r="DN381" t="s">
        <v>227</v>
      </c>
      <c r="DO381" t="s">
        <v>227</v>
      </c>
      <c r="DP381" t="s">
        <v>227</v>
      </c>
      <c r="DS381" s="338">
        <v>1717.3520000000001</v>
      </c>
      <c r="DT381" s="8" t="s">
        <v>394</v>
      </c>
      <c r="DU381" s="338">
        <v>541.66899999999998</v>
      </c>
      <c r="DV381" s="8" t="s">
        <v>394</v>
      </c>
      <c r="DW381">
        <v>13.5</v>
      </c>
      <c r="DX381" t="s">
        <v>238</v>
      </c>
      <c r="DY381"/>
      <c r="DZ381" t="s">
        <v>235</v>
      </c>
      <c r="EA381"/>
      <c r="EB381"/>
      <c r="ED381" s="410"/>
      <c r="EE381" s="1"/>
      <c r="EG381" s="410"/>
      <c r="EI381" s="410"/>
      <c r="EK381" s="1"/>
      <c r="EM381"/>
      <c r="EQ381" s="344"/>
      <c r="EU381" s="344"/>
      <c r="EW381" s="409"/>
      <c r="EY381" s="1"/>
      <c r="FA381">
        <v>64.790000000000006</v>
      </c>
      <c r="FB381" t="s">
        <v>236</v>
      </c>
      <c r="FC381" s="7">
        <v>362.66028624488763</v>
      </c>
      <c r="FD381" s="357" t="s">
        <v>236</v>
      </c>
      <c r="FE381" s="8">
        <v>5.4250032163115004E-2</v>
      </c>
      <c r="FF381" t="s">
        <v>337</v>
      </c>
      <c r="FH381" s="9">
        <v>31.871316270228021</v>
      </c>
      <c r="FI381" s="9" t="s">
        <v>236</v>
      </c>
      <c r="FK381" t="s">
        <v>235</v>
      </c>
      <c r="FL381">
        <v>5.99</v>
      </c>
      <c r="FM381">
        <v>1.1738159324832209</v>
      </c>
      <c r="FN381" s="5" t="s">
        <v>337</v>
      </c>
      <c r="FP381" s="6">
        <v>0.59899999999999998</v>
      </c>
      <c r="FQ381" t="s">
        <v>239</v>
      </c>
      <c r="FS381" t="s">
        <v>240</v>
      </c>
      <c r="FT381" t="e">
        <f>FQ381=#REF!</f>
        <v>#REF!</v>
      </c>
      <c r="FU381" s="8">
        <v>1</v>
      </c>
      <c r="FV381" s="8">
        <v>10</v>
      </c>
      <c r="FW381" s="8">
        <v>10</v>
      </c>
      <c r="FX381" s="8">
        <v>10</v>
      </c>
      <c r="FY381" s="8">
        <v>3</v>
      </c>
      <c r="FZ381">
        <f t="shared" si="6"/>
        <v>3000</v>
      </c>
      <c r="GA381" s="7" t="s">
        <v>326</v>
      </c>
      <c r="GB381" s="7" t="s">
        <v>326</v>
      </c>
      <c r="GC381" s="6">
        <v>1.5</v>
      </c>
      <c r="GD381" s="348" t="s">
        <v>1514</v>
      </c>
      <c r="GF381" s="6">
        <v>1.9966666666666666E-3</v>
      </c>
      <c r="GH381" s="7"/>
      <c r="GI381" s="441" t="s">
        <v>395</v>
      </c>
      <c r="GJ381" s="441" t="s">
        <v>395</v>
      </c>
      <c r="GK381" s="441" t="s">
        <v>395</v>
      </c>
      <c r="GL381" s="441" t="s">
        <v>395</v>
      </c>
      <c r="GM381" s="452" t="s">
        <v>529</v>
      </c>
      <c r="GN381" s="6" t="s">
        <v>395</v>
      </c>
      <c r="GO381" s="6" t="s">
        <v>395</v>
      </c>
      <c r="GP381" s="6" t="s">
        <v>395</v>
      </c>
      <c r="GQ381" s="6" t="s">
        <v>395</v>
      </c>
      <c r="GR381" s="6" t="s">
        <v>396</v>
      </c>
      <c r="GU381" t="s">
        <v>365</v>
      </c>
      <c r="GV381" t="s">
        <v>223</v>
      </c>
      <c r="GW381" t="s">
        <v>244</v>
      </c>
      <c r="GX381" t="s">
        <v>236</v>
      </c>
      <c r="GY381" t="s">
        <v>245</v>
      </c>
      <c r="HE381" t="s">
        <v>246</v>
      </c>
      <c r="HF381" t="s">
        <v>236</v>
      </c>
      <c r="HG381" t="s">
        <v>231</v>
      </c>
      <c r="HH381" t="s">
        <v>225</v>
      </c>
      <c r="HI381" t="s">
        <v>1435</v>
      </c>
      <c r="HJ381" t="s">
        <v>223</v>
      </c>
      <c r="HK381" t="s">
        <v>536</v>
      </c>
      <c r="HO381" t="s">
        <v>231</v>
      </c>
      <c r="HP381" t="s">
        <v>223</v>
      </c>
      <c r="HQ381" t="s">
        <v>231</v>
      </c>
      <c r="HR381" t="s">
        <v>223</v>
      </c>
      <c r="HU381" t="s">
        <v>231</v>
      </c>
      <c r="HV381" t="s">
        <v>223</v>
      </c>
      <c r="HW381" t="s">
        <v>246</v>
      </c>
      <c r="HX381" t="s">
        <v>236</v>
      </c>
      <c r="IA381" t="s">
        <v>231</v>
      </c>
      <c r="IB381" t="s">
        <v>250</v>
      </c>
      <c r="IC381" t="s">
        <v>395</v>
      </c>
      <c r="ID381" t="s">
        <v>395</v>
      </c>
      <c r="IE381" t="s">
        <v>395</v>
      </c>
      <c r="IF381" t="s">
        <v>395</v>
      </c>
      <c r="IH381" t="s">
        <v>235</v>
      </c>
    </row>
    <row r="382" spans="1:242" x14ac:dyDescent="0.35">
      <c r="A382" s="310" t="s">
        <v>2165</v>
      </c>
      <c r="B382" t="s">
        <v>2166</v>
      </c>
      <c r="C382" s="310" t="s">
        <v>2167</v>
      </c>
      <c r="D382" s="316"/>
      <c r="F382" t="s">
        <v>2168</v>
      </c>
      <c r="I382" s="310" t="s">
        <v>2169</v>
      </c>
      <c r="M382" s="313"/>
      <c r="O382"/>
      <c r="P382" s="381"/>
      <c r="Q382"/>
      <c r="T382" s="8"/>
      <c r="U382"/>
      <c r="V382" s="313"/>
      <c r="W382" t="s">
        <v>220</v>
      </c>
      <c r="X382"/>
      <c r="Z382"/>
      <c r="AB382"/>
      <c r="AD382" s="8" t="s">
        <v>230</v>
      </c>
      <c r="AF382" s="8" t="s">
        <v>230</v>
      </c>
      <c r="AG382"/>
      <c r="AH382"/>
      <c r="AI382"/>
      <c r="AJ382" t="s">
        <v>221</v>
      </c>
      <c r="AK382">
        <v>0</v>
      </c>
      <c r="AL382">
        <v>0.67500000000000004</v>
      </c>
      <c r="AM382" t="s">
        <v>221</v>
      </c>
      <c r="AN382" t="s">
        <v>225</v>
      </c>
      <c r="AO382" t="s">
        <v>221</v>
      </c>
      <c r="AP382" t="s">
        <v>225</v>
      </c>
      <c r="AQ382" t="s">
        <v>221</v>
      </c>
      <c r="AR382" t="s">
        <v>225</v>
      </c>
      <c r="AS382" t="s">
        <v>221</v>
      </c>
      <c r="AT382" t="s">
        <v>223</v>
      </c>
      <c r="AU382" t="s">
        <v>220</v>
      </c>
      <c r="AV382"/>
      <c r="AW382" s="313" t="s">
        <v>220</v>
      </c>
      <c r="AX382" t="s">
        <v>226</v>
      </c>
      <c r="AY382" s="313" t="s">
        <v>220</v>
      </c>
      <c r="AZ382" s="313">
        <v>2.8500000000000001E-2</v>
      </c>
      <c r="BB382" s="313" t="s">
        <v>220</v>
      </c>
      <c r="BC382">
        <v>2.0799999999999999E-2</v>
      </c>
      <c r="BD382" t="s">
        <v>220</v>
      </c>
      <c r="BE382">
        <v>4.5999999999999999E-2</v>
      </c>
      <c r="BF382" s="2" t="s">
        <v>220</v>
      </c>
      <c r="BH382" s="2" t="s">
        <v>228</v>
      </c>
      <c r="BI382" s="2" t="s">
        <v>800</v>
      </c>
      <c r="BM382"/>
      <c r="BP382" s="8"/>
      <c r="BQ382" t="s">
        <v>230</v>
      </c>
      <c r="BR382" t="s">
        <v>230</v>
      </c>
      <c r="BS382" t="s">
        <v>255</v>
      </c>
      <c r="BU382" t="s">
        <v>231</v>
      </c>
      <c r="BV382" t="s">
        <v>223</v>
      </c>
      <c r="BW382" t="s">
        <v>232</v>
      </c>
      <c r="BX382" t="s">
        <v>256</v>
      </c>
      <c r="BY382" t="s">
        <v>220</v>
      </c>
      <c r="BZ382">
        <v>0.28199999999999997</v>
      </c>
      <c r="CA382" t="s">
        <v>372</v>
      </c>
      <c r="CF382" t="s">
        <v>220</v>
      </c>
      <c r="CG382">
        <v>6.7100000000000007E-2</v>
      </c>
      <c r="CH382" t="s">
        <v>220</v>
      </c>
      <c r="CI382">
        <v>4.36E-2</v>
      </c>
      <c r="CK382"/>
      <c r="CL382"/>
      <c r="CM382"/>
      <c r="CS382" s="8"/>
      <c r="CW382" t="s">
        <v>220</v>
      </c>
      <c r="CX382" t="s">
        <v>220</v>
      </c>
      <c r="CY382" t="s">
        <v>231</v>
      </c>
      <c r="CZ382" t="s">
        <v>220</v>
      </c>
      <c r="DA382" t="s">
        <v>220</v>
      </c>
      <c r="DB382" t="s">
        <v>220</v>
      </c>
      <c r="DC382"/>
      <c r="DD382"/>
      <c r="DE382"/>
      <c r="DF382"/>
      <c r="DG382"/>
      <c r="DH382" s="323"/>
      <c r="DI382" s="323"/>
      <c r="DJ382" s="323"/>
      <c r="DL382" t="s">
        <v>257</v>
      </c>
      <c r="DM382" t="s">
        <v>220</v>
      </c>
      <c r="DN382" t="s">
        <v>257</v>
      </c>
      <c r="DO382" t="s">
        <v>257</v>
      </c>
      <c r="DP382" t="s">
        <v>257</v>
      </c>
      <c r="DS382" s="309">
        <v>331.505</v>
      </c>
      <c r="DU382" s="309">
        <v>222.1</v>
      </c>
      <c r="DW382">
        <v>504</v>
      </c>
      <c r="DX382" t="s">
        <v>238</v>
      </c>
      <c r="DY382">
        <v>1830</v>
      </c>
      <c r="DZ382" t="s">
        <v>238</v>
      </c>
      <c r="EA382"/>
      <c r="EB382"/>
      <c r="ED382" s="410"/>
      <c r="EE382" s="1"/>
      <c r="EG382" s="410"/>
      <c r="EI382" s="410"/>
      <c r="EK382" s="1"/>
      <c r="EM382"/>
      <c r="EQ382" s="344"/>
      <c r="EU382" s="344"/>
      <c r="EW382" s="409"/>
      <c r="EY382" s="1"/>
      <c r="FA382">
        <v>146.44</v>
      </c>
      <c r="FB382" t="s">
        <v>225</v>
      </c>
      <c r="FC382" s="7">
        <v>385.6559178913933</v>
      </c>
      <c r="FD382" s="357" t="s">
        <v>225</v>
      </c>
      <c r="FE382" s="8">
        <v>146.96028989796517</v>
      </c>
      <c r="FF382" t="s">
        <v>237</v>
      </c>
      <c r="FH382" s="9">
        <v>653.73238522879569</v>
      </c>
      <c r="FI382" s="9" t="s">
        <v>225</v>
      </c>
      <c r="FJ382">
        <v>613</v>
      </c>
      <c r="FK382" t="s">
        <v>238</v>
      </c>
      <c r="FL382">
        <v>626</v>
      </c>
      <c r="FM382">
        <v>664.35468197600596</v>
      </c>
      <c r="FN382" s="5" t="s">
        <v>237</v>
      </c>
      <c r="FP382" s="6">
        <v>33.2177340988003</v>
      </c>
      <c r="FQ382" t="s">
        <v>277</v>
      </c>
      <c r="FS382" t="s">
        <v>240</v>
      </c>
      <c r="FT382" t="e">
        <f>FQ382=#REF!</f>
        <v>#REF!</v>
      </c>
      <c r="FU382" s="8">
        <v>2</v>
      </c>
      <c r="FV382" s="8">
        <v>10</v>
      </c>
      <c r="FW382" s="8">
        <v>10</v>
      </c>
      <c r="FX382" s="8">
        <v>10</v>
      </c>
      <c r="FY382" s="8">
        <v>3</v>
      </c>
      <c r="FZ382">
        <f t="shared" si="6"/>
        <v>6000</v>
      </c>
      <c r="GA382" s="7" t="s">
        <v>241</v>
      </c>
      <c r="GB382" s="7" t="s">
        <v>241</v>
      </c>
      <c r="GC382" s="6">
        <v>30</v>
      </c>
      <c r="GD382" s="348" t="s">
        <v>242</v>
      </c>
      <c r="GF382" s="6">
        <v>0.20433333333333334</v>
      </c>
      <c r="GH382" s="7"/>
      <c r="GI382" s="441">
        <v>0.73799999999999999</v>
      </c>
      <c r="GJ382" s="441">
        <v>1.3839999999999999</v>
      </c>
      <c r="GK382" s="441">
        <v>2.2149999999999999</v>
      </c>
      <c r="GL382" s="441">
        <v>5.5359999999999996</v>
      </c>
      <c r="GM382" s="452" t="s">
        <v>262</v>
      </c>
      <c r="GN382" s="6">
        <v>0.2</v>
      </c>
      <c r="GO382" s="6">
        <v>0.375</v>
      </c>
      <c r="GP382" s="6">
        <v>0.6</v>
      </c>
      <c r="GQ382" s="6">
        <v>1.5</v>
      </c>
      <c r="GR382" s="6" t="s">
        <v>230</v>
      </c>
      <c r="GU382" t="s">
        <v>243</v>
      </c>
      <c r="GV382" t="s">
        <v>225</v>
      </c>
      <c r="GW382" t="s">
        <v>244</v>
      </c>
      <c r="GX382" t="s">
        <v>236</v>
      </c>
      <c r="GY382" t="s">
        <v>245</v>
      </c>
      <c r="HE382" t="s">
        <v>384</v>
      </c>
      <c r="HF382" t="s">
        <v>223</v>
      </c>
      <c r="HG382" t="s">
        <v>231</v>
      </c>
      <c r="HH382" t="s">
        <v>225</v>
      </c>
      <c r="HI382" t="s">
        <v>247</v>
      </c>
      <c r="HJ382" t="s">
        <v>223</v>
      </c>
      <c r="HK382" t="s">
        <v>266</v>
      </c>
      <c r="HL382" t="s">
        <v>231</v>
      </c>
      <c r="HM382" t="s">
        <v>231</v>
      </c>
      <c r="HO382" t="s">
        <v>231</v>
      </c>
      <c r="HP382" t="s">
        <v>249</v>
      </c>
      <c r="HQ382" t="s">
        <v>231</v>
      </c>
      <c r="HR382" t="s">
        <v>249</v>
      </c>
      <c r="HU382" t="s">
        <v>231</v>
      </c>
      <c r="HV382" t="s">
        <v>223</v>
      </c>
      <c r="HW382" t="s">
        <v>482</v>
      </c>
      <c r="HX382" t="s">
        <v>223</v>
      </c>
      <c r="IA382" t="s">
        <v>231</v>
      </c>
      <c r="IB382" t="s">
        <v>250</v>
      </c>
      <c r="IC382">
        <v>0.73799999999999999</v>
      </c>
      <c r="ID382">
        <v>1.3839999999999999</v>
      </c>
      <c r="IE382">
        <v>2.2149999999999999</v>
      </c>
      <c r="IF382">
        <v>5.5359999999999996</v>
      </c>
      <c r="IH382" t="s">
        <v>267</v>
      </c>
    </row>
    <row r="383" spans="1:242" x14ac:dyDescent="0.35">
      <c r="A383" s="310" t="s">
        <v>2170</v>
      </c>
      <c r="B383" t="s">
        <v>2171</v>
      </c>
      <c r="C383" s="310" t="s">
        <v>2172</v>
      </c>
      <c r="D383" s="316"/>
      <c r="F383" t="s">
        <v>2173</v>
      </c>
      <c r="I383" s="310" t="s">
        <v>2174</v>
      </c>
      <c r="M383" s="313"/>
      <c r="O383"/>
      <c r="P383" s="381"/>
      <c r="Q383"/>
      <c r="T383" s="8"/>
      <c r="U383"/>
      <c r="V383" s="313"/>
      <c r="W383"/>
      <c r="X383"/>
      <c r="Z383"/>
      <c r="AB383"/>
      <c r="AD383" s="8" t="s">
        <v>230</v>
      </c>
      <c r="AF383" s="8" t="s">
        <v>230</v>
      </c>
      <c r="AG383"/>
      <c r="AH383"/>
      <c r="AI383"/>
      <c r="AJ383" t="s">
        <v>221</v>
      </c>
      <c r="AK383">
        <v>0</v>
      </c>
      <c r="AL383">
        <v>0.6</v>
      </c>
      <c r="AM383" t="s">
        <v>221</v>
      </c>
      <c r="AN383" t="s">
        <v>225</v>
      </c>
      <c r="AO383" t="s">
        <v>221</v>
      </c>
      <c r="AP383" t="s">
        <v>225</v>
      </c>
      <c r="AQ383" t="s">
        <v>221</v>
      </c>
      <c r="AR383" t="s">
        <v>225</v>
      </c>
      <c r="AS383" t="s">
        <v>221</v>
      </c>
      <c r="AT383" t="s">
        <v>225</v>
      </c>
      <c r="AU383" t="s">
        <v>272</v>
      </c>
      <c r="AV383"/>
      <c r="AW383" s="313" t="s">
        <v>227</v>
      </c>
      <c r="AX383" t="s">
        <v>226</v>
      </c>
      <c r="AY383" s="313" t="s">
        <v>227</v>
      </c>
      <c r="AZ383" s="313">
        <v>8.8999999999999996E-2</v>
      </c>
      <c r="BB383" s="313" t="s">
        <v>227</v>
      </c>
      <c r="BC383">
        <v>3.1899999999999998E-2</v>
      </c>
      <c r="BD383" t="s">
        <v>227</v>
      </c>
      <c r="BE383">
        <v>1.0999999999999999E-2</v>
      </c>
      <c r="BF383" s="2" t="s">
        <v>220</v>
      </c>
      <c r="BG383" s="2" t="s">
        <v>273</v>
      </c>
      <c r="BH383" s="2" t="s">
        <v>274</v>
      </c>
      <c r="BI383" s="2" t="s">
        <v>275</v>
      </c>
      <c r="BM383"/>
      <c r="BP383" s="8"/>
      <c r="BQ383" t="s">
        <v>230</v>
      </c>
      <c r="BR383" t="s">
        <v>230</v>
      </c>
      <c r="BU383" t="s">
        <v>231</v>
      </c>
      <c r="BV383" t="s">
        <v>223</v>
      </c>
      <c r="BW383" t="s">
        <v>232</v>
      </c>
      <c r="BX383" t="s">
        <v>276</v>
      </c>
      <c r="BY383" t="s">
        <v>227</v>
      </c>
      <c r="BZ383">
        <v>0.23400000000000001</v>
      </c>
      <c r="CA383" t="s">
        <v>234</v>
      </c>
      <c r="CF383" t="s">
        <v>227</v>
      </c>
      <c r="CG383">
        <v>0</v>
      </c>
      <c r="CH383" t="s">
        <v>227</v>
      </c>
      <c r="CI383">
        <v>2.0200000000000001E-3</v>
      </c>
      <c r="CK383"/>
      <c r="CL383"/>
      <c r="CM383"/>
      <c r="CS383" s="8"/>
      <c r="CW383" t="s">
        <v>227</v>
      </c>
      <c r="CX383" t="s">
        <v>227</v>
      </c>
      <c r="CY383" t="s">
        <v>231</v>
      </c>
      <c r="CZ383" t="s">
        <v>227</v>
      </c>
      <c r="DA383" t="s">
        <v>227</v>
      </c>
      <c r="DB383" t="s">
        <v>227</v>
      </c>
      <c r="DC383"/>
      <c r="DD383"/>
      <c r="DE383"/>
      <c r="DF383"/>
      <c r="DG383"/>
      <c r="DH383" s="323"/>
      <c r="DI383" s="323"/>
      <c r="DJ383" s="323"/>
      <c r="DL383" t="s">
        <v>227</v>
      </c>
      <c r="DM383" t="s">
        <v>227</v>
      </c>
      <c r="DN383" t="s">
        <v>227</v>
      </c>
      <c r="DO383" t="s">
        <v>227</v>
      </c>
      <c r="DP383" t="s">
        <v>227</v>
      </c>
      <c r="DS383" s="338">
        <v>4048.7249999999999</v>
      </c>
      <c r="DT383" s="8" t="s">
        <v>394</v>
      </c>
      <c r="DU383" s="338">
        <v>757.38599999999997</v>
      </c>
      <c r="DV383" s="8" t="s">
        <v>394</v>
      </c>
      <c r="DW383"/>
      <c r="DX383" t="s">
        <v>235</v>
      </c>
      <c r="DY383"/>
      <c r="DZ383" t="s">
        <v>235</v>
      </c>
      <c r="EA383"/>
      <c r="EB383"/>
      <c r="ED383" s="410"/>
      <c r="EE383" s="1"/>
      <c r="EG383" s="410"/>
      <c r="EI383" s="410"/>
      <c r="EK383" s="1"/>
      <c r="EM383"/>
      <c r="EQ383" s="344"/>
      <c r="EU383" s="344"/>
      <c r="EW383" s="409"/>
      <c r="EY383" s="1"/>
      <c r="FA383">
        <v>31.15</v>
      </c>
      <c r="FB383" t="s">
        <v>225</v>
      </c>
      <c r="FC383" s="7">
        <v>332.50639317744015</v>
      </c>
      <c r="FD383" s="357" t="s">
        <v>236</v>
      </c>
      <c r="FE383" s="8">
        <v>6.0715559298864822E-3</v>
      </c>
      <c r="FF383" t="s">
        <v>337</v>
      </c>
      <c r="FH383" s="9">
        <v>30.443879900225429</v>
      </c>
      <c r="FI383" s="9" t="s">
        <v>236</v>
      </c>
      <c r="FK383" t="s">
        <v>235</v>
      </c>
      <c r="FL383">
        <v>1.5</v>
      </c>
      <c r="FM383">
        <v>1.6021382904318429</v>
      </c>
      <c r="FN383" s="5" t="s">
        <v>337</v>
      </c>
      <c r="FP383" s="6">
        <v>0.15</v>
      </c>
      <c r="FQ383" t="s">
        <v>239</v>
      </c>
      <c r="FS383" t="s">
        <v>240</v>
      </c>
      <c r="FT383" t="e">
        <f>FQ383=#REF!</f>
        <v>#REF!</v>
      </c>
      <c r="FU383" s="8">
        <v>1</v>
      </c>
      <c r="FV383" s="8">
        <v>10</v>
      </c>
      <c r="FW383" s="8">
        <v>10</v>
      </c>
      <c r="FX383" s="8">
        <v>10</v>
      </c>
      <c r="FY383" s="8">
        <v>1</v>
      </c>
      <c r="FZ383">
        <f t="shared" si="6"/>
        <v>1000</v>
      </c>
      <c r="GA383" s="7" t="s">
        <v>326</v>
      </c>
      <c r="GB383" s="7" t="s">
        <v>326</v>
      </c>
      <c r="GC383" s="6">
        <v>1.5</v>
      </c>
      <c r="GD383" s="348" t="s">
        <v>1514</v>
      </c>
      <c r="GF383" s="6">
        <v>5.0000000000000001E-4</v>
      </c>
      <c r="GH383" s="7"/>
      <c r="GI383" s="441" t="s">
        <v>395</v>
      </c>
      <c r="GJ383" s="441" t="s">
        <v>395</v>
      </c>
      <c r="GK383" s="441" t="s">
        <v>395</v>
      </c>
      <c r="GL383" s="441" t="s">
        <v>395</v>
      </c>
      <c r="GM383" s="452" t="s">
        <v>552</v>
      </c>
      <c r="GN383" s="6" t="s">
        <v>395</v>
      </c>
      <c r="GO383" s="6" t="s">
        <v>395</v>
      </c>
      <c r="GP383" s="6" t="s">
        <v>395</v>
      </c>
      <c r="GQ383" s="6" t="s">
        <v>395</v>
      </c>
      <c r="GR383" s="6" t="s">
        <v>396</v>
      </c>
      <c r="GU383" t="s">
        <v>365</v>
      </c>
      <c r="GV383" t="s">
        <v>223</v>
      </c>
      <c r="GW383" t="s">
        <v>244</v>
      </c>
      <c r="GX383" t="s">
        <v>236</v>
      </c>
      <c r="GY383" t="s">
        <v>245</v>
      </c>
      <c r="HE383" t="s">
        <v>246</v>
      </c>
      <c r="HF383" t="s">
        <v>236</v>
      </c>
      <c r="HG383" t="s">
        <v>317</v>
      </c>
      <c r="HH383" t="s">
        <v>236</v>
      </c>
      <c r="HI383" t="s">
        <v>1435</v>
      </c>
      <c r="HJ383" t="s">
        <v>236</v>
      </c>
      <c r="HK383" t="s">
        <v>248</v>
      </c>
      <c r="HO383" t="s">
        <v>231</v>
      </c>
      <c r="HP383" t="s">
        <v>223</v>
      </c>
      <c r="HQ383" t="s">
        <v>231</v>
      </c>
      <c r="HR383" t="s">
        <v>223</v>
      </c>
      <c r="HU383" t="s">
        <v>231</v>
      </c>
      <c r="HV383" t="s">
        <v>223</v>
      </c>
      <c r="HW383" t="s">
        <v>246</v>
      </c>
      <c r="HX383" t="s">
        <v>236</v>
      </c>
      <c r="IA383" t="s">
        <v>231</v>
      </c>
      <c r="IB383" t="s">
        <v>250</v>
      </c>
      <c r="IC383" t="s">
        <v>395</v>
      </c>
      <c r="ID383" t="s">
        <v>395</v>
      </c>
      <c r="IE383" t="s">
        <v>395</v>
      </c>
      <c r="IF383" t="s">
        <v>395</v>
      </c>
      <c r="IH383" t="s">
        <v>235</v>
      </c>
    </row>
    <row r="384" spans="1:242" x14ac:dyDescent="0.35">
      <c r="A384" s="310" t="s">
        <v>2175</v>
      </c>
      <c r="B384" t="s">
        <v>2176</v>
      </c>
      <c r="C384" s="310" t="s">
        <v>2177</v>
      </c>
      <c r="D384" s="316"/>
      <c r="F384" t="s">
        <v>2178</v>
      </c>
      <c r="I384" s="310" t="s">
        <v>2179</v>
      </c>
      <c r="M384" s="313" t="s">
        <v>220</v>
      </c>
      <c r="O384"/>
      <c r="P384" s="381"/>
      <c r="Q384"/>
      <c r="T384" s="8"/>
      <c r="U384" t="s">
        <v>221</v>
      </c>
      <c r="V384" s="313"/>
      <c r="W384" t="s">
        <v>220</v>
      </c>
      <c r="X384" t="s">
        <v>220</v>
      </c>
      <c r="Z384" t="s">
        <v>220</v>
      </c>
      <c r="AB384"/>
      <c r="AD384" s="8" t="s">
        <v>222</v>
      </c>
      <c r="AF384" s="8" t="s">
        <v>230</v>
      </c>
      <c r="AG384"/>
      <c r="AH384"/>
      <c r="AI384"/>
      <c r="AJ384" t="s">
        <v>221</v>
      </c>
      <c r="AK384">
        <v>0</v>
      </c>
      <c r="AL384">
        <v>1</v>
      </c>
      <c r="AM384" t="s">
        <v>221</v>
      </c>
      <c r="AN384" t="s">
        <v>223</v>
      </c>
      <c r="AO384" t="s">
        <v>224</v>
      </c>
      <c r="AP384" t="s">
        <v>223</v>
      </c>
      <c r="AQ384" t="s">
        <v>414</v>
      </c>
      <c r="AR384" t="s">
        <v>236</v>
      </c>
      <c r="AS384" t="s">
        <v>221</v>
      </c>
      <c r="AT384"/>
      <c r="AU384" t="s">
        <v>220</v>
      </c>
      <c r="AV384"/>
      <c r="AW384" s="313" t="s">
        <v>220</v>
      </c>
      <c r="AX384" t="s">
        <v>226</v>
      </c>
      <c r="AY384" s="313" t="s">
        <v>220</v>
      </c>
      <c r="AZ384" s="313">
        <v>0.109</v>
      </c>
      <c r="BB384" s="313" t="s">
        <v>220</v>
      </c>
      <c r="BC384">
        <v>4.48E-2</v>
      </c>
      <c r="BD384" t="s">
        <v>220</v>
      </c>
      <c r="BE384">
        <v>0.124</v>
      </c>
      <c r="BF384" s="2" t="s">
        <v>220</v>
      </c>
      <c r="BH384" s="2" t="s">
        <v>228</v>
      </c>
      <c r="BI384" s="2" t="s">
        <v>457</v>
      </c>
      <c r="BM384"/>
      <c r="BP384" s="8"/>
      <c r="BQ384" t="s">
        <v>230</v>
      </c>
      <c r="BR384" t="s">
        <v>230</v>
      </c>
      <c r="BU384" t="s">
        <v>293</v>
      </c>
      <c r="BV384" t="s">
        <v>236</v>
      </c>
      <c r="BW384" t="s">
        <v>232</v>
      </c>
      <c r="BX384" t="s">
        <v>284</v>
      </c>
      <c r="BY384" t="s">
        <v>227</v>
      </c>
      <c r="BZ384">
        <v>0.61199999999999999</v>
      </c>
      <c r="CA384" t="s">
        <v>372</v>
      </c>
      <c r="CF384" t="s">
        <v>257</v>
      </c>
      <c r="CG384">
        <v>0.67300000000000004</v>
      </c>
      <c r="CH384" t="s">
        <v>220</v>
      </c>
      <c r="CI384">
        <v>0.42699999999999999</v>
      </c>
      <c r="CK384"/>
      <c r="CL384"/>
      <c r="CM384"/>
      <c r="CS384" s="8"/>
      <c r="CW384" t="s">
        <v>257</v>
      </c>
      <c r="CX384" t="s">
        <v>220</v>
      </c>
      <c r="CY384" t="s">
        <v>231</v>
      </c>
      <c r="CZ384" t="s">
        <v>220</v>
      </c>
      <c r="DA384" t="s">
        <v>220</v>
      </c>
      <c r="DB384" t="s">
        <v>220</v>
      </c>
      <c r="DC384"/>
      <c r="DD384"/>
      <c r="DE384"/>
      <c r="DF384"/>
      <c r="DG384"/>
      <c r="DH384" s="323"/>
      <c r="DI384" s="323"/>
      <c r="DJ384" s="323"/>
      <c r="DL384" t="s">
        <v>257</v>
      </c>
      <c r="DM384" t="s">
        <v>257</v>
      </c>
      <c r="DN384" t="s">
        <v>257</v>
      </c>
      <c r="DO384" t="s">
        <v>220</v>
      </c>
      <c r="DP384" t="s">
        <v>220</v>
      </c>
      <c r="DS384" s="309">
        <v>127.42700000000001</v>
      </c>
      <c r="DU384" s="309">
        <v>729.505</v>
      </c>
      <c r="DW384">
        <v>223</v>
      </c>
      <c r="DX384" t="s">
        <v>238</v>
      </c>
      <c r="DY384">
        <v>791</v>
      </c>
      <c r="DZ384" t="s">
        <v>238</v>
      </c>
      <c r="EA384"/>
      <c r="EB384"/>
      <c r="ED384" s="410"/>
      <c r="EE384" s="1"/>
      <c r="EG384" s="410"/>
      <c r="EI384" s="410"/>
      <c r="EK384" s="1"/>
      <c r="EM384"/>
      <c r="EQ384" s="344"/>
      <c r="EU384" s="344"/>
      <c r="EW384" s="409"/>
      <c r="EY384" s="1"/>
      <c r="FA384">
        <v>37.950000000000003</v>
      </c>
      <c r="FB384" t="s">
        <v>236</v>
      </c>
      <c r="FC384" s="7">
        <v>84.820338245240507</v>
      </c>
      <c r="FD384" s="357" t="s">
        <v>225</v>
      </c>
      <c r="FE384" s="8">
        <v>162.85458868290706</v>
      </c>
      <c r="FF384" t="s">
        <v>237</v>
      </c>
      <c r="FH384" s="9">
        <v>401.42091820432148</v>
      </c>
      <c r="FI384" s="9" t="s">
        <v>236</v>
      </c>
      <c r="FJ384">
        <v>404</v>
      </c>
      <c r="FK384" t="s">
        <v>238</v>
      </c>
      <c r="FL384">
        <v>117</v>
      </c>
      <c r="FM384">
        <v>562.72991101345394</v>
      </c>
      <c r="FN384" s="5" t="s">
        <v>237</v>
      </c>
      <c r="FP384" s="6">
        <v>11.7</v>
      </c>
      <c r="FQ384" t="s">
        <v>239</v>
      </c>
      <c r="FS384" t="s">
        <v>240</v>
      </c>
      <c r="FT384" t="e">
        <f>FQ384=#REF!</f>
        <v>#REF!</v>
      </c>
      <c r="FU384" s="8">
        <v>1</v>
      </c>
      <c r="FV384" s="8">
        <v>10</v>
      </c>
      <c r="FW384" s="8">
        <v>10</v>
      </c>
      <c r="FX384" s="8">
        <v>10</v>
      </c>
      <c r="FY384" s="8">
        <v>3</v>
      </c>
      <c r="FZ384">
        <f t="shared" si="6"/>
        <v>3000</v>
      </c>
      <c r="GA384" s="7" t="s">
        <v>241</v>
      </c>
      <c r="GB384" s="7" t="s">
        <v>241</v>
      </c>
      <c r="GC384" s="6">
        <v>30</v>
      </c>
      <c r="GD384" s="348" t="s">
        <v>242</v>
      </c>
      <c r="GF384" s="6">
        <v>3.9E-2</v>
      </c>
      <c r="GH384" s="7"/>
      <c r="GI384" s="441">
        <v>0.26</v>
      </c>
      <c r="GJ384" s="441">
        <v>0.48799999999999999</v>
      </c>
      <c r="GK384" s="441">
        <v>0.78</v>
      </c>
      <c r="GL384" s="441">
        <v>1.95</v>
      </c>
      <c r="GM384" s="452" t="s">
        <v>262</v>
      </c>
      <c r="GN384" s="6">
        <v>0.2</v>
      </c>
      <c r="GO384" s="6">
        <v>0.375</v>
      </c>
      <c r="GP384" s="6">
        <v>0.6</v>
      </c>
      <c r="GQ384" s="6">
        <v>1.5</v>
      </c>
      <c r="GR384" s="6" t="s">
        <v>230</v>
      </c>
      <c r="GU384" t="s">
        <v>365</v>
      </c>
      <c r="GV384" t="s">
        <v>236</v>
      </c>
      <c r="GW384" t="s">
        <v>244</v>
      </c>
      <c r="GX384" t="s">
        <v>236</v>
      </c>
      <c r="GY384" t="s">
        <v>245</v>
      </c>
      <c r="HE384" t="s">
        <v>901</v>
      </c>
      <c r="HF384" t="s">
        <v>223</v>
      </c>
      <c r="HG384" t="s">
        <v>231</v>
      </c>
      <c r="HH384" t="s">
        <v>236</v>
      </c>
      <c r="HI384" t="s">
        <v>247</v>
      </c>
      <c r="HJ384" t="s">
        <v>223</v>
      </c>
      <c r="HK384" t="s">
        <v>2180</v>
      </c>
      <c r="HO384" t="s">
        <v>231</v>
      </c>
      <c r="HP384" t="s">
        <v>223</v>
      </c>
      <c r="HQ384" t="s">
        <v>231</v>
      </c>
      <c r="HR384" t="s">
        <v>223</v>
      </c>
      <c r="HU384" t="s">
        <v>231</v>
      </c>
      <c r="HV384" t="s">
        <v>223</v>
      </c>
      <c r="HW384" t="s">
        <v>246</v>
      </c>
      <c r="HX384" t="s">
        <v>236</v>
      </c>
      <c r="IA384" t="s">
        <v>231</v>
      </c>
      <c r="IB384" t="s">
        <v>250</v>
      </c>
      <c r="IC384">
        <v>0.26</v>
      </c>
      <c r="ID384">
        <v>0.48799999999999999</v>
      </c>
      <c r="IE384">
        <v>0.78</v>
      </c>
      <c r="IF384">
        <v>1.95</v>
      </c>
      <c r="IH384" t="s">
        <v>267</v>
      </c>
    </row>
    <row r="385" spans="1:242" ht="72.5" x14ac:dyDescent="0.35">
      <c r="A385" s="310" t="s">
        <v>2181</v>
      </c>
      <c r="B385" t="s">
        <v>2182</v>
      </c>
      <c r="C385" s="310" t="s">
        <v>2183</v>
      </c>
      <c r="D385" s="316"/>
      <c r="F385" t="s">
        <v>2184</v>
      </c>
      <c r="I385" s="310" t="s">
        <v>2185</v>
      </c>
      <c r="M385" s="313"/>
      <c r="O385" t="s">
        <v>221</v>
      </c>
      <c r="P385" s="381"/>
      <c r="Q385" t="s">
        <v>221</v>
      </c>
      <c r="T385" s="8"/>
      <c r="U385" t="s">
        <v>221</v>
      </c>
      <c r="V385" s="313"/>
      <c r="W385" t="s">
        <v>301</v>
      </c>
      <c r="X385" t="s">
        <v>220</v>
      </c>
      <c r="Z385" t="s">
        <v>220</v>
      </c>
      <c r="AB385"/>
      <c r="AD385" s="8" t="s">
        <v>222</v>
      </c>
      <c r="AF385" s="8" t="s">
        <v>222</v>
      </c>
      <c r="AG385"/>
      <c r="AH385"/>
      <c r="AI385"/>
      <c r="AJ385" t="s">
        <v>221</v>
      </c>
      <c r="AK385">
        <v>0</v>
      </c>
      <c r="AL385">
        <v>1</v>
      </c>
      <c r="AM385" t="s">
        <v>221</v>
      </c>
      <c r="AN385" t="s">
        <v>249</v>
      </c>
      <c r="AO385" t="s">
        <v>221</v>
      </c>
      <c r="AP385"/>
      <c r="AQ385" t="s">
        <v>221</v>
      </c>
      <c r="AR385" t="s">
        <v>223</v>
      </c>
      <c r="AS385" t="s">
        <v>221</v>
      </c>
      <c r="AT385"/>
      <c r="AU385" t="s">
        <v>220</v>
      </c>
      <c r="AV385"/>
      <c r="AW385" s="313" t="s">
        <v>1184</v>
      </c>
      <c r="AX385" t="s">
        <v>226</v>
      </c>
      <c r="AY385" s="313" t="s">
        <v>220</v>
      </c>
      <c r="AZ385" s="313">
        <v>4.3400000000000001E-2</v>
      </c>
      <c r="BB385" s="313" t="s">
        <v>220</v>
      </c>
      <c r="BC385">
        <v>2.64E-2</v>
      </c>
      <c r="BD385" t="s">
        <v>220</v>
      </c>
      <c r="BE385">
        <v>1.9E-2</v>
      </c>
      <c r="BF385" s="2" t="s">
        <v>220</v>
      </c>
      <c r="BH385" s="2" t="s">
        <v>228</v>
      </c>
      <c r="BI385" s="2" t="s">
        <v>1445</v>
      </c>
      <c r="BM385"/>
      <c r="BP385" s="8"/>
      <c r="BQ385" t="s">
        <v>230</v>
      </c>
      <c r="BR385" t="s">
        <v>230</v>
      </c>
      <c r="BU385" t="s">
        <v>231</v>
      </c>
      <c r="BV385" t="s">
        <v>223</v>
      </c>
      <c r="BW385" t="s">
        <v>232</v>
      </c>
      <c r="BX385" t="s">
        <v>284</v>
      </c>
      <c r="BY385" t="s">
        <v>220</v>
      </c>
      <c r="BZ385">
        <v>0.2</v>
      </c>
      <c r="CA385" t="s">
        <v>234</v>
      </c>
      <c r="CF385" t="s">
        <v>220</v>
      </c>
      <c r="CG385">
        <v>0.106</v>
      </c>
      <c r="CH385" t="s">
        <v>220</v>
      </c>
      <c r="CI385">
        <v>4.9299999999999997E-2</v>
      </c>
      <c r="CK385"/>
      <c r="CL385"/>
      <c r="CM385"/>
      <c r="CS385" s="8"/>
      <c r="CW385" t="s">
        <v>257</v>
      </c>
      <c r="CX385" t="s">
        <v>220</v>
      </c>
      <c r="CY385" t="s">
        <v>231</v>
      </c>
      <c r="CZ385" t="s">
        <v>220</v>
      </c>
      <c r="DA385" t="s">
        <v>220</v>
      </c>
      <c r="DB385" t="s">
        <v>220</v>
      </c>
      <c r="DC385"/>
      <c r="DD385"/>
      <c r="DE385"/>
      <c r="DF385"/>
      <c r="DG385"/>
      <c r="DH385" s="323"/>
      <c r="DI385" s="323"/>
      <c r="DJ385" s="323"/>
      <c r="DL385" t="s">
        <v>257</v>
      </c>
      <c r="DM385" t="s">
        <v>220</v>
      </c>
      <c r="DN385" t="s">
        <v>257</v>
      </c>
      <c r="DO385" t="s">
        <v>220</v>
      </c>
      <c r="DP385" t="s">
        <v>257</v>
      </c>
      <c r="DS385" s="309">
        <v>170.25800000000001</v>
      </c>
      <c r="DU385" s="309">
        <v>563.16999999999996</v>
      </c>
      <c r="DW385">
        <v>122</v>
      </c>
      <c r="DX385" t="s">
        <v>238</v>
      </c>
      <c r="DY385">
        <v>544</v>
      </c>
      <c r="DZ385" t="s">
        <v>238</v>
      </c>
      <c r="EA385"/>
      <c r="EB385"/>
      <c r="ED385" s="410"/>
      <c r="EE385" s="1"/>
      <c r="EG385" s="410"/>
      <c r="EI385" s="410"/>
      <c r="EK385" s="1"/>
      <c r="EM385"/>
      <c r="EQ385" s="344"/>
      <c r="EU385" s="344"/>
      <c r="EW385" s="409"/>
      <c r="EY385" s="1"/>
      <c r="FA385">
        <v>140.01</v>
      </c>
      <c r="FB385" t="s">
        <v>225</v>
      </c>
      <c r="FC385" s="7">
        <v>141.6772113518366</v>
      </c>
      <c r="FD385" s="357" t="s">
        <v>225</v>
      </c>
      <c r="FE385" s="8">
        <v>50.211130546995399</v>
      </c>
      <c r="FF385" t="s">
        <v>237</v>
      </c>
      <c r="FH385" s="9">
        <v>186.63796908346706</v>
      </c>
      <c r="FI385" s="9" t="s">
        <v>225</v>
      </c>
      <c r="FJ385">
        <v>149</v>
      </c>
      <c r="FK385" t="s">
        <v>238</v>
      </c>
      <c r="FL385">
        <v>217</v>
      </c>
      <c r="FM385">
        <v>175.83284374347414</v>
      </c>
      <c r="FN385" s="5" t="s">
        <v>237</v>
      </c>
      <c r="FP385" s="6">
        <v>8.7916421871737072</v>
      </c>
      <c r="FQ385" t="s">
        <v>277</v>
      </c>
      <c r="FS385" t="s">
        <v>240</v>
      </c>
      <c r="FT385" t="e">
        <f>FQ385=#REF!</f>
        <v>#REF!</v>
      </c>
      <c r="FU385" s="8">
        <v>2</v>
      </c>
      <c r="FV385" s="8">
        <v>10</v>
      </c>
      <c r="FW385" s="8">
        <v>10</v>
      </c>
      <c r="FX385" s="8">
        <v>10</v>
      </c>
      <c r="FY385" s="8">
        <v>3</v>
      </c>
      <c r="FZ385">
        <f t="shared" si="6"/>
        <v>6000</v>
      </c>
      <c r="GA385" s="7" t="s">
        <v>241</v>
      </c>
      <c r="GB385" s="7" t="s">
        <v>241</v>
      </c>
      <c r="GC385" s="6">
        <v>30</v>
      </c>
      <c r="GD385" s="348" t="s">
        <v>242</v>
      </c>
      <c r="GF385" s="6">
        <v>3.110632818057784E-2</v>
      </c>
      <c r="GH385" s="7"/>
      <c r="GI385" s="441"/>
      <c r="GJ385" s="441"/>
      <c r="GK385" s="441"/>
      <c r="GL385" s="441"/>
      <c r="GM385" s="460" t="s">
        <v>305</v>
      </c>
      <c r="GN385" s="441"/>
      <c r="GO385" s="441"/>
      <c r="GP385" s="441"/>
      <c r="GQ385" s="441"/>
      <c r="GR385" s="460" t="s">
        <v>305</v>
      </c>
      <c r="GS385" s="441"/>
      <c r="GT385" s="441"/>
      <c r="GU385" s="441"/>
      <c r="GV385" s="441"/>
      <c r="GW385" s="441"/>
      <c r="GX385" s="441"/>
      <c r="GY385" s="441"/>
      <c r="GZ385" s="441"/>
      <c r="HA385" s="441"/>
      <c r="HB385" s="441"/>
      <c r="HC385" s="441"/>
      <c r="HD385" s="441"/>
      <c r="HE385" s="441"/>
      <c r="HF385" s="441"/>
      <c r="HG385" s="441"/>
      <c r="HH385" s="441"/>
      <c r="HI385" s="441"/>
      <c r="HJ385" s="441"/>
      <c r="HK385" s="441"/>
      <c r="HL385" s="441"/>
      <c r="HM385" s="441"/>
      <c r="HN385" s="441"/>
      <c r="HO385" s="441"/>
      <c r="HP385" s="441"/>
      <c r="HQ385" s="441"/>
      <c r="HR385" s="441"/>
      <c r="HS385" s="441"/>
      <c r="HT385" s="441"/>
      <c r="HU385" s="441"/>
      <c r="HV385" s="441"/>
      <c r="HW385" s="441"/>
      <c r="HX385" s="441"/>
      <c r="HY385" s="441"/>
      <c r="HZ385" s="441"/>
      <c r="IA385" s="441"/>
      <c r="IB385" s="441"/>
      <c r="IC385" s="441"/>
      <c r="ID385" s="441"/>
      <c r="IE385" s="441"/>
      <c r="IF385" s="441"/>
      <c r="IG385" s="459" t="s">
        <v>451</v>
      </c>
      <c r="IH385" t="s">
        <v>235</v>
      </c>
    </row>
    <row r="386" spans="1:242" x14ac:dyDescent="0.35">
      <c r="A386" s="310" t="s">
        <v>2186</v>
      </c>
      <c r="B386" t="s">
        <v>2187</v>
      </c>
      <c r="C386" s="310" t="s">
        <v>2188</v>
      </c>
      <c r="D386" s="316"/>
      <c r="F386" t="s">
        <v>2189</v>
      </c>
      <c r="I386" s="310" t="s">
        <v>2190</v>
      </c>
      <c r="M386" s="313" t="s">
        <v>220</v>
      </c>
      <c r="O386" t="s">
        <v>221</v>
      </c>
      <c r="P386" s="381"/>
      <c r="Q386" t="s">
        <v>221</v>
      </c>
      <c r="T386" s="8"/>
      <c r="U386" t="s">
        <v>221</v>
      </c>
      <c r="V386" s="313"/>
      <c r="W386" t="s">
        <v>220</v>
      </c>
      <c r="X386" t="s">
        <v>220</v>
      </c>
      <c r="Z386" t="s">
        <v>220</v>
      </c>
      <c r="AB386"/>
      <c r="AD386" s="8" t="s">
        <v>230</v>
      </c>
      <c r="AF386" s="8" t="s">
        <v>222</v>
      </c>
      <c r="AG386"/>
      <c r="AH386"/>
      <c r="AI386"/>
      <c r="AJ386" t="s">
        <v>221</v>
      </c>
      <c r="AK386">
        <v>0</v>
      </c>
      <c r="AL386">
        <v>1</v>
      </c>
      <c r="AM386" t="s">
        <v>221</v>
      </c>
      <c r="AN386" t="s">
        <v>249</v>
      </c>
      <c r="AO386" t="s">
        <v>224</v>
      </c>
      <c r="AP386"/>
      <c r="AQ386" t="s">
        <v>414</v>
      </c>
      <c r="AR386" t="s">
        <v>236</v>
      </c>
      <c r="AS386" t="s">
        <v>221</v>
      </c>
      <c r="AT386"/>
      <c r="AU386" t="s">
        <v>220</v>
      </c>
      <c r="AV386"/>
      <c r="AW386" s="313" t="s">
        <v>220</v>
      </c>
      <c r="AX386" t="s">
        <v>768</v>
      </c>
      <c r="AY386" s="313" t="s">
        <v>220</v>
      </c>
      <c r="AZ386" s="313">
        <v>0.54700000000000004</v>
      </c>
      <c r="BB386" s="313" t="s">
        <v>220</v>
      </c>
      <c r="BC386">
        <v>0.624</v>
      </c>
      <c r="BD386" t="s">
        <v>220</v>
      </c>
      <c r="BE386">
        <v>0.38</v>
      </c>
      <c r="BF386" s="2" t="s">
        <v>220</v>
      </c>
      <c r="BH386" s="2" t="s">
        <v>228</v>
      </c>
      <c r="BI386" s="2" t="s">
        <v>292</v>
      </c>
      <c r="BM386"/>
      <c r="BO386" t="s">
        <v>220</v>
      </c>
      <c r="BP386" s="8"/>
      <c r="BQ386" t="s">
        <v>709</v>
      </c>
      <c r="BR386" t="s">
        <v>230</v>
      </c>
      <c r="BS386" t="s">
        <v>320</v>
      </c>
      <c r="BU386" t="s">
        <v>317</v>
      </c>
      <c r="BV386" t="s">
        <v>225</v>
      </c>
      <c r="BW386" t="s">
        <v>321</v>
      </c>
      <c r="BX386" t="s">
        <v>700</v>
      </c>
      <c r="BY386" t="s">
        <v>220</v>
      </c>
      <c r="BZ386">
        <v>0.26100000000000001</v>
      </c>
      <c r="CA386" t="s">
        <v>372</v>
      </c>
      <c r="CC386" t="s">
        <v>220</v>
      </c>
      <c r="CD386" t="s">
        <v>220</v>
      </c>
      <c r="CF386" t="s">
        <v>220</v>
      </c>
      <c r="CG386">
        <v>0.187</v>
      </c>
      <c r="CH386" t="s">
        <v>220</v>
      </c>
      <c r="CI386">
        <v>0.35099999999999998</v>
      </c>
      <c r="CK386"/>
      <c r="CL386"/>
      <c r="CM386"/>
      <c r="CS386" s="8"/>
      <c r="CW386" t="s">
        <v>220</v>
      </c>
      <c r="CX386" t="s">
        <v>220</v>
      </c>
      <c r="CY386" t="s">
        <v>231</v>
      </c>
      <c r="CZ386" t="s">
        <v>220</v>
      </c>
      <c r="DA386" t="s">
        <v>220</v>
      </c>
      <c r="DB386" t="s">
        <v>220</v>
      </c>
      <c r="DC386"/>
      <c r="DD386"/>
      <c r="DE386"/>
      <c r="DF386"/>
      <c r="DG386"/>
      <c r="DH386" s="323"/>
      <c r="DI386" s="323"/>
      <c r="DJ386" s="323"/>
      <c r="DL386" t="s">
        <v>257</v>
      </c>
      <c r="DM386" t="s">
        <v>220</v>
      </c>
      <c r="DN386" t="s">
        <v>257</v>
      </c>
      <c r="DO386" t="s">
        <v>220</v>
      </c>
      <c r="DP386" t="s">
        <v>257</v>
      </c>
      <c r="DS386" s="309">
        <v>55.99</v>
      </c>
      <c r="DU386" s="309">
        <v>394.90899999999999</v>
      </c>
      <c r="DW386">
        <v>284</v>
      </c>
      <c r="DX386" t="s">
        <v>238</v>
      </c>
      <c r="DY386">
        <v>858</v>
      </c>
      <c r="DZ386" t="s">
        <v>238</v>
      </c>
      <c r="EA386"/>
      <c r="EB386"/>
      <c r="ED386" s="410"/>
      <c r="EE386" s="1"/>
      <c r="EG386" s="410"/>
      <c r="EI386" s="410"/>
      <c r="EK386" s="1"/>
      <c r="EM386"/>
      <c r="EQ386" s="344"/>
      <c r="EU386" s="344"/>
      <c r="EW386" s="409"/>
      <c r="EY386" s="1"/>
      <c r="FA386">
        <v>94.23</v>
      </c>
      <c r="FB386" t="s">
        <v>236</v>
      </c>
      <c r="FC386" s="7">
        <v>207.10949036603361</v>
      </c>
      <c r="FD386" s="357" t="s">
        <v>236</v>
      </c>
      <c r="FE386" s="8">
        <v>23.184620954131319</v>
      </c>
      <c r="FF386" t="s">
        <v>237</v>
      </c>
      <c r="FH386" s="9">
        <v>65.237904099820923</v>
      </c>
      <c r="FI386" s="9" t="s">
        <v>236</v>
      </c>
      <c r="FK386" t="s">
        <v>235</v>
      </c>
      <c r="FL386">
        <v>170</v>
      </c>
      <c r="FM386">
        <v>38.027694824361042</v>
      </c>
      <c r="FN386" s="5" t="s">
        <v>237</v>
      </c>
      <c r="FP386" s="6">
        <v>1.901384741218052</v>
      </c>
      <c r="FQ386" t="s">
        <v>277</v>
      </c>
      <c r="FS386" t="s">
        <v>240</v>
      </c>
      <c r="FT386" t="e">
        <f>FQ386=#REF!</f>
        <v>#REF!</v>
      </c>
      <c r="FU386" s="8">
        <v>2</v>
      </c>
      <c r="FV386" s="8">
        <v>10</v>
      </c>
      <c r="FW386" s="8">
        <v>10</v>
      </c>
      <c r="FX386" s="8">
        <v>10</v>
      </c>
      <c r="FY386" s="8">
        <v>3</v>
      </c>
      <c r="FZ386">
        <f t="shared" si="6"/>
        <v>6000</v>
      </c>
      <c r="GA386" s="7" t="s">
        <v>241</v>
      </c>
      <c r="GB386" s="7" t="s">
        <v>241</v>
      </c>
      <c r="GC386" s="6">
        <v>30</v>
      </c>
      <c r="GD386" s="348" t="s">
        <v>242</v>
      </c>
      <c r="GF386" s="6">
        <v>3.8641034923552198E-2</v>
      </c>
      <c r="GH386" s="7"/>
      <c r="GI386" s="445"/>
      <c r="GJ386" s="445"/>
      <c r="GK386" s="445"/>
      <c r="GL386" s="445"/>
      <c r="GM386" s="453"/>
      <c r="GN386" s="6">
        <v>0.2</v>
      </c>
      <c r="GO386" s="6">
        <v>0.375</v>
      </c>
      <c r="GP386" s="6">
        <v>0.6</v>
      </c>
      <c r="GQ386" s="6">
        <v>1.5</v>
      </c>
      <c r="GR386" s="6" t="s">
        <v>230</v>
      </c>
      <c r="GU386" t="s">
        <v>243</v>
      </c>
      <c r="GV386" t="s">
        <v>236</v>
      </c>
      <c r="GW386" t="s">
        <v>244</v>
      </c>
      <c r="GX386" t="s">
        <v>236</v>
      </c>
      <c r="GY386" t="s">
        <v>245</v>
      </c>
      <c r="HE386" t="s">
        <v>384</v>
      </c>
      <c r="HF386" t="s">
        <v>223</v>
      </c>
      <c r="HG386" t="s">
        <v>231</v>
      </c>
      <c r="HH386" t="s">
        <v>225</v>
      </c>
      <c r="HI386" t="s">
        <v>247</v>
      </c>
      <c r="HJ386" t="s">
        <v>223</v>
      </c>
      <c r="HK386" t="s">
        <v>266</v>
      </c>
      <c r="HO386" t="s">
        <v>231</v>
      </c>
      <c r="HP386" t="s">
        <v>223</v>
      </c>
      <c r="HQ386" t="s">
        <v>231</v>
      </c>
      <c r="HR386" t="s">
        <v>223</v>
      </c>
      <c r="HS386" t="s">
        <v>231</v>
      </c>
      <c r="HU386" t="s">
        <v>231</v>
      </c>
      <c r="HV386" t="s">
        <v>249</v>
      </c>
      <c r="HW386" t="s">
        <v>246</v>
      </c>
      <c r="HX386" t="s">
        <v>236</v>
      </c>
      <c r="IA386" t="s">
        <v>231</v>
      </c>
      <c r="IB386" t="s">
        <v>250</v>
      </c>
      <c r="IC386" s="447"/>
      <c r="ID386" s="447"/>
      <c r="IE386" s="447"/>
      <c r="IF386" s="447"/>
      <c r="IH386" t="s">
        <v>235</v>
      </c>
    </row>
    <row r="387" spans="1:242" x14ac:dyDescent="0.35">
      <c r="A387" s="310" t="s">
        <v>2191</v>
      </c>
      <c r="B387" t="s">
        <v>2192</v>
      </c>
      <c r="C387" s="310" t="s">
        <v>2193</v>
      </c>
      <c r="D387" s="316"/>
      <c r="F387" t="s">
        <v>2194</v>
      </c>
      <c r="I387" s="310" t="s">
        <v>2195</v>
      </c>
      <c r="M387" s="313"/>
      <c r="O387"/>
      <c r="P387" s="381"/>
      <c r="Q387"/>
      <c r="T387" s="8"/>
      <c r="U387"/>
      <c r="V387" s="313"/>
      <c r="W387" t="s">
        <v>301</v>
      </c>
      <c r="X387"/>
      <c r="Z387"/>
      <c r="AB387"/>
      <c r="AD387" s="8" t="s">
        <v>230</v>
      </c>
      <c r="AF387" s="8" t="s">
        <v>230</v>
      </c>
      <c r="AG387"/>
      <c r="AH387"/>
      <c r="AI387"/>
      <c r="AJ387" t="s">
        <v>221</v>
      </c>
      <c r="AK387">
        <v>0</v>
      </c>
      <c r="AL387">
        <v>0.82499999999999996</v>
      </c>
      <c r="AM387" t="s">
        <v>221</v>
      </c>
      <c r="AN387" t="s">
        <v>223</v>
      </c>
      <c r="AO387" t="s">
        <v>224</v>
      </c>
      <c r="AP387" t="s">
        <v>223</v>
      </c>
      <c r="AQ387" t="s">
        <v>221</v>
      </c>
      <c r="AR387" t="s">
        <v>225</v>
      </c>
      <c r="AS387" t="s">
        <v>221</v>
      </c>
      <c r="AT387" t="s">
        <v>223</v>
      </c>
      <c r="AU387" t="s">
        <v>220</v>
      </c>
      <c r="AV387"/>
      <c r="AW387" s="313" t="s">
        <v>220</v>
      </c>
      <c r="AX387" t="s">
        <v>226</v>
      </c>
      <c r="AY387" s="313" t="s">
        <v>220</v>
      </c>
      <c r="AZ387" s="313">
        <v>0.17899999999999999</v>
      </c>
      <c r="BB387" s="313" t="s">
        <v>220</v>
      </c>
      <c r="BC387">
        <v>7.17E-2</v>
      </c>
      <c r="BD387" t="s">
        <v>220</v>
      </c>
      <c r="BE387">
        <v>8.6599999999999996E-2</v>
      </c>
      <c r="BF387" s="2" t="s">
        <v>220</v>
      </c>
      <c r="BG387" s="2" t="s">
        <v>273</v>
      </c>
      <c r="BH387" s="2" t="s">
        <v>274</v>
      </c>
      <c r="BI387" s="2" t="s">
        <v>275</v>
      </c>
      <c r="BM387"/>
      <c r="BP387" s="8"/>
      <c r="BQ387" t="s">
        <v>230</v>
      </c>
      <c r="BR387" t="s">
        <v>230</v>
      </c>
      <c r="BS387" t="s">
        <v>255</v>
      </c>
      <c r="BU387" t="s">
        <v>317</v>
      </c>
      <c r="BV387" t="s">
        <v>225</v>
      </c>
      <c r="BW387" t="s">
        <v>232</v>
      </c>
      <c r="BX387" t="s">
        <v>256</v>
      </c>
      <c r="BY387" t="s">
        <v>220</v>
      </c>
      <c r="BZ387">
        <v>0.30599999999999999</v>
      </c>
      <c r="CA387" t="s">
        <v>234</v>
      </c>
      <c r="CF387" t="s">
        <v>220</v>
      </c>
      <c r="CG387">
        <v>0.19500000000000001</v>
      </c>
      <c r="CH387" t="s">
        <v>220</v>
      </c>
      <c r="CI387">
        <v>0.192</v>
      </c>
      <c r="CK387"/>
      <c r="CL387"/>
      <c r="CM387"/>
      <c r="CS387" s="8"/>
      <c r="CW387" t="s">
        <v>227</v>
      </c>
      <c r="CX387" t="s">
        <v>220</v>
      </c>
      <c r="CY387" t="s">
        <v>231</v>
      </c>
      <c r="CZ387" t="s">
        <v>220</v>
      </c>
      <c r="DA387" t="s">
        <v>220</v>
      </c>
      <c r="DB387" t="s">
        <v>220</v>
      </c>
      <c r="DC387"/>
      <c r="DD387"/>
      <c r="DE387"/>
      <c r="DF387"/>
      <c r="DG387"/>
      <c r="DH387" s="323"/>
      <c r="DI387" s="323"/>
      <c r="DJ387" s="323"/>
      <c r="DL387" t="s">
        <v>257</v>
      </c>
      <c r="DM387" t="s">
        <v>220</v>
      </c>
      <c r="DN387" t="s">
        <v>257</v>
      </c>
      <c r="DO387" t="s">
        <v>220</v>
      </c>
      <c r="DP387" t="s">
        <v>220</v>
      </c>
      <c r="DS387" s="309">
        <v>195.11600000000001</v>
      </c>
      <c r="DU387" s="309">
        <v>392.59800000000001</v>
      </c>
      <c r="DW387"/>
      <c r="DX387" t="s">
        <v>235</v>
      </c>
      <c r="DY387"/>
      <c r="DZ387" t="s">
        <v>235</v>
      </c>
      <c r="EA387"/>
      <c r="EB387"/>
      <c r="ED387" s="410"/>
      <c r="EE387" s="1"/>
      <c r="EG387" s="410"/>
      <c r="EI387" s="410"/>
      <c r="EK387" s="1"/>
      <c r="EM387"/>
      <c r="EQ387" s="344"/>
      <c r="EU387" s="344"/>
      <c r="EW387" s="409"/>
      <c r="EY387" s="1"/>
      <c r="FA387">
        <v>92.15</v>
      </c>
      <c r="FB387" t="s">
        <v>236</v>
      </c>
      <c r="FC387" s="7">
        <v>239.38669011741931</v>
      </c>
      <c r="FD387" s="357" t="s">
        <v>236</v>
      </c>
      <c r="FE387" s="8">
        <v>3.7136417019195589</v>
      </c>
      <c r="FF387" t="s">
        <v>237</v>
      </c>
      <c r="FH387" s="9">
        <v>118.63149406116189</v>
      </c>
      <c r="FI387" s="9" t="s">
        <v>225</v>
      </c>
      <c r="FK387" t="s">
        <v>235</v>
      </c>
      <c r="FL387">
        <v>348</v>
      </c>
      <c r="FM387">
        <v>3.6551061999238827</v>
      </c>
      <c r="FN387" s="5" t="s">
        <v>237</v>
      </c>
      <c r="FP387" s="6">
        <v>34.799999999999997</v>
      </c>
      <c r="FQ387" t="s">
        <v>239</v>
      </c>
      <c r="FS387" t="s">
        <v>240</v>
      </c>
      <c r="FT387" t="e">
        <f>FQ387=#REF!</f>
        <v>#REF!</v>
      </c>
      <c r="FU387" s="8">
        <v>1</v>
      </c>
      <c r="FV387" s="8">
        <v>10</v>
      </c>
      <c r="FW387" s="8">
        <v>10</v>
      </c>
      <c r="FX387" s="8">
        <v>10</v>
      </c>
      <c r="FY387" s="8">
        <v>3</v>
      </c>
      <c r="FZ387">
        <f t="shared" si="6"/>
        <v>3000</v>
      </c>
      <c r="GA387" s="7" t="s">
        <v>241</v>
      </c>
      <c r="GB387" s="7" t="s">
        <v>241</v>
      </c>
      <c r="GC387" s="6">
        <v>30</v>
      </c>
      <c r="GD387" s="348" t="s">
        <v>242</v>
      </c>
      <c r="GF387" s="6">
        <v>0.11599999999999999</v>
      </c>
      <c r="GH387" s="7"/>
      <c r="GI387" s="441">
        <v>0.77300000000000002</v>
      </c>
      <c r="GJ387" s="441">
        <v>1.45</v>
      </c>
      <c r="GK387" s="441">
        <v>2.3199999999999998</v>
      </c>
      <c r="GL387" s="441">
        <v>5.8</v>
      </c>
      <c r="GM387" s="452" t="s">
        <v>262</v>
      </c>
      <c r="GN387" s="6">
        <v>0.2</v>
      </c>
      <c r="GO387" s="6">
        <v>0.375</v>
      </c>
      <c r="GP387" s="6">
        <v>0.6</v>
      </c>
      <c r="GQ387" s="6">
        <v>1.5</v>
      </c>
      <c r="GR387" s="6" t="s">
        <v>230</v>
      </c>
      <c r="GU387" t="s">
        <v>243</v>
      </c>
      <c r="GV387" t="s">
        <v>236</v>
      </c>
      <c r="GW387" t="s">
        <v>244</v>
      </c>
      <c r="GX387" t="s">
        <v>236</v>
      </c>
      <c r="GY387" t="s">
        <v>245</v>
      </c>
      <c r="HB387" t="s">
        <v>376</v>
      </c>
      <c r="HE387" t="s">
        <v>247</v>
      </c>
      <c r="HF387" t="s">
        <v>223</v>
      </c>
      <c r="HG387" t="s">
        <v>317</v>
      </c>
      <c r="HH387" t="s">
        <v>236</v>
      </c>
      <c r="HI387" t="s">
        <v>247</v>
      </c>
      <c r="HJ387" t="s">
        <v>249</v>
      </c>
      <c r="HK387" t="s">
        <v>266</v>
      </c>
      <c r="HO387" t="s">
        <v>231</v>
      </c>
      <c r="HP387" t="s">
        <v>223</v>
      </c>
      <c r="HQ387" t="s">
        <v>231</v>
      </c>
      <c r="HR387" t="s">
        <v>223</v>
      </c>
      <c r="HU387" t="s">
        <v>231</v>
      </c>
      <c r="HV387" t="s">
        <v>223</v>
      </c>
      <c r="HW387" t="s">
        <v>246</v>
      </c>
      <c r="HX387" t="s">
        <v>236</v>
      </c>
      <c r="IA387" t="s">
        <v>231</v>
      </c>
      <c r="IB387" t="s">
        <v>250</v>
      </c>
      <c r="IC387">
        <v>0.77300000000000002</v>
      </c>
      <c r="ID387">
        <v>1.45</v>
      </c>
      <c r="IE387">
        <v>2.3199999999999998</v>
      </c>
      <c r="IF387">
        <v>5.8</v>
      </c>
      <c r="IH387" t="s">
        <v>267</v>
      </c>
    </row>
    <row r="388" spans="1:242" x14ac:dyDescent="0.35">
      <c r="A388" s="310" t="s">
        <v>2196</v>
      </c>
      <c r="B388" t="s">
        <v>2197</v>
      </c>
      <c r="C388" s="310" t="s">
        <v>2198</v>
      </c>
      <c r="D388" s="316"/>
      <c r="F388" t="s">
        <v>2199</v>
      </c>
      <c r="I388" s="310" t="s">
        <v>2200</v>
      </c>
      <c r="M388" s="313" t="s">
        <v>220</v>
      </c>
      <c r="O388"/>
      <c r="P388" s="381"/>
      <c r="Q388"/>
      <c r="T388" s="8"/>
      <c r="U388"/>
      <c r="V388" s="313"/>
      <c r="W388" t="s">
        <v>301</v>
      </c>
      <c r="X388"/>
      <c r="Z388"/>
      <c r="AB388"/>
      <c r="AD388" s="8" t="s">
        <v>230</v>
      </c>
      <c r="AF388" s="8" t="s">
        <v>230</v>
      </c>
      <c r="AG388"/>
      <c r="AH388"/>
      <c r="AI388"/>
      <c r="AJ388" t="s">
        <v>221</v>
      </c>
      <c r="AK388">
        <v>0</v>
      </c>
      <c r="AL388">
        <v>0.72499999999999998</v>
      </c>
      <c r="AM388" t="s">
        <v>221</v>
      </c>
      <c r="AN388" t="s">
        <v>223</v>
      </c>
      <c r="AO388" t="s">
        <v>224</v>
      </c>
      <c r="AP388" t="s">
        <v>223</v>
      </c>
      <c r="AQ388" t="s">
        <v>221</v>
      </c>
      <c r="AR388" t="s">
        <v>236</v>
      </c>
      <c r="AS388" t="s">
        <v>221</v>
      </c>
      <c r="AT388" t="s">
        <v>223</v>
      </c>
      <c r="AU388" t="s">
        <v>220</v>
      </c>
      <c r="AV388"/>
      <c r="AW388" s="313" t="s">
        <v>220</v>
      </c>
      <c r="AX388" t="s">
        <v>226</v>
      </c>
      <c r="AY388" s="313" t="s">
        <v>220</v>
      </c>
      <c r="AZ388" s="313">
        <v>0.184</v>
      </c>
      <c r="BB388" s="313" t="s">
        <v>220</v>
      </c>
      <c r="BC388">
        <v>6.6400000000000001E-2</v>
      </c>
      <c r="BD388" t="s">
        <v>220</v>
      </c>
      <c r="BE388">
        <v>8.5599999999999996E-2</v>
      </c>
      <c r="BF388" s="2" t="s">
        <v>220</v>
      </c>
      <c r="BG388" s="2" t="s">
        <v>273</v>
      </c>
      <c r="BH388" s="2" t="s">
        <v>274</v>
      </c>
      <c r="BI388" s="2" t="s">
        <v>275</v>
      </c>
      <c r="BM388"/>
      <c r="BP388" s="8"/>
      <c r="BQ388" t="s">
        <v>230</v>
      </c>
      <c r="BR388" t="s">
        <v>230</v>
      </c>
      <c r="BU388" t="s">
        <v>317</v>
      </c>
      <c r="BV388" t="s">
        <v>236</v>
      </c>
      <c r="BW388" t="s">
        <v>232</v>
      </c>
      <c r="BX388" t="s">
        <v>284</v>
      </c>
      <c r="BY388" t="s">
        <v>220</v>
      </c>
      <c r="BZ388">
        <v>0.29899999999999999</v>
      </c>
      <c r="CA388" t="s">
        <v>234</v>
      </c>
      <c r="CF388" t="s">
        <v>220</v>
      </c>
      <c r="CG388">
        <v>0.224</v>
      </c>
      <c r="CH388" t="s">
        <v>220</v>
      </c>
      <c r="CI388">
        <v>0.252</v>
      </c>
      <c r="CK388"/>
      <c r="CL388"/>
      <c r="CM388"/>
      <c r="CS388" s="8"/>
      <c r="CW388" t="s">
        <v>227</v>
      </c>
      <c r="CX388" t="s">
        <v>220</v>
      </c>
      <c r="CY388" t="s">
        <v>231</v>
      </c>
      <c r="CZ388" t="s">
        <v>257</v>
      </c>
      <c r="DA388" t="s">
        <v>220</v>
      </c>
      <c r="DB388" t="s">
        <v>220</v>
      </c>
      <c r="DC388"/>
      <c r="DD388"/>
      <c r="DE388"/>
      <c r="DF388"/>
      <c r="DG388"/>
      <c r="DH388" s="323"/>
      <c r="DI388" s="323"/>
      <c r="DJ388" s="323"/>
      <c r="DL388" t="s">
        <v>257</v>
      </c>
      <c r="DM388" t="s">
        <v>220</v>
      </c>
      <c r="DN388" t="s">
        <v>227</v>
      </c>
      <c r="DO388" t="s">
        <v>220</v>
      </c>
      <c r="DP388" t="s">
        <v>257</v>
      </c>
      <c r="DS388" s="309">
        <v>64.09</v>
      </c>
      <c r="DU388" s="309">
        <v>571.46299999999997</v>
      </c>
      <c r="DW388"/>
      <c r="DX388" t="s">
        <v>235</v>
      </c>
      <c r="DY388"/>
      <c r="DZ388" t="s">
        <v>235</v>
      </c>
      <c r="EA388"/>
      <c r="EB388"/>
      <c r="ED388" s="410"/>
      <c r="EE388" s="1"/>
      <c r="EG388" s="410"/>
      <c r="EI388" s="410"/>
      <c r="EK388" s="1"/>
      <c r="EM388"/>
      <c r="EQ388" s="344"/>
      <c r="EU388" s="344"/>
      <c r="EW388" s="409"/>
      <c r="EY388" s="1"/>
      <c r="FA388">
        <v>83.06</v>
      </c>
      <c r="FB388" t="s">
        <v>225</v>
      </c>
      <c r="FC388" s="7">
        <v>228.50725853875196</v>
      </c>
      <c r="FD388" s="357" t="s">
        <v>236</v>
      </c>
      <c r="FE388" s="8">
        <v>7.1055876336947392</v>
      </c>
      <c r="FF388" t="s">
        <v>237</v>
      </c>
      <c r="FH388" s="9">
        <v>140.60475241299156</v>
      </c>
      <c r="FI388" s="9" t="s">
        <v>225</v>
      </c>
      <c r="FK388" t="s">
        <v>235</v>
      </c>
      <c r="FL388">
        <v>152</v>
      </c>
      <c r="FM388">
        <v>8.1320492465415342</v>
      </c>
      <c r="FN388" s="5" t="s">
        <v>237</v>
      </c>
      <c r="FP388" s="6">
        <v>0.4066024623270767</v>
      </c>
      <c r="FQ388" t="s">
        <v>277</v>
      </c>
      <c r="FS388" t="s">
        <v>240</v>
      </c>
      <c r="FT388" t="e">
        <f>FQ388=#REF!</f>
        <v>#REF!</v>
      </c>
      <c r="FU388" s="8">
        <v>2</v>
      </c>
      <c r="FV388" s="8">
        <v>10</v>
      </c>
      <c r="FW388" s="8">
        <v>10</v>
      </c>
      <c r="FX388" s="8">
        <v>10</v>
      </c>
      <c r="FY388" s="8">
        <v>3</v>
      </c>
      <c r="FZ388">
        <f t="shared" si="6"/>
        <v>6000</v>
      </c>
      <c r="GA388" s="7" t="s">
        <v>241</v>
      </c>
      <c r="GB388" s="7" t="s">
        <v>241</v>
      </c>
      <c r="GC388" s="6">
        <v>30</v>
      </c>
      <c r="GD388" s="348" t="s">
        <v>242</v>
      </c>
      <c r="GF388" s="6">
        <v>1.18426460561579E-2</v>
      </c>
      <c r="GH388" s="7"/>
      <c r="GI388" s="445"/>
      <c r="GJ388" s="445"/>
      <c r="GK388" s="445"/>
      <c r="GL388" s="445"/>
      <c r="GM388" s="453"/>
      <c r="GN388" s="6">
        <v>0.2</v>
      </c>
      <c r="GO388" s="6">
        <v>0.375</v>
      </c>
      <c r="GP388" s="6">
        <v>0.6</v>
      </c>
      <c r="GQ388" s="6">
        <v>1.5</v>
      </c>
      <c r="GR388" s="6" t="s">
        <v>230</v>
      </c>
      <c r="GU388" t="s">
        <v>243</v>
      </c>
      <c r="GV388" t="s">
        <v>236</v>
      </c>
      <c r="GW388" t="s">
        <v>244</v>
      </c>
      <c r="GX388" t="s">
        <v>236</v>
      </c>
      <c r="GY388" t="s">
        <v>245</v>
      </c>
      <c r="HE388" t="s">
        <v>247</v>
      </c>
      <c r="HF388" t="s">
        <v>223</v>
      </c>
      <c r="HG388" t="s">
        <v>231</v>
      </c>
      <c r="HH388" t="s">
        <v>225</v>
      </c>
      <c r="HI388" t="s">
        <v>247</v>
      </c>
      <c r="HJ388" t="s">
        <v>223</v>
      </c>
      <c r="HK388" t="s">
        <v>266</v>
      </c>
      <c r="HL388" t="s">
        <v>231</v>
      </c>
      <c r="HM388" t="s">
        <v>231</v>
      </c>
      <c r="HO388" t="s">
        <v>231</v>
      </c>
      <c r="HP388" t="s">
        <v>249</v>
      </c>
      <c r="HQ388" t="s">
        <v>231</v>
      </c>
      <c r="HR388" t="s">
        <v>249</v>
      </c>
      <c r="HS388" t="s">
        <v>231</v>
      </c>
      <c r="HU388" t="s">
        <v>231</v>
      </c>
      <c r="HV388" t="s">
        <v>249</v>
      </c>
      <c r="HW388" t="s">
        <v>246</v>
      </c>
      <c r="HX388" t="s">
        <v>236</v>
      </c>
      <c r="IA388" t="s">
        <v>231</v>
      </c>
      <c r="IB388" t="s">
        <v>250</v>
      </c>
      <c r="IC388" s="447"/>
      <c r="ID388" s="447"/>
      <c r="IE388" s="447"/>
      <c r="IF388" s="447"/>
      <c r="IH388" t="s">
        <v>235</v>
      </c>
    </row>
    <row r="389" spans="1:242" x14ac:dyDescent="0.35">
      <c r="A389" s="310" t="s">
        <v>2201</v>
      </c>
      <c r="B389" t="s">
        <v>2202</v>
      </c>
      <c r="C389" s="310" t="s">
        <v>2203</v>
      </c>
      <c r="D389" s="316"/>
      <c r="F389" t="s">
        <v>2204</v>
      </c>
      <c r="I389" s="310" t="s">
        <v>2205</v>
      </c>
      <c r="M389" s="313"/>
      <c r="O389"/>
      <c r="P389" s="381"/>
      <c r="Q389"/>
      <c r="T389" s="8"/>
      <c r="U389"/>
      <c r="V389" s="313"/>
      <c r="W389"/>
      <c r="X389"/>
      <c r="Z389"/>
      <c r="AB389"/>
      <c r="AD389" s="8" t="s">
        <v>230</v>
      </c>
      <c r="AF389" s="8" t="s">
        <v>230</v>
      </c>
      <c r="AG389"/>
      <c r="AH389"/>
      <c r="AI389"/>
      <c r="AJ389" t="s">
        <v>221</v>
      </c>
      <c r="AK389">
        <v>0</v>
      </c>
      <c r="AL389">
        <v>0.75</v>
      </c>
      <c r="AM389" t="s">
        <v>221</v>
      </c>
      <c r="AN389" t="s">
        <v>223</v>
      </c>
      <c r="AO389" t="s">
        <v>224</v>
      </c>
      <c r="AP389" t="s">
        <v>223</v>
      </c>
      <c r="AQ389" t="s">
        <v>221</v>
      </c>
      <c r="AR389" t="s">
        <v>225</v>
      </c>
      <c r="AS389" t="s">
        <v>221</v>
      </c>
      <c r="AT389" t="s">
        <v>225</v>
      </c>
      <c r="AU389" t="s">
        <v>220</v>
      </c>
      <c r="AV389"/>
      <c r="AW389" s="313" t="s">
        <v>220</v>
      </c>
      <c r="AX389" t="s">
        <v>226</v>
      </c>
      <c r="AY389" s="313" t="s">
        <v>220</v>
      </c>
      <c r="AZ389" s="313">
        <v>0.10299999999999999</v>
      </c>
      <c r="BB389" s="313" t="s">
        <v>220</v>
      </c>
      <c r="BC389">
        <v>7.9399999999999998E-2</v>
      </c>
      <c r="BD389" t="s">
        <v>220</v>
      </c>
      <c r="BE389">
        <v>0.105</v>
      </c>
      <c r="BF389" s="2" t="s">
        <v>220</v>
      </c>
      <c r="BG389" s="2" t="s">
        <v>273</v>
      </c>
      <c r="BH389" s="2" t="s">
        <v>274</v>
      </c>
      <c r="BI389" s="2" t="s">
        <v>275</v>
      </c>
      <c r="BM389"/>
      <c r="BP389" s="8"/>
      <c r="BQ389" t="s">
        <v>230</v>
      </c>
      <c r="BR389" t="s">
        <v>230</v>
      </c>
      <c r="BU389" t="s">
        <v>317</v>
      </c>
      <c r="BV389" t="s">
        <v>225</v>
      </c>
      <c r="BW389" t="s">
        <v>232</v>
      </c>
      <c r="BX389" t="s">
        <v>284</v>
      </c>
      <c r="BY389" t="s">
        <v>220</v>
      </c>
      <c r="BZ389">
        <v>0.23400000000000001</v>
      </c>
      <c r="CA389" t="s">
        <v>372</v>
      </c>
      <c r="CF389" t="s">
        <v>220</v>
      </c>
      <c r="CG389">
        <v>0.438</v>
      </c>
      <c r="CH389" t="s">
        <v>257</v>
      </c>
      <c r="CI389">
        <v>0.71599999999999997</v>
      </c>
      <c r="CK389"/>
      <c r="CL389"/>
      <c r="CM389"/>
      <c r="CS389" s="8"/>
      <c r="CW389" t="s">
        <v>220</v>
      </c>
      <c r="CX389" t="s">
        <v>220</v>
      </c>
      <c r="CY389" t="s">
        <v>231</v>
      </c>
      <c r="CZ389" t="s">
        <v>220</v>
      </c>
      <c r="DA389" t="s">
        <v>227</v>
      </c>
      <c r="DB389" t="s">
        <v>220</v>
      </c>
      <c r="DC389"/>
      <c r="DD389"/>
      <c r="DE389"/>
      <c r="DF389"/>
      <c r="DG389"/>
      <c r="DH389" s="323"/>
      <c r="DI389" s="323"/>
      <c r="DJ389" s="323"/>
      <c r="DL389" t="s">
        <v>257</v>
      </c>
      <c r="DM389" t="s">
        <v>220</v>
      </c>
      <c r="DN389" t="s">
        <v>257</v>
      </c>
      <c r="DO389" t="s">
        <v>227</v>
      </c>
      <c r="DP389" t="s">
        <v>227</v>
      </c>
      <c r="DS389" s="309">
        <v>158.495</v>
      </c>
      <c r="DU389" s="309">
        <v>603.96</v>
      </c>
      <c r="DW389"/>
      <c r="DX389" t="s">
        <v>235</v>
      </c>
      <c r="DY389"/>
      <c r="DZ389" t="s">
        <v>235</v>
      </c>
      <c r="EA389"/>
      <c r="EB389"/>
      <c r="ED389" s="410"/>
      <c r="EE389" s="1"/>
      <c r="EG389" s="410"/>
      <c r="EI389" s="410"/>
      <c r="EK389" s="1"/>
      <c r="EM389"/>
      <c r="EQ389" s="344"/>
      <c r="EU389" s="344"/>
      <c r="EW389" s="409"/>
      <c r="EY389" s="1"/>
      <c r="FA389">
        <v>187.51</v>
      </c>
      <c r="FB389" t="s">
        <v>236</v>
      </c>
      <c r="FC389" s="7">
        <v>119.12420080273753</v>
      </c>
      <c r="FD389" s="357" t="s">
        <v>225</v>
      </c>
      <c r="FE389" s="8">
        <v>57.889526856566029</v>
      </c>
      <c r="FF389" t="s">
        <v>237</v>
      </c>
      <c r="FH389" s="9">
        <v>310.0273441998192</v>
      </c>
      <c r="FI389" s="9" t="s">
        <v>225</v>
      </c>
      <c r="FK389" t="s">
        <v>235</v>
      </c>
      <c r="FL389">
        <v>136</v>
      </c>
      <c r="FM389">
        <v>195.20907340433067</v>
      </c>
      <c r="FN389" s="5" t="s">
        <v>237</v>
      </c>
      <c r="FP389" s="6">
        <v>9.760453670216533</v>
      </c>
      <c r="FQ389" t="s">
        <v>277</v>
      </c>
      <c r="FS389" t="s">
        <v>240</v>
      </c>
      <c r="FT389" t="e">
        <f>FQ389=#REF!</f>
        <v>#REF!</v>
      </c>
      <c r="FU389" s="8">
        <v>2</v>
      </c>
      <c r="FV389" s="8">
        <v>10</v>
      </c>
      <c r="FW389" s="8">
        <v>10</v>
      </c>
      <c r="FX389" s="8">
        <v>10</v>
      </c>
      <c r="FY389" s="8">
        <v>3</v>
      </c>
      <c r="FZ389">
        <f t="shared" si="6"/>
        <v>6000</v>
      </c>
      <c r="GA389" s="7" t="s">
        <v>241</v>
      </c>
      <c r="GB389" s="7" t="s">
        <v>241</v>
      </c>
      <c r="GC389" s="6">
        <v>30</v>
      </c>
      <c r="GD389" s="348" t="s">
        <v>242</v>
      </c>
      <c r="GF389" s="6">
        <v>4.533333333333333E-2</v>
      </c>
      <c r="GH389" s="7"/>
      <c r="GI389" s="441">
        <v>0.217</v>
      </c>
      <c r="GJ389" s="441">
        <v>0.40699999999999997</v>
      </c>
      <c r="GK389" s="441">
        <v>0.65100000000000002</v>
      </c>
      <c r="GL389" s="441">
        <v>1.627</v>
      </c>
      <c r="GM389" s="452" t="s">
        <v>262</v>
      </c>
      <c r="GN389" s="6">
        <v>0.2</v>
      </c>
      <c r="GO389" s="6">
        <v>0.375</v>
      </c>
      <c r="GP389" s="6">
        <v>0.6</v>
      </c>
      <c r="GQ389" s="6">
        <v>1.5</v>
      </c>
      <c r="GR389" s="6" t="s">
        <v>230</v>
      </c>
      <c r="GU389" t="s">
        <v>365</v>
      </c>
      <c r="GV389" t="s">
        <v>223</v>
      </c>
      <c r="GW389" t="s">
        <v>359</v>
      </c>
      <c r="GX389" t="s">
        <v>223</v>
      </c>
      <c r="GY389" t="s">
        <v>245</v>
      </c>
      <c r="HE389" t="s">
        <v>247</v>
      </c>
      <c r="HF389" t="s">
        <v>223</v>
      </c>
      <c r="HG389" t="s">
        <v>231</v>
      </c>
      <c r="HH389" t="s">
        <v>223</v>
      </c>
      <c r="HI389" t="s">
        <v>247</v>
      </c>
      <c r="HJ389" t="s">
        <v>223</v>
      </c>
      <c r="HK389" t="s">
        <v>266</v>
      </c>
      <c r="HO389" t="s">
        <v>231</v>
      </c>
      <c r="HP389" t="s">
        <v>223</v>
      </c>
      <c r="HQ389" t="s">
        <v>231</v>
      </c>
      <c r="HR389" t="s">
        <v>223</v>
      </c>
      <c r="HU389" t="s">
        <v>231</v>
      </c>
      <c r="HV389" t="s">
        <v>223</v>
      </c>
      <c r="HW389" t="s">
        <v>506</v>
      </c>
      <c r="HX389" t="s">
        <v>225</v>
      </c>
      <c r="IA389" t="s">
        <v>231</v>
      </c>
      <c r="IB389" t="s">
        <v>250</v>
      </c>
      <c r="IC389">
        <v>0.217</v>
      </c>
      <c r="ID389">
        <v>0.40699999999999997</v>
      </c>
      <c r="IE389">
        <v>0.65100000000000002</v>
      </c>
      <c r="IF389">
        <v>1.627</v>
      </c>
      <c r="IH389" t="s">
        <v>267</v>
      </c>
    </row>
    <row r="390" spans="1:242" x14ac:dyDescent="0.35">
      <c r="A390" s="310" t="s">
        <v>2206</v>
      </c>
      <c r="B390" t="s">
        <v>2207</v>
      </c>
      <c r="C390" s="310" t="s">
        <v>2208</v>
      </c>
      <c r="D390" s="316"/>
      <c r="F390" t="s">
        <v>2209</v>
      </c>
      <c r="I390" s="310" t="s">
        <v>2210</v>
      </c>
      <c r="M390" s="313"/>
      <c r="O390"/>
      <c r="P390" s="381"/>
      <c r="Q390"/>
      <c r="T390" s="8"/>
      <c r="U390"/>
      <c r="V390" s="313"/>
      <c r="W390"/>
      <c r="X390"/>
      <c r="Z390"/>
      <c r="AB390"/>
      <c r="AD390" s="8" t="s">
        <v>230</v>
      </c>
      <c r="AF390" s="8" t="s">
        <v>230</v>
      </c>
      <c r="AG390"/>
      <c r="AH390"/>
      <c r="AI390"/>
      <c r="AJ390" t="s">
        <v>221</v>
      </c>
      <c r="AK390">
        <v>0.05</v>
      </c>
      <c r="AL390">
        <v>0.67500000000000004</v>
      </c>
      <c r="AM390" s="442" t="s">
        <v>414</v>
      </c>
      <c r="AN390" t="s">
        <v>236</v>
      </c>
      <c r="AO390" t="s">
        <v>221</v>
      </c>
      <c r="AP390" t="s">
        <v>223</v>
      </c>
      <c r="AQ390" t="s">
        <v>221</v>
      </c>
      <c r="AR390" t="s">
        <v>223</v>
      </c>
      <c r="AS390" t="s">
        <v>221</v>
      </c>
      <c r="AT390" t="s">
        <v>223</v>
      </c>
      <c r="AU390" t="s">
        <v>220</v>
      </c>
      <c r="AV390"/>
      <c r="AW390" s="313" t="s">
        <v>220</v>
      </c>
      <c r="AX390" t="s">
        <v>226</v>
      </c>
      <c r="AY390" s="313" t="s">
        <v>220</v>
      </c>
      <c r="AZ390" s="313">
        <v>0.28699999999999998</v>
      </c>
      <c r="BA390" s="3" t="s">
        <v>415</v>
      </c>
      <c r="BB390" s="313" t="s">
        <v>220</v>
      </c>
      <c r="BC390">
        <v>0.13100000000000001</v>
      </c>
      <c r="BD390" t="s">
        <v>431</v>
      </c>
      <c r="BE390">
        <v>0.47299999999999998</v>
      </c>
      <c r="BF390" s="2" t="s">
        <v>220</v>
      </c>
      <c r="BG390" s="3" t="s">
        <v>416</v>
      </c>
      <c r="BH390" s="2" t="s">
        <v>274</v>
      </c>
      <c r="BI390" s="2" t="s">
        <v>275</v>
      </c>
      <c r="BM390"/>
      <c r="BP390" s="8"/>
      <c r="BQ390" t="s">
        <v>230</v>
      </c>
      <c r="BR390" t="s">
        <v>230</v>
      </c>
      <c r="BU390" t="s">
        <v>231</v>
      </c>
      <c r="BV390" t="s">
        <v>236</v>
      </c>
      <c r="BW390" t="s">
        <v>232</v>
      </c>
      <c r="BX390" t="s">
        <v>284</v>
      </c>
      <c r="BY390" t="s">
        <v>257</v>
      </c>
      <c r="BZ390">
        <v>0.70899999999999996</v>
      </c>
      <c r="CA390" t="s">
        <v>372</v>
      </c>
      <c r="CF390" t="s">
        <v>257</v>
      </c>
      <c r="CG390">
        <v>0.68400000000000005</v>
      </c>
      <c r="CH390" t="s">
        <v>227</v>
      </c>
      <c r="CI390">
        <v>0.64300000000000002</v>
      </c>
      <c r="CK390"/>
      <c r="CL390"/>
      <c r="CM390"/>
      <c r="CS390" s="8"/>
      <c r="CW390" t="s">
        <v>227</v>
      </c>
      <c r="CX390" t="s">
        <v>257</v>
      </c>
      <c r="CY390" t="s">
        <v>231</v>
      </c>
      <c r="CZ390" t="s">
        <v>220</v>
      </c>
      <c r="DA390" t="s">
        <v>220</v>
      </c>
      <c r="DB390" t="s">
        <v>220</v>
      </c>
      <c r="DC390"/>
      <c r="DD390"/>
      <c r="DE390"/>
      <c r="DF390"/>
      <c r="DG390"/>
      <c r="DH390" s="323"/>
      <c r="DI390" s="323"/>
      <c r="DJ390" s="323"/>
      <c r="DL390" t="s">
        <v>257</v>
      </c>
      <c r="DM390" t="s">
        <v>257</v>
      </c>
      <c r="DN390" t="s">
        <v>227</v>
      </c>
      <c r="DO390" t="s">
        <v>220</v>
      </c>
      <c r="DP390" t="s">
        <v>220</v>
      </c>
      <c r="DS390" s="309">
        <v>108.83799999999999</v>
      </c>
      <c r="DU390" s="309">
        <v>389.3</v>
      </c>
      <c r="DW390"/>
      <c r="DX390" t="s">
        <v>235</v>
      </c>
      <c r="DY390"/>
      <c r="DZ390" t="s">
        <v>235</v>
      </c>
      <c r="EA390"/>
      <c r="EB390"/>
      <c r="ED390" s="410"/>
      <c r="EE390" s="1"/>
      <c r="EG390" s="410"/>
      <c r="EI390" s="410"/>
      <c r="EK390" s="1"/>
      <c r="EM390"/>
      <c r="EQ390" s="344"/>
      <c r="EU390" s="344"/>
      <c r="EW390" s="409"/>
      <c r="EY390" s="1"/>
      <c r="FA390">
        <v>61.39</v>
      </c>
      <c r="FB390" t="s">
        <v>225</v>
      </c>
      <c r="FC390" s="7">
        <v>83.425727013001776</v>
      </c>
      <c r="FD390" s="357" t="s">
        <v>225</v>
      </c>
      <c r="FE390" s="8">
        <v>129.12192736135353</v>
      </c>
      <c r="FF390" t="s">
        <v>237</v>
      </c>
      <c r="FH390" s="9">
        <v>103.99201658290592</v>
      </c>
      <c r="FI390" s="9" t="s">
        <v>225</v>
      </c>
      <c r="FK390" t="s">
        <v>235</v>
      </c>
      <c r="FL390">
        <v>64.8</v>
      </c>
      <c r="FM390">
        <v>147.29906835417722</v>
      </c>
      <c r="FN390" s="5" t="s">
        <v>237</v>
      </c>
      <c r="FP390" s="6">
        <v>6.4799999999999995</v>
      </c>
      <c r="FQ390" t="s">
        <v>239</v>
      </c>
      <c r="FS390" t="s">
        <v>240</v>
      </c>
      <c r="FT390" t="e">
        <f>FQ390=#REF!</f>
        <v>#REF!</v>
      </c>
      <c r="FU390" s="8">
        <v>1</v>
      </c>
      <c r="FV390" s="8">
        <v>10</v>
      </c>
      <c r="FW390" s="8">
        <v>10</v>
      </c>
      <c r="FX390" s="8">
        <v>10</v>
      </c>
      <c r="FY390" s="8">
        <v>3</v>
      </c>
      <c r="FZ390">
        <f t="shared" si="6"/>
        <v>3000</v>
      </c>
      <c r="GA390" s="7" t="s">
        <v>241</v>
      </c>
      <c r="GB390" s="7" t="s">
        <v>326</v>
      </c>
      <c r="GC390" s="6">
        <v>1.5</v>
      </c>
      <c r="GD390" s="348" t="s">
        <v>304</v>
      </c>
      <c r="GF390" s="6">
        <v>2.1599999999999998E-2</v>
      </c>
      <c r="GH390" s="7"/>
      <c r="GI390" s="441">
        <v>0.14399999999999999</v>
      </c>
      <c r="GJ390" s="441">
        <v>0.27</v>
      </c>
      <c r="GK390" s="441">
        <v>0.432</v>
      </c>
      <c r="GL390" s="441">
        <v>1.08</v>
      </c>
      <c r="GM390" s="452" t="s">
        <v>262</v>
      </c>
      <c r="GN390" s="6">
        <v>0.01</v>
      </c>
      <c r="GO390" s="6">
        <v>1.8749999999999999E-2</v>
      </c>
      <c r="GP390" s="6">
        <v>0.03</v>
      </c>
      <c r="GQ390" s="6">
        <v>7.4999999999999997E-2</v>
      </c>
      <c r="GR390" s="6" t="s">
        <v>230</v>
      </c>
      <c r="GU390" t="s">
        <v>243</v>
      </c>
      <c r="GV390" t="s">
        <v>225</v>
      </c>
      <c r="GW390" t="s">
        <v>359</v>
      </c>
      <c r="GX390" t="s">
        <v>223</v>
      </c>
      <c r="GY390" t="s">
        <v>245</v>
      </c>
      <c r="HE390" t="s">
        <v>384</v>
      </c>
      <c r="HF390" t="s">
        <v>223</v>
      </c>
      <c r="HG390" t="s">
        <v>231</v>
      </c>
      <c r="HH390" t="s">
        <v>225</v>
      </c>
      <c r="HI390" t="s">
        <v>247</v>
      </c>
      <c r="HJ390" t="s">
        <v>223</v>
      </c>
      <c r="HK390" t="s">
        <v>248</v>
      </c>
      <c r="HO390" t="s">
        <v>231</v>
      </c>
      <c r="HP390" t="s">
        <v>223</v>
      </c>
      <c r="HQ390" t="s">
        <v>231</v>
      </c>
      <c r="HR390" t="s">
        <v>223</v>
      </c>
      <c r="HU390" t="s">
        <v>231</v>
      </c>
      <c r="HV390" t="s">
        <v>223</v>
      </c>
      <c r="HW390" t="s">
        <v>563</v>
      </c>
      <c r="HX390" t="s">
        <v>236</v>
      </c>
      <c r="IA390" t="s">
        <v>231</v>
      </c>
      <c r="IB390" t="s">
        <v>250</v>
      </c>
      <c r="IC390">
        <v>0.14399999999999999</v>
      </c>
      <c r="ID390">
        <v>0.27</v>
      </c>
      <c r="IE390">
        <v>0.432</v>
      </c>
      <c r="IF390">
        <v>1.08</v>
      </c>
      <c r="IH390" t="s">
        <v>267</v>
      </c>
    </row>
    <row r="391" spans="1:242" x14ac:dyDescent="0.35">
      <c r="A391" s="310" t="s">
        <v>2211</v>
      </c>
      <c r="B391" t="s">
        <v>2212</v>
      </c>
      <c r="C391" s="310" t="s">
        <v>2213</v>
      </c>
      <c r="D391" s="316"/>
      <c r="F391" t="s">
        <v>2214</v>
      </c>
      <c r="I391" s="310" t="s">
        <v>2215</v>
      </c>
      <c r="M391" s="313"/>
      <c r="O391"/>
      <c r="P391" s="381"/>
      <c r="Q391"/>
      <c r="T391" s="8"/>
      <c r="U391"/>
      <c r="V391" s="313"/>
      <c r="W391"/>
      <c r="X391"/>
      <c r="Z391"/>
      <c r="AB391"/>
      <c r="AD391" s="8" t="s">
        <v>230</v>
      </c>
      <c r="AF391" s="8" t="s">
        <v>230</v>
      </c>
      <c r="AG391"/>
      <c r="AH391"/>
      <c r="AI391"/>
      <c r="AJ391" t="s">
        <v>221</v>
      </c>
      <c r="AK391">
        <v>0.05</v>
      </c>
      <c r="AL391">
        <v>0.52500000000000002</v>
      </c>
      <c r="AM391" t="s">
        <v>221</v>
      </c>
      <c r="AN391" t="s">
        <v>225</v>
      </c>
      <c r="AO391" t="s">
        <v>221</v>
      </c>
      <c r="AP391" t="s">
        <v>225</v>
      </c>
      <c r="AQ391" s="442" t="s">
        <v>414</v>
      </c>
      <c r="AR391" t="s">
        <v>236</v>
      </c>
      <c r="AS391" t="s">
        <v>221</v>
      </c>
      <c r="AT391" t="s">
        <v>223</v>
      </c>
      <c r="AU391" t="s">
        <v>220</v>
      </c>
      <c r="AV391"/>
      <c r="AW391" s="313" t="s">
        <v>220</v>
      </c>
      <c r="AX391" t="s">
        <v>226</v>
      </c>
      <c r="AY391" s="313" t="s">
        <v>220</v>
      </c>
      <c r="AZ391" s="313">
        <v>5.3600000000000002E-2</v>
      </c>
      <c r="BB391" s="313" t="s">
        <v>220</v>
      </c>
      <c r="BC391">
        <v>2.1299999999999999E-2</v>
      </c>
      <c r="BD391" t="s">
        <v>220</v>
      </c>
      <c r="BE391">
        <v>8.4400000000000003E-2</v>
      </c>
      <c r="BF391" s="2" t="s">
        <v>220</v>
      </c>
      <c r="BG391" s="3" t="s">
        <v>416</v>
      </c>
      <c r="BH391" s="2" t="s">
        <v>274</v>
      </c>
      <c r="BI391" s="2" t="s">
        <v>275</v>
      </c>
      <c r="BM391"/>
      <c r="BP391" s="8"/>
      <c r="BQ391" t="s">
        <v>230</v>
      </c>
      <c r="BR391" t="s">
        <v>230</v>
      </c>
      <c r="BU391" t="s">
        <v>231</v>
      </c>
      <c r="BV391" t="s">
        <v>223</v>
      </c>
      <c r="BW391" t="s">
        <v>232</v>
      </c>
      <c r="BX391" t="s">
        <v>284</v>
      </c>
      <c r="BY391" t="s">
        <v>220</v>
      </c>
      <c r="BZ391">
        <v>0.29399999999999998</v>
      </c>
      <c r="CA391" t="s">
        <v>372</v>
      </c>
      <c r="CF391" t="s">
        <v>220</v>
      </c>
      <c r="CG391">
        <v>4.5100000000000001E-2</v>
      </c>
      <c r="CH391" t="s">
        <v>220</v>
      </c>
      <c r="CI391">
        <v>0.191</v>
      </c>
      <c r="CK391"/>
      <c r="CL391"/>
      <c r="CM391"/>
      <c r="CS391" s="8"/>
      <c r="CW391" t="s">
        <v>220</v>
      </c>
      <c r="CX391" t="s">
        <v>220</v>
      </c>
      <c r="CY391" t="s">
        <v>231</v>
      </c>
      <c r="CZ391" t="s">
        <v>220</v>
      </c>
      <c r="DA391" t="s">
        <v>220</v>
      </c>
      <c r="DB391" t="s">
        <v>220</v>
      </c>
      <c r="DC391"/>
      <c r="DD391"/>
      <c r="DE391"/>
      <c r="DF391"/>
      <c r="DG391"/>
      <c r="DH391" s="323"/>
      <c r="DI391" s="323"/>
      <c r="DJ391" s="323"/>
      <c r="DL391" t="s">
        <v>257</v>
      </c>
      <c r="DM391" t="s">
        <v>220</v>
      </c>
      <c r="DN391" t="s">
        <v>257</v>
      </c>
      <c r="DO391" t="s">
        <v>257</v>
      </c>
      <c r="DP391" t="s">
        <v>257</v>
      </c>
      <c r="DS391" s="309">
        <v>52.011000000000003</v>
      </c>
      <c r="DU391" s="309">
        <v>623.45600000000002</v>
      </c>
      <c r="DW391">
        <v>97</v>
      </c>
      <c r="DX391" t="s">
        <v>238</v>
      </c>
      <c r="DY391">
        <v>90.2</v>
      </c>
      <c r="DZ391" t="s">
        <v>238</v>
      </c>
      <c r="EA391"/>
      <c r="EB391"/>
      <c r="ED391" s="410"/>
      <c r="EE391" s="1"/>
      <c r="EG391" s="410"/>
      <c r="EI391" s="410"/>
      <c r="EK391" s="1"/>
      <c r="EM391"/>
      <c r="EQ391" s="344"/>
      <c r="EU391" s="344"/>
      <c r="EW391" s="409"/>
      <c r="EY391" s="1"/>
      <c r="FA391">
        <v>156.55000000000001</v>
      </c>
      <c r="FB391" t="s">
        <v>236</v>
      </c>
      <c r="FC391" s="7">
        <v>188.14817062183607</v>
      </c>
      <c r="FD391" s="357" t="s">
        <v>236</v>
      </c>
      <c r="FE391" s="8">
        <v>148.45676750522736</v>
      </c>
      <c r="FF391" t="s">
        <v>237</v>
      </c>
      <c r="FH391" s="9">
        <v>165.84409012775589</v>
      </c>
      <c r="FI391" s="9" t="s">
        <v>236</v>
      </c>
      <c r="FJ391">
        <v>304</v>
      </c>
      <c r="FK391" t="s">
        <v>238</v>
      </c>
      <c r="FL391">
        <v>367</v>
      </c>
      <c r="FM391">
        <v>548.90855560704529</v>
      </c>
      <c r="FN391" s="5" t="s">
        <v>237</v>
      </c>
      <c r="FP391" s="6">
        <v>27.445427780352265</v>
      </c>
      <c r="FQ391" t="s">
        <v>277</v>
      </c>
      <c r="FS391" t="s">
        <v>240</v>
      </c>
      <c r="FT391" t="e">
        <f>FQ391=#REF!</f>
        <v>#REF!</v>
      </c>
      <c r="FU391" s="8">
        <v>2</v>
      </c>
      <c r="FV391" s="8">
        <v>10</v>
      </c>
      <c r="FW391" s="8">
        <v>10</v>
      </c>
      <c r="FX391" s="8">
        <v>10</v>
      </c>
      <c r="FY391" s="8">
        <v>3</v>
      </c>
      <c r="FZ391">
        <f t="shared" si="6"/>
        <v>6000</v>
      </c>
      <c r="GA391" s="7" t="s">
        <v>241</v>
      </c>
      <c r="GB391" s="7" t="s">
        <v>241</v>
      </c>
      <c r="GC391" s="6">
        <v>30</v>
      </c>
      <c r="GD391" s="348" t="s">
        <v>242</v>
      </c>
      <c r="GF391" s="6">
        <v>0.10133333333333333</v>
      </c>
      <c r="GH391" s="7"/>
      <c r="GI391" s="441">
        <v>0.61</v>
      </c>
      <c r="GJ391" s="441">
        <v>1.1439999999999999</v>
      </c>
      <c r="GK391" s="441">
        <v>1.83</v>
      </c>
      <c r="GL391" s="441">
        <v>4.5739999999999998</v>
      </c>
      <c r="GM391" s="452" t="s">
        <v>262</v>
      </c>
      <c r="GN391" s="6">
        <v>0.2</v>
      </c>
      <c r="GO391" s="6">
        <v>0.375</v>
      </c>
      <c r="GP391" s="6">
        <v>0.6</v>
      </c>
      <c r="GQ391" s="6">
        <v>1.5</v>
      </c>
      <c r="GR391" s="6" t="s">
        <v>230</v>
      </c>
      <c r="GU391" t="s">
        <v>243</v>
      </c>
      <c r="GV391" t="s">
        <v>236</v>
      </c>
      <c r="GW391" t="s">
        <v>244</v>
      </c>
      <c r="GX391" t="s">
        <v>236</v>
      </c>
      <c r="GY391" t="s">
        <v>245</v>
      </c>
      <c r="HE391" t="s">
        <v>247</v>
      </c>
      <c r="HF391" t="s">
        <v>223</v>
      </c>
      <c r="HG391" t="s">
        <v>231</v>
      </c>
      <c r="HH391" t="s">
        <v>236</v>
      </c>
      <c r="HI391" t="s">
        <v>247</v>
      </c>
      <c r="HJ391" t="s">
        <v>223</v>
      </c>
      <c r="HK391" t="s">
        <v>266</v>
      </c>
      <c r="HO391" t="s">
        <v>231</v>
      </c>
      <c r="HP391" t="s">
        <v>223</v>
      </c>
      <c r="HQ391" t="s">
        <v>231</v>
      </c>
      <c r="HR391" t="s">
        <v>223</v>
      </c>
      <c r="HU391" t="s">
        <v>231</v>
      </c>
      <c r="HV391" t="s">
        <v>223</v>
      </c>
      <c r="HW391" t="s">
        <v>563</v>
      </c>
      <c r="HX391" t="s">
        <v>236</v>
      </c>
      <c r="IA391" t="s">
        <v>231</v>
      </c>
      <c r="IB391" t="s">
        <v>250</v>
      </c>
      <c r="IC391">
        <v>0.61</v>
      </c>
      <c r="ID391">
        <v>1.1439999999999999</v>
      </c>
      <c r="IE391">
        <v>1.83</v>
      </c>
      <c r="IF391">
        <v>4.5739999999999998</v>
      </c>
      <c r="IH391" t="s">
        <v>267</v>
      </c>
    </row>
    <row r="392" spans="1:242" x14ac:dyDescent="0.35">
      <c r="A392" s="310" t="s">
        <v>2216</v>
      </c>
      <c r="B392" t="s">
        <v>2217</v>
      </c>
      <c r="C392" s="310" t="s">
        <v>2218</v>
      </c>
      <c r="D392" s="316"/>
      <c r="F392" t="s">
        <v>2218</v>
      </c>
      <c r="I392" s="310" t="s">
        <v>2219</v>
      </c>
      <c r="M392" s="313"/>
      <c r="O392" t="s">
        <v>221</v>
      </c>
      <c r="P392" s="381"/>
      <c r="Q392" t="s">
        <v>221</v>
      </c>
      <c r="T392" s="8"/>
      <c r="U392" t="s">
        <v>221</v>
      </c>
      <c r="V392" s="313"/>
      <c r="W392" t="s">
        <v>220</v>
      </c>
      <c r="X392" t="s">
        <v>220</v>
      </c>
      <c r="Z392" t="s">
        <v>220</v>
      </c>
      <c r="AB392" t="s">
        <v>220</v>
      </c>
      <c r="AD392" s="8" t="s">
        <v>222</v>
      </c>
      <c r="AF392" s="8" t="s">
        <v>230</v>
      </c>
      <c r="AG392"/>
      <c r="AH392"/>
      <c r="AI392"/>
      <c r="AJ392" t="s">
        <v>221</v>
      </c>
      <c r="AK392">
        <v>0</v>
      </c>
      <c r="AL392">
        <v>1</v>
      </c>
      <c r="AM392" t="s">
        <v>221</v>
      </c>
      <c r="AN392" t="s">
        <v>249</v>
      </c>
      <c r="AO392" t="s">
        <v>221</v>
      </c>
      <c r="AP392"/>
      <c r="AQ392" t="s">
        <v>221</v>
      </c>
      <c r="AR392" t="s">
        <v>225</v>
      </c>
      <c r="AS392" t="s">
        <v>221</v>
      </c>
      <c r="AT392"/>
      <c r="AU392" t="s">
        <v>220</v>
      </c>
      <c r="AV392"/>
      <c r="AW392" s="313" t="s">
        <v>220</v>
      </c>
      <c r="AX392" t="s">
        <v>226</v>
      </c>
      <c r="AY392" s="313" t="s">
        <v>220</v>
      </c>
      <c r="AZ392" s="313">
        <v>0.14699999999999999</v>
      </c>
      <c r="BB392" s="313" t="s">
        <v>220</v>
      </c>
      <c r="BC392">
        <v>9.5299999999999996E-2</v>
      </c>
      <c r="BD392" t="s">
        <v>220</v>
      </c>
      <c r="BE392">
        <v>0.14099999999999999</v>
      </c>
      <c r="BF392" s="2" t="s">
        <v>220</v>
      </c>
      <c r="BH392" s="2" t="s">
        <v>228</v>
      </c>
      <c r="BI392" s="2" t="s">
        <v>457</v>
      </c>
      <c r="BM392"/>
      <c r="BP392" s="8"/>
      <c r="BQ392" t="s">
        <v>230</v>
      </c>
      <c r="BR392" t="s">
        <v>230</v>
      </c>
      <c r="BU392" t="s">
        <v>317</v>
      </c>
      <c r="BV392" t="s">
        <v>236</v>
      </c>
      <c r="BW392" t="s">
        <v>232</v>
      </c>
      <c r="BX392" t="s">
        <v>276</v>
      </c>
      <c r="BY392" t="s">
        <v>220</v>
      </c>
      <c r="BZ392">
        <v>0.438</v>
      </c>
      <c r="CA392" t="s">
        <v>234</v>
      </c>
      <c r="CF392" t="s">
        <v>257</v>
      </c>
      <c r="CG392">
        <v>0.56299999999999994</v>
      </c>
      <c r="CH392" t="s">
        <v>257</v>
      </c>
      <c r="CI392">
        <v>0.70899999999999996</v>
      </c>
      <c r="CK392"/>
      <c r="CL392" t="s">
        <v>220</v>
      </c>
      <c r="CM392" t="s">
        <v>231</v>
      </c>
      <c r="CS392" s="8"/>
      <c r="CW392" t="s">
        <v>227</v>
      </c>
      <c r="CX392" t="s">
        <v>220</v>
      </c>
      <c r="CY392" t="s">
        <v>231</v>
      </c>
      <c r="CZ392" t="s">
        <v>220</v>
      </c>
      <c r="DA392" t="s">
        <v>227</v>
      </c>
      <c r="DB392" t="s">
        <v>220</v>
      </c>
      <c r="DC392" t="s">
        <v>257</v>
      </c>
      <c r="DD392" t="s">
        <v>257</v>
      </c>
      <c r="DE392"/>
      <c r="DF392"/>
      <c r="DG392"/>
      <c r="DH392" s="323"/>
      <c r="DI392" s="323"/>
      <c r="DJ392" s="323"/>
      <c r="DL392" t="s">
        <v>257</v>
      </c>
      <c r="DM392" t="s">
        <v>257</v>
      </c>
      <c r="DN392" t="s">
        <v>257</v>
      </c>
      <c r="DO392" t="s">
        <v>220</v>
      </c>
      <c r="DP392" t="s">
        <v>220</v>
      </c>
      <c r="DS392" s="309">
        <v>111.99</v>
      </c>
      <c r="DU392" s="309">
        <v>195.797</v>
      </c>
      <c r="DW392">
        <v>579</v>
      </c>
      <c r="DX392" t="s">
        <v>238</v>
      </c>
      <c r="DY392"/>
      <c r="DZ392" t="s">
        <v>235</v>
      </c>
      <c r="EA392"/>
      <c r="EB392"/>
      <c r="ED392" s="410"/>
      <c r="EE392" s="1"/>
      <c r="EG392" s="410"/>
      <c r="EI392" s="410"/>
      <c r="EK392" s="1">
        <v>1000</v>
      </c>
      <c r="EL392" s="8" t="s">
        <v>259</v>
      </c>
      <c r="EM392"/>
      <c r="EQ392" s="344"/>
      <c r="EU392" s="344"/>
      <c r="EW392" s="409"/>
      <c r="EY392" s="1"/>
      <c r="FA392">
        <v>365.95</v>
      </c>
      <c r="FB392" t="s">
        <v>225</v>
      </c>
      <c r="FC392" s="7">
        <v>132.52566739590992</v>
      </c>
      <c r="FD392" s="357" t="s">
        <v>225</v>
      </c>
      <c r="FE392" s="8">
        <v>284.51161442332818</v>
      </c>
      <c r="FF392" t="s">
        <v>237</v>
      </c>
      <c r="FH392" s="9">
        <v>113.50108156723159</v>
      </c>
      <c r="FI392" s="9" t="s">
        <v>225</v>
      </c>
      <c r="FJ392">
        <v>1560</v>
      </c>
      <c r="FK392" t="s">
        <v>238</v>
      </c>
      <c r="FL392">
        <v>13800</v>
      </c>
      <c r="FM392">
        <v>694.38447124098241</v>
      </c>
      <c r="FN392" s="5" t="s">
        <v>237</v>
      </c>
      <c r="FP392" s="6">
        <v>500</v>
      </c>
      <c r="FQ392" t="s">
        <v>260</v>
      </c>
      <c r="FS392" t="s">
        <v>261</v>
      </c>
      <c r="FT392" t="e">
        <f>FQ392=#REF!</f>
        <v>#REF!</v>
      </c>
      <c r="FU392" s="8">
        <v>2</v>
      </c>
      <c r="FV392" s="8">
        <v>10</v>
      </c>
      <c r="FW392" s="8">
        <v>10</v>
      </c>
      <c r="FX392" s="8">
        <v>1</v>
      </c>
      <c r="FY392" s="8">
        <v>3</v>
      </c>
      <c r="FZ392">
        <f t="shared" si="6"/>
        <v>600</v>
      </c>
      <c r="GA392" s="7" t="s">
        <v>326</v>
      </c>
      <c r="GB392" s="7" t="s">
        <v>326</v>
      </c>
      <c r="GC392" s="6">
        <v>1.5</v>
      </c>
      <c r="GD392" s="348" t="s">
        <v>383</v>
      </c>
      <c r="GF392" s="6">
        <v>0.47418602403888033</v>
      </c>
      <c r="GH392" s="7"/>
      <c r="GI392" s="441"/>
      <c r="GJ392" s="441"/>
      <c r="GK392" s="441"/>
      <c r="GL392" s="441"/>
      <c r="GM392" s="454"/>
      <c r="GN392" s="441"/>
      <c r="GO392" s="441"/>
      <c r="GP392" s="441"/>
      <c r="GQ392" s="441"/>
      <c r="GR392" s="441"/>
      <c r="GS392" s="441"/>
      <c r="GT392" s="441"/>
      <c r="GU392" s="441"/>
      <c r="GV392" s="441"/>
      <c r="GW392" s="441"/>
      <c r="GX392" s="441"/>
      <c r="GY392" s="441"/>
      <c r="GZ392" s="441"/>
      <c r="HA392" s="441"/>
      <c r="HB392" s="441"/>
      <c r="HC392" s="441"/>
      <c r="HD392" s="441"/>
      <c r="HE392" s="441"/>
      <c r="HF392" s="441"/>
      <c r="HG392" s="441"/>
      <c r="HH392" s="441"/>
      <c r="HI392" s="441"/>
      <c r="HJ392" s="441"/>
      <c r="HK392" s="441"/>
      <c r="HL392" s="441"/>
      <c r="HM392" s="441"/>
      <c r="HN392" s="441"/>
      <c r="HO392" s="441"/>
      <c r="HP392" s="441"/>
      <c r="HQ392" s="441"/>
      <c r="HR392" s="441"/>
      <c r="HS392" s="441"/>
      <c r="HT392" s="441"/>
      <c r="HU392" s="441"/>
      <c r="HV392" s="441"/>
      <c r="HW392" s="441"/>
      <c r="HX392" s="441"/>
      <c r="HY392" s="441"/>
      <c r="HZ392" s="441"/>
      <c r="IA392" s="441"/>
      <c r="IB392" s="441"/>
      <c r="IC392" s="441"/>
      <c r="ID392" s="441"/>
      <c r="IE392" s="441"/>
      <c r="IF392" s="441"/>
      <c r="IH392" t="s">
        <v>235</v>
      </c>
    </row>
    <row r="393" spans="1:242" ht="159.5" x14ac:dyDescent="0.35">
      <c r="A393" s="310" t="s">
        <v>537</v>
      </c>
      <c r="B393" t="s">
        <v>2220</v>
      </c>
      <c r="C393" s="310" t="s">
        <v>2221</v>
      </c>
      <c r="D393" s="316"/>
      <c r="F393" t="s">
        <v>2222</v>
      </c>
      <c r="I393" s="310" t="s">
        <v>2223</v>
      </c>
      <c r="M393" s="313"/>
      <c r="O393"/>
      <c r="P393" s="381"/>
      <c r="Q393"/>
      <c r="T393" s="8"/>
      <c r="U393"/>
      <c r="V393" s="313"/>
      <c r="W393"/>
      <c r="X393"/>
      <c r="Z393"/>
      <c r="AB393"/>
      <c r="AD393" s="8" t="s">
        <v>230</v>
      </c>
      <c r="AF393" s="8" t="s">
        <v>230</v>
      </c>
      <c r="AG393"/>
      <c r="AH393"/>
      <c r="AI393"/>
      <c r="AJ393" t="s">
        <v>221</v>
      </c>
      <c r="AK393">
        <v>0</v>
      </c>
      <c r="AL393">
        <v>0.5</v>
      </c>
      <c r="AM393" t="s">
        <v>221</v>
      </c>
      <c r="AN393" t="s">
        <v>225</v>
      </c>
      <c r="AO393" t="s">
        <v>221</v>
      </c>
      <c r="AP393" t="s">
        <v>225</v>
      </c>
      <c r="AQ393" t="s">
        <v>221</v>
      </c>
      <c r="AR393" t="s">
        <v>236</v>
      </c>
      <c r="AS393" t="s">
        <v>221</v>
      </c>
      <c r="AT393" t="s">
        <v>225</v>
      </c>
      <c r="AU393" t="s">
        <v>220</v>
      </c>
      <c r="AV393"/>
      <c r="AW393" s="313" t="s">
        <v>220</v>
      </c>
      <c r="AX393" t="s">
        <v>226</v>
      </c>
      <c r="AY393" s="313" t="s">
        <v>220</v>
      </c>
      <c r="AZ393" s="313">
        <v>9.6500000000000002E-2</v>
      </c>
      <c r="BB393" s="313" t="s">
        <v>220</v>
      </c>
      <c r="BC393">
        <v>6.8500000000000005E-2</v>
      </c>
      <c r="BD393" t="s">
        <v>220</v>
      </c>
      <c r="BE393">
        <v>1.2E-2</v>
      </c>
      <c r="BF393" s="2" t="s">
        <v>220</v>
      </c>
      <c r="BG393" s="2" t="s">
        <v>273</v>
      </c>
      <c r="BH393" s="2" t="s">
        <v>274</v>
      </c>
      <c r="BI393" s="2" t="s">
        <v>275</v>
      </c>
      <c r="BM393"/>
      <c r="BP393" s="8"/>
      <c r="BQ393" t="s">
        <v>230</v>
      </c>
      <c r="BR393" t="s">
        <v>230</v>
      </c>
      <c r="BU393" t="s">
        <v>317</v>
      </c>
      <c r="BV393" t="s">
        <v>225</v>
      </c>
      <c r="BW393" t="s">
        <v>232</v>
      </c>
      <c r="BX393" t="s">
        <v>276</v>
      </c>
      <c r="BY393" t="s">
        <v>220</v>
      </c>
      <c r="BZ393">
        <v>0.27200000000000002</v>
      </c>
      <c r="CA393" t="s">
        <v>372</v>
      </c>
      <c r="CF393" t="s">
        <v>220</v>
      </c>
      <c r="CG393">
        <v>0.41099999999999998</v>
      </c>
      <c r="CH393" t="s">
        <v>257</v>
      </c>
      <c r="CI393">
        <v>0.96599999999999997</v>
      </c>
      <c r="CK393"/>
      <c r="CL393"/>
      <c r="CM393"/>
      <c r="CS393" s="8"/>
      <c r="CW393" t="s">
        <v>257</v>
      </c>
      <c r="CX393" t="s">
        <v>257</v>
      </c>
      <c r="CY393" t="s">
        <v>231</v>
      </c>
      <c r="CZ393" t="s">
        <v>220</v>
      </c>
      <c r="DA393" t="s">
        <v>220</v>
      </c>
      <c r="DB393" t="s">
        <v>220</v>
      </c>
      <c r="DC393"/>
      <c r="DD393"/>
      <c r="DE393"/>
      <c r="DF393"/>
      <c r="DG393"/>
      <c r="DH393" s="323"/>
      <c r="DI393" s="323"/>
      <c r="DJ393" s="323"/>
      <c r="DL393" t="s">
        <v>257</v>
      </c>
      <c r="DM393" t="s">
        <v>220</v>
      </c>
      <c r="DN393" t="s">
        <v>227</v>
      </c>
      <c r="DO393" t="s">
        <v>257</v>
      </c>
      <c r="DP393" t="s">
        <v>257</v>
      </c>
      <c r="DS393" s="309">
        <v>152.09399999999999</v>
      </c>
      <c r="DU393" s="309">
        <v>2479.3649999999998</v>
      </c>
      <c r="DW393"/>
      <c r="DX393" t="s">
        <v>235</v>
      </c>
      <c r="DY393"/>
      <c r="DZ393" t="s">
        <v>235</v>
      </c>
      <c r="EA393"/>
      <c r="EB393"/>
      <c r="ED393" s="410"/>
      <c r="EE393" s="1"/>
      <c r="EG393" s="410"/>
      <c r="EI393" s="410"/>
      <c r="EK393" s="1"/>
      <c r="EM393"/>
      <c r="EQ393" s="344"/>
      <c r="EU393" s="344"/>
      <c r="EW393" s="409"/>
      <c r="EY393" s="1"/>
      <c r="FA393">
        <v>355.27</v>
      </c>
      <c r="FB393" t="s">
        <v>225</v>
      </c>
      <c r="FC393" s="7">
        <v>267.42376570889934</v>
      </c>
      <c r="FD393" s="357" t="s">
        <v>225</v>
      </c>
      <c r="FE393" s="8">
        <v>142.232878712282</v>
      </c>
      <c r="FF393" t="s">
        <v>237</v>
      </c>
      <c r="FH393" s="9">
        <v>617.02107774384626</v>
      </c>
      <c r="FI393" s="9" t="s">
        <v>225</v>
      </c>
      <c r="FK393" t="s">
        <v>235</v>
      </c>
      <c r="FL393">
        <v>493</v>
      </c>
      <c r="FM393">
        <v>356.61532304264051</v>
      </c>
      <c r="FN393" s="5" t="s">
        <v>237</v>
      </c>
      <c r="FP393" s="6">
        <v>17.830766152132025</v>
      </c>
      <c r="FQ393" t="s">
        <v>277</v>
      </c>
      <c r="FS393" t="s">
        <v>240</v>
      </c>
      <c r="FT393" t="e">
        <f>FQ393=#REF!</f>
        <v>#REF!</v>
      </c>
      <c r="FU393" s="8">
        <v>2</v>
      </c>
      <c r="FV393" s="8">
        <v>10</v>
      </c>
      <c r="FW393" s="8">
        <v>10</v>
      </c>
      <c r="FX393" s="8">
        <v>10</v>
      </c>
      <c r="FY393" s="8">
        <v>3</v>
      </c>
      <c r="FZ393">
        <f t="shared" si="6"/>
        <v>6000</v>
      </c>
      <c r="GA393" s="7" t="s">
        <v>241</v>
      </c>
      <c r="GB393" s="7" t="s">
        <v>241</v>
      </c>
      <c r="GC393" s="6">
        <v>30</v>
      </c>
      <c r="GD393" s="348" t="s">
        <v>242</v>
      </c>
      <c r="GF393" s="6">
        <v>0.16433333333333333</v>
      </c>
      <c r="GH393" s="7"/>
      <c r="GI393" s="441">
        <v>0.39600000000000002</v>
      </c>
      <c r="GJ393" s="441">
        <v>0.74299999999999999</v>
      </c>
      <c r="GK393" s="441">
        <v>1.1890000000000001</v>
      </c>
      <c r="GL393" s="441">
        <v>2.972</v>
      </c>
      <c r="GM393" s="461" t="s">
        <v>790</v>
      </c>
      <c r="GN393" s="6">
        <v>0.2</v>
      </c>
      <c r="GO393" s="6">
        <v>0.375</v>
      </c>
      <c r="GP393" s="6">
        <v>0.6</v>
      </c>
      <c r="GQ393" s="6">
        <v>1.5</v>
      </c>
      <c r="GR393" s="461" t="s">
        <v>790</v>
      </c>
      <c r="GU393" t="s">
        <v>243</v>
      </c>
      <c r="GV393" t="s">
        <v>225</v>
      </c>
      <c r="GW393" t="s">
        <v>244</v>
      </c>
      <c r="GX393" t="s">
        <v>236</v>
      </c>
      <c r="GY393" t="s">
        <v>245</v>
      </c>
      <c r="HE393" t="s">
        <v>247</v>
      </c>
      <c r="HF393" t="s">
        <v>223</v>
      </c>
      <c r="HG393" t="s">
        <v>231</v>
      </c>
      <c r="HH393" t="s">
        <v>223</v>
      </c>
      <c r="HI393" t="s">
        <v>247</v>
      </c>
      <c r="HJ393" t="s">
        <v>223</v>
      </c>
      <c r="HK393" t="s">
        <v>266</v>
      </c>
      <c r="HO393" t="s">
        <v>231</v>
      </c>
      <c r="HP393" t="s">
        <v>223</v>
      </c>
      <c r="HQ393" t="s">
        <v>231</v>
      </c>
      <c r="HR393" t="s">
        <v>223</v>
      </c>
      <c r="HU393" t="s">
        <v>231</v>
      </c>
      <c r="HV393" t="s">
        <v>223</v>
      </c>
      <c r="HW393" t="s">
        <v>563</v>
      </c>
      <c r="HX393" t="s">
        <v>236</v>
      </c>
      <c r="IA393" t="s">
        <v>231</v>
      </c>
      <c r="IB393" t="s">
        <v>250</v>
      </c>
      <c r="IC393">
        <v>0.39600000000000002</v>
      </c>
      <c r="ID393">
        <v>0.74299999999999999</v>
      </c>
      <c r="IE393">
        <v>1.1890000000000001</v>
      </c>
      <c r="IF393">
        <v>2.972</v>
      </c>
      <c r="IG393" s="459" t="s">
        <v>451</v>
      </c>
      <c r="IH393" t="s">
        <v>267</v>
      </c>
    </row>
    <row r="394" spans="1:242" ht="159.5" x14ac:dyDescent="0.35">
      <c r="A394" s="310" t="s">
        <v>537</v>
      </c>
      <c r="B394" t="s">
        <v>2224</v>
      </c>
      <c r="C394" s="310" t="s">
        <v>2225</v>
      </c>
      <c r="D394" s="316"/>
      <c r="F394" t="s">
        <v>2226</v>
      </c>
      <c r="I394" s="310" t="s">
        <v>2223</v>
      </c>
      <c r="M394" s="313"/>
      <c r="O394"/>
      <c r="P394" s="382"/>
      <c r="Q394"/>
      <c r="U394"/>
      <c r="V394" s="313"/>
      <c r="W394"/>
      <c r="X394"/>
      <c r="Z394"/>
      <c r="AB394"/>
      <c r="AD394" s="8" t="s">
        <v>230</v>
      </c>
      <c r="AF394" s="8" t="s">
        <v>230</v>
      </c>
      <c r="AG394"/>
      <c r="AH394"/>
      <c r="AI394"/>
      <c r="AJ394" t="s">
        <v>221</v>
      </c>
      <c r="AK394">
        <v>0.15</v>
      </c>
      <c r="AL394">
        <v>0.25</v>
      </c>
      <c r="AM394" t="s">
        <v>414</v>
      </c>
      <c r="AN394" t="s">
        <v>225</v>
      </c>
      <c r="AO394" t="s">
        <v>221</v>
      </c>
      <c r="AP394" t="s">
        <v>236</v>
      </c>
      <c r="AQ394" t="s">
        <v>221</v>
      </c>
      <c r="AR394" t="s">
        <v>236</v>
      </c>
      <c r="AS394" t="s">
        <v>221</v>
      </c>
      <c r="AT394" t="s">
        <v>225</v>
      </c>
      <c r="AU394" t="s">
        <v>220</v>
      </c>
      <c r="AV394"/>
      <c r="AW394" s="313" t="s">
        <v>220</v>
      </c>
      <c r="AX394" t="s">
        <v>226</v>
      </c>
      <c r="AY394" s="313" t="s">
        <v>220</v>
      </c>
      <c r="AZ394" s="313">
        <v>0.28399999999999997</v>
      </c>
      <c r="BA394" s="3" t="s">
        <v>415</v>
      </c>
      <c r="BB394" s="313" t="s">
        <v>220</v>
      </c>
      <c r="BC394">
        <v>0.155</v>
      </c>
      <c r="BD394" t="s">
        <v>220</v>
      </c>
      <c r="BE394">
        <v>0.23300000000000001</v>
      </c>
      <c r="BF394" s="2" t="s">
        <v>220</v>
      </c>
      <c r="BG394" s="2" t="s">
        <v>653</v>
      </c>
      <c r="BH394" s="2" t="s">
        <v>274</v>
      </c>
      <c r="BI394" s="2" t="s">
        <v>275</v>
      </c>
      <c r="BM394"/>
      <c r="BP394" s="8"/>
      <c r="BQ394" t="s">
        <v>230</v>
      </c>
      <c r="BR394" t="s">
        <v>230</v>
      </c>
      <c r="BU394" t="s">
        <v>317</v>
      </c>
      <c r="BV394" t="s">
        <v>236</v>
      </c>
      <c r="BW394" t="s">
        <v>232</v>
      </c>
      <c r="BX394" t="s">
        <v>276</v>
      </c>
      <c r="BY394" t="s">
        <v>257</v>
      </c>
      <c r="BZ394">
        <v>0.60599999999999998</v>
      </c>
      <c r="CA394" t="s">
        <v>372</v>
      </c>
      <c r="CF394" t="s">
        <v>220</v>
      </c>
      <c r="CG394">
        <v>0.46200000000000002</v>
      </c>
      <c r="CH394" t="s">
        <v>257</v>
      </c>
      <c r="CI394">
        <v>0.58399999999999996</v>
      </c>
      <c r="CK394"/>
      <c r="CL394"/>
      <c r="CM394"/>
      <c r="CS394" s="8"/>
      <c r="CW394" t="s">
        <v>227</v>
      </c>
      <c r="CX394" t="s">
        <v>257</v>
      </c>
      <c r="CY394" t="s">
        <v>231</v>
      </c>
      <c r="CZ394" t="s">
        <v>220</v>
      </c>
      <c r="DA394" t="s">
        <v>220</v>
      </c>
      <c r="DB394" t="s">
        <v>227</v>
      </c>
      <c r="DC394"/>
      <c r="DD394"/>
      <c r="DE394"/>
      <c r="DF394"/>
      <c r="DG394"/>
      <c r="DH394" s="323"/>
      <c r="DI394" s="323"/>
      <c r="DJ394" s="323"/>
      <c r="DL394" t="s">
        <v>257</v>
      </c>
      <c r="DM394" t="s">
        <v>257</v>
      </c>
      <c r="DN394" t="s">
        <v>227</v>
      </c>
      <c r="DO394" t="s">
        <v>220</v>
      </c>
      <c r="DP394" t="s">
        <v>220</v>
      </c>
      <c r="DS394" s="338">
        <v>220.05099999999999</v>
      </c>
      <c r="DT394" s="8" t="s">
        <v>394</v>
      </c>
      <c r="DU394" s="309">
        <v>2039.4780000000001</v>
      </c>
      <c r="DW394">
        <v>35.4</v>
      </c>
      <c r="DX394" t="s">
        <v>238</v>
      </c>
      <c r="DY394"/>
      <c r="DZ394" t="s">
        <v>235</v>
      </c>
      <c r="EA394"/>
      <c r="EB394"/>
      <c r="ED394" s="410"/>
      <c r="EE394" s="1"/>
      <c r="EG394" s="410"/>
      <c r="EI394" s="410"/>
      <c r="EK394" s="1"/>
      <c r="EM394"/>
      <c r="EQ394" s="344"/>
      <c r="EU394" s="344"/>
      <c r="EW394" s="409"/>
      <c r="EY394" s="1"/>
      <c r="FA394">
        <v>189.86</v>
      </c>
      <c r="FB394" t="s">
        <v>225</v>
      </c>
      <c r="FC394" s="7">
        <v>295.32485540555103</v>
      </c>
      <c r="FD394" s="357" t="s">
        <v>225</v>
      </c>
      <c r="FE394" s="8">
        <v>309.31430109489662</v>
      </c>
      <c r="FF394" t="s">
        <v>237</v>
      </c>
      <c r="FH394" s="9">
        <v>356.53321878292837</v>
      </c>
      <c r="FI394" s="9" t="s">
        <v>225</v>
      </c>
      <c r="FJ394">
        <v>11.6</v>
      </c>
      <c r="FK394" t="s">
        <v>238</v>
      </c>
      <c r="FL394">
        <v>120</v>
      </c>
      <c r="FM394">
        <v>605.61970872775896</v>
      </c>
      <c r="FN394" s="5" t="s">
        <v>237</v>
      </c>
      <c r="FP394" s="6">
        <v>1.1599999999999999</v>
      </c>
      <c r="FQ394" t="s">
        <v>450</v>
      </c>
      <c r="FS394" t="s">
        <v>240</v>
      </c>
      <c r="FT394" t="e">
        <f>FQ394=#REF!</f>
        <v>#REF!</v>
      </c>
      <c r="FU394" s="8">
        <v>1</v>
      </c>
      <c r="FV394" s="8">
        <v>10</v>
      </c>
      <c r="FW394" s="8">
        <v>10</v>
      </c>
      <c r="FX394" s="8">
        <v>10</v>
      </c>
      <c r="FY394" s="8">
        <v>3</v>
      </c>
      <c r="FZ394">
        <f t="shared" si="6"/>
        <v>3000</v>
      </c>
      <c r="GA394" s="7" t="s">
        <v>241</v>
      </c>
      <c r="GB394" s="7" t="s">
        <v>241</v>
      </c>
      <c r="GC394" s="6">
        <v>30</v>
      </c>
      <c r="GD394" s="348" t="s">
        <v>242</v>
      </c>
      <c r="GF394" s="6">
        <v>3.8666666666666667E-3</v>
      </c>
      <c r="GH394" s="7"/>
      <c r="GI394" s="445"/>
      <c r="GJ394" s="445"/>
      <c r="GK394" s="445"/>
      <c r="GL394" s="445"/>
      <c r="GM394" s="461" t="s">
        <v>790</v>
      </c>
      <c r="GN394" s="6">
        <v>0.2</v>
      </c>
      <c r="GO394" s="6">
        <v>0.375</v>
      </c>
      <c r="GP394" s="6">
        <v>0.6</v>
      </c>
      <c r="GQ394" s="6">
        <v>1.5</v>
      </c>
      <c r="GR394" s="461" t="s">
        <v>790</v>
      </c>
      <c r="GU394" t="s">
        <v>243</v>
      </c>
      <c r="GV394" t="s">
        <v>225</v>
      </c>
      <c r="GW394" t="s">
        <v>244</v>
      </c>
      <c r="GX394" t="s">
        <v>236</v>
      </c>
      <c r="GY394" t="s">
        <v>245</v>
      </c>
      <c r="HE394" t="s">
        <v>247</v>
      </c>
      <c r="HF394" t="s">
        <v>223</v>
      </c>
      <c r="HG394" t="s">
        <v>231</v>
      </c>
      <c r="HH394" t="s">
        <v>223</v>
      </c>
      <c r="HI394" t="s">
        <v>247</v>
      </c>
      <c r="HJ394" t="s">
        <v>223</v>
      </c>
      <c r="HK394" t="s">
        <v>248</v>
      </c>
      <c r="HO394" t="s">
        <v>231</v>
      </c>
      <c r="HP394" t="s">
        <v>223</v>
      </c>
      <c r="HQ394" t="s">
        <v>231</v>
      </c>
      <c r="HR394" t="s">
        <v>223</v>
      </c>
      <c r="HU394" t="s">
        <v>231</v>
      </c>
      <c r="HV394" t="s">
        <v>223</v>
      </c>
      <c r="HW394" t="s">
        <v>563</v>
      </c>
      <c r="HX394" t="s">
        <v>236</v>
      </c>
      <c r="IA394" t="s">
        <v>231</v>
      </c>
      <c r="IB394" t="s">
        <v>250</v>
      </c>
      <c r="IC394" s="445"/>
      <c r="ID394" s="445"/>
      <c r="IE394" s="445"/>
      <c r="IF394" s="445"/>
      <c r="IG394" s="459" t="s">
        <v>451</v>
      </c>
      <c r="IH394" t="s">
        <v>235</v>
      </c>
    </row>
    <row r="395" spans="1:242" ht="159.5" x14ac:dyDescent="0.35">
      <c r="A395" s="310" t="s">
        <v>537</v>
      </c>
      <c r="B395" t="s">
        <v>2227</v>
      </c>
      <c r="C395" s="310" t="s">
        <v>2228</v>
      </c>
      <c r="D395" s="316"/>
      <c r="F395" t="s">
        <v>2229</v>
      </c>
      <c r="I395" s="310" t="s">
        <v>2230</v>
      </c>
      <c r="M395" s="313"/>
      <c r="O395"/>
      <c r="P395" s="381"/>
      <c r="Q395"/>
      <c r="T395" s="8"/>
      <c r="U395"/>
      <c r="V395" s="313"/>
      <c r="W395"/>
      <c r="X395"/>
      <c r="Z395"/>
      <c r="AB395"/>
      <c r="AD395" s="8" t="s">
        <v>230</v>
      </c>
      <c r="AF395" s="8" t="s">
        <v>230</v>
      </c>
      <c r="AG395"/>
      <c r="AH395"/>
      <c r="AI395"/>
      <c r="AJ395" t="s">
        <v>221</v>
      </c>
      <c r="AK395">
        <v>0.05</v>
      </c>
      <c r="AL395">
        <v>0.35</v>
      </c>
      <c r="AM395" t="s">
        <v>221</v>
      </c>
      <c r="AN395" t="s">
        <v>225</v>
      </c>
      <c r="AO395" t="s">
        <v>221</v>
      </c>
      <c r="AP395" t="s">
        <v>225</v>
      </c>
      <c r="AQ395" t="s">
        <v>221</v>
      </c>
      <c r="AR395" t="s">
        <v>236</v>
      </c>
      <c r="AS395" t="s">
        <v>414</v>
      </c>
      <c r="AT395" t="s">
        <v>236</v>
      </c>
      <c r="AU395" t="s">
        <v>220</v>
      </c>
      <c r="AV395"/>
      <c r="AW395" s="313" t="s">
        <v>220</v>
      </c>
      <c r="AX395" t="s">
        <v>226</v>
      </c>
      <c r="AY395" s="313" t="s">
        <v>220</v>
      </c>
      <c r="AZ395" s="313">
        <v>9.5200000000000007E-2</v>
      </c>
      <c r="BB395" s="313" t="s">
        <v>220</v>
      </c>
      <c r="BC395">
        <v>7.0499999999999993E-2</v>
      </c>
      <c r="BD395" t="s">
        <v>220</v>
      </c>
      <c r="BE395">
        <v>1.17E-2</v>
      </c>
      <c r="BF395" s="2" t="s">
        <v>220</v>
      </c>
      <c r="BG395" s="2" t="s">
        <v>653</v>
      </c>
      <c r="BH395" s="2" t="s">
        <v>274</v>
      </c>
      <c r="BI395" s="2" t="s">
        <v>275</v>
      </c>
      <c r="BM395"/>
      <c r="BP395" s="8"/>
      <c r="BQ395" t="s">
        <v>230</v>
      </c>
      <c r="BR395" t="s">
        <v>230</v>
      </c>
      <c r="BU395" t="s">
        <v>317</v>
      </c>
      <c r="BV395" t="s">
        <v>236</v>
      </c>
      <c r="BW395" t="s">
        <v>293</v>
      </c>
      <c r="BX395" t="s">
        <v>458</v>
      </c>
      <c r="BY395" t="s">
        <v>220</v>
      </c>
      <c r="BZ395">
        <v>0.26400000000000001</v>
      </c>
      <c r="CA395" t="s">
        <v>372</v>
      </c>
      <c r="CF395" t="s">
        <v>220</v>
      </c>
      <c r="CG395">
        <v>0.35299999999999998</v>
      </c>
      <c r="CH395" t="s">
        <v>257</v>
      </c>
      <c r="CI395">
        <v>0.96199999999999997</v>
      </c>
      <c r="CK395"/>
      <c r="CL395"/>
      <c r="CM395"/>
      <c r="CS395" s="8"/>
      <c r="CW395" t="s">
        <v>257</v>
      </c>
      <c r="CX395" t="s">
        <v>257</v>
      </c>
      <c r="CY395" t="s">
        <v>231</v>
      </c>
      <c r="CZ395" t="s">
        <v>220</v>
      </c>
      <c r="DA395" t="s">
        <v>220</v>
      </c>
      <c r="DB395" t="s">
        <v>220</v>
      </c>
      <c r="DC395"/>
      <c r="DD395"/>
      <c r="DE395"/>
      <c r="DF395"/>
      <c r="DG395"/>
      <c r="DH395" s="323"/>
      <c r="DI395" s="323"/>
      <c r="DJ395" s="323"/>
      <c r="DL395" t="s">
        <v>257</v>
      </c>
      <c r="DM395" t="s">
        <v>220</v>
      </c>
      <c r="DN395" t="s">
        <v>227</v>
      </c>
      <c r="DO395" t="s">
        <v>257</v>
      </c>
      <c r="DP395" t="s">
        <v>257</v>
      </c>
      <c r="DS395" s="338">
        <v>141.43</v>
      </c>
      <c r="DT395" s="8" t="s">
        <v>394</v>
      </c>
      <c r="DU395" s="338">
        <v>4364.0940000000001</v>
      </c>
      <c r="DV395" s="8" t="s">
        <v>394</v>
      </c>
      <c r="DW395"/>
      <c r="DX395" t="s">
        <v>235</v>
      </c>
      <c r="DY395"/>
      <c r="DZ395" t="s">
        <v>235</v>
      </c>
      <c r="EA395"/>
      <c r="EB395"/>
      <c r="ED395" s="410"/>
      <c r="EE395" s="1"/>
      <c r="EG395" s="410"/>
      <c r="EI395" s="410"/>
      <c r="EK395" s="1"/>
      <c r="EM395"/>
      <c r="EQ395" s="344"/>
      <c r="EU395" s="344"/>
      <c r="EW395" s="409"/>
      <c r="EY395" s="1"/>
      <c r="FA395">
        <v>627.85</v>
      </c>
      <c r="FB395" t="s">
        <v>225</v>
      </c>
      <c r="FC395" s="7">
        <v>482.16979390061789</v>
      </c>
      <c r="FD395" s="357" t="s">
        <v>225</v>
      </c>
      <c r="FE395" s="8">
        <v>255.56419010641409</v>
      </c>
      <c r="FF395" t="s">
        <v>237</v>
      </c>
      <c r="FH395" s="9">
        <v>1318.2567385564089</v>
      </c>
      <c r="FI395" s="9" t="s">
        <v>225</v>
      </c>
      <c r="FK395" t="s">
        <v>235</v>
      </c>
      <c r="FL395">
        <v>993</v>
      </c>
      <c r="FM395">
        <v>717.46381088613953</v>
      </c>
      <c r="FN395" s="5" t="s">
        <v>237</v>
      </c>
      <c r="FP395" s="6">
        <v>35.873190544306979</v>
      </c>
      <c r="FQ395" t="s">
        <v>277</v>
      </c>
      <c r="FS395" t="s">
        <v>240</v>
      </c>
      <c r="FT395" t="e">
        <f>FQ395=#REF!</f>
        <v>#REF!</v>
      </c>
      <c r="FU395" s="8">
        <v>2</v>
      </c>
      <c r="FV395" s="8">
        <v>10</v>
      </c>
      <c r="FW395" s="8">
        <v>10</v>
      </c>
      <c r="FX395" s="8">
        <v>10</v>
      </c>
      <c r="FY395" s="8">
        <v>3</v>
      </c>
      <c r="FZ395">
        <f t="shared" si="6"/>
        <v>6000</v>
      </c>
      <c r="GA395" s="7" t="s">
        <v>241</v>
      </c>
      <c r="GB395" s="7" t="s">
        <v>241</v>
      </c>
      <c r="GC395" s="6">
        <v>30</v>
      </c>
      <c r="GD395" s="348" t="s">
        <v>242</v>
      </c>
      <c r="GF395" s="6">
        <v>0.33100000000000002</v>
      </c>
      <c r="GH395" s="7"/>
      <c r="GI395" s="441">
        <v>0.79700000000000004</v>
      </c>
      <c r="GJ395" s="441">
        <v>1.4950000000000001</v>
      </c>
      <c r="GK395" s="441">
        <v>2.3919999999999999</v>
      </c>
      <c r="GL395" s="441">
        <v>5.9790000000000001</v>
      </c>
      <c r="GM395" s="461" t="s">
        <v>790</v>
      </c>
      <c r="GN395" s="6">
        <v>0.2</v>
      </c>
      <c r="GO395" s="6">
        <v>0.375</v>
      </c>
      <c r="GP395" s="6">
        <v>0.6</v>
      </c>
      <c r="GQ395" s="6">
        <v>1.5</v>
      </c>
      <c r="GR395" s="461" t="s">
        <v>790</v>
      </c>
      <c r="GU395" t="s">
        <v>243</v>
      </c>
      <c r="GV395" t="s">
        <v>236</v>
      </c>
      <c r="GW395" t="s">
        <v>244</v>
      </c>
      <c r="GX395" t="s">
        <v>236</v>
      </c>
      <c r="GY395" t="s">
        <v>245</v>
      </c>
      <c r="HE395" t="s">
        <v>247</v>
      </c>
      <c r="HF395" t="s">
        <v>223</v>
      </c>
      <c r="HG395" t="s">
        <v>231</v>
      </c>
      <c r="HH395" t="s">
        <v>223</v>
      </c>
      <c r="HI395" t="s">
        <v>247</v>
      </c>
      <c r="HJ395" t="s">
        <v>223</v>
      </c>
      <c r="HK395" t="s">
        <v>266</v>
      </c>
      <c r="HO395" t="s">
        <v>231</v>
      </c>
      <c r="HP395" t="s">
        <v>223</v>
      </c>
      <c r="HQ395" t="s">
        <v>231</v>
      </c>
      <c r="HR395" t="s">
        <v>223</v>
      </c>
      <c r="HU395" t="s">
        <v>231</v>
      </c>
      <c r="HV395" t="s">
        <v>223</v>
      </c>
      <c r="HW395" t="s">
        <v>563</v>
      </c>
      <c r="HX395" t="s">
        <v>236</v>
      </c>
      <c r="IA395" t="s">
        <v>231</v>
      </c>
      <c r="IB395" t="s">
        <v>250</v>
      </c>
      <c r="IC395">
        <v>0.79700000000000004</v>
      </c>
      <c r="ID395">
        <v>1.4950000000000001</v>
      </c>
      <c r="IE395">
        <v>2.3919999999999999</v>
      </c>
      <c r="IF395">
        <v>5.9790000000000001</v>
      </c>
      <c r="IG395" s="459" t="s">
        <v>451</v>
      </c>
      <c r="IH395" t="s">
        <v>267</v>
      </c>
    </row>
    <row r="396" spans="1:242" ht="159.5" x14ac:dyDescent="0.35">
      <c r="A396" s="310" t="s">
        <v>537</v>
      </c>
      <c r="B396" t="s">
        <v>2231</v>
      </c>
      <c r="C396" s="310" t="s">
        <v>2232</v>
      </c>
      <c r="D396" s="316"/>
      <c r="F396" t="s">
        <v>2233</v>
      </c>
      <c r="I396" s="310" t="s">
        <v>2230</v>
      </c>
      <c r="M396" s="313"/>
      <c r="O396"/>
      <c r="P396" s="382"/>
      <c r="Q396"/>
      <c r="U396"/>
      <c r="V396" s="313"/>
      <c r="W396"/>
      <c r="X396"/>
      <c r="Z396"/>
      <c r="AB396"/>
      <c r="AD396" s="8" t="s">
        <v>230</v>
      </c>
      <c r="AF396" s="8" t="s">
        <v>230</v>
      </c>
      <c r="AG396"/>
      <c r="AH396"/>
      <c r="AI396"/>
      <c r="AJ396" t="s">
        <v>221</v>
      </c>
      <c r="AK396">
        <v>0</v>
      </c>
      <c r="AL396">
        <v>0.5</v>
      </c>
      <c r="AM396" t="s">
        <v>221</v>
      </c>
      <c r="AN396" t="s">
        <v>225</v>
      </c>
      <c r="AO396" t="s">
        <v>221</v>
      </c>
      <c r="AP396" t="s">
        <v>225</v>
      </c>
      <c r="AQ396" t="s">
        <v>221</v>
      </c>
      <c r="AR396" t="s">
        <v>225</v>
      </c>
      <c r="AS396" t="s">
        <v>221</v>
      </c>
      <c r="AT396" t="s">
        <v>236</v>
      </c>
      <c r="AU396" t="s">
        <v>220</v>
      </c>
      <c r="AV396"/>
      <c r="AW396" s="313" t="s">
        <v>220</v>
      </c>
      <c r="AX396" t="s">
        <v>226</v>
      </c>
      <c r="AY396" s="313" t="s">
        <v>220</v>
      </c>
      <c r="AZ396" s="313">
        <v>0.28399999999999997</v>
      </c>
      <c r="BB396" s="313" t="s">
        <v>220</v>
      </c>
      <c r="BC396">
        <v>0.155</v>
      </c>
      <c r="BD396" t="s">
        <v>220</v>
      </c>
      <c r="BE396">
        <v>0.22600000000000001</v>
      </c>
      <c r="BF396" s="2" t="s">
        <v>220</v>
      </c>
      <c r="BG396" s="2" t="s">
        <v>273</v>
      </c>
      <c r="BH396" s="2" t="s">
        <v>274</v>
      </c>
      <c r="BI396" s="2" t="s">
        <v>275</v>
      </c>
      <c r="BM396"/>
      <c r="BP396" s="8"/>
      <c r="BQ396" t="s">
        <v>230</v>
      </c>
      <c r="BR396" t="s">
        <v>230</v>
      </c>
      <c r="BU396" t="s">
        <v>317</v>
      </c>
      <c r="BV396" t="s">
        <v>236</v>
      </c>
      <c r="BW396" t="s">
        <v>232</v>
      </c>
      <c r="BX396" t="s">
        <v>276</v>
      </c>
      <c r="BY396" t="s">
        <v>257</v>
      </c>
      <c r="BZ396">
        <v>0.6</v>
      </c>
      <c r="CA396" t="s">
        <v>372</v>
      </c>
      <c r="CF396" t="s">
        <v>220</v>
      </c>
      <c r="CG396">
        <v>0.41899999999999998</v>
      </c>
      <c r="CH396" t="s">
        <v>257</v>
      </c>
      <c r="CI396">
        <v>0.56399999999999995</v>
      </c>
      <c r="CK396"/>
      <c r="CL396"/>
      <c r="CM396"/>
      <c r="CS396" s="8"/>
      <c r="CW396" t="s">
        <v>227</v>
      </c>
      <c r="CX396" t="s">
        <v>257</v>
      </c>
      <c r="CY396" t="s">
        <v>231</v>
      </c>
      <c r="CZ396" t="s">
        <v>220</v>
      </c>
      <c r="DA396" t="s">
        <v>220</v>
      </c>
      <c r="DB396" t="s">
        <v>227</v>
      </c>
      <c r="DC396"/>
      <c r="DD396"/>
      <c r="DE396"/>
      <c r="DF396"/>
      <c r="DG396"/>
      <c r="DH396" s="323"/>
      <c r="DI396" s="323"/>
      <c r="DJ396" s="323"/>
      <c r="DL396" t="s">
        <v>257</v>
      </c>
      <c r="DM396" t="s">
        <v>257</v>
      </c>
      <c r="DN396" t="s">
        <v>227</v>
      </c>
      <c r="DO396" t="s">
        <v>220</v>
      </c>
      <c r="DP396" t="s">
        <v>220</v>
      </c>
      <c r="DS396" s="338">
        <v>205.154</v>
      </c>
      <c r="DT396" s="8" t="s">
        <v>394</v>
      </c>
      <c r="DU396" s="338">
        <v>3613.4830000000002</v>
      </c>
      <c r="DV396" s="8" t="s">
        <v>394</v>
      </c>
      <c r="DW396">
        <v>45.4</v>
      </c>
      <c r="DX396" t="s">
        <v>238</v>
      </c>
      <c r="DY396"/>
      <c r="DZ396" t="s">
        <v>235</v>
      </c>
      <c r="EA396"/>
      <c r="EB396"/>
      <c r="ED396" s="410"/>
      <c r="EE396" s="1"/>
      <c r="EG396" s="410"/>
      <c r="EI396" s="410"/>
      <c r="EK396" s="1"/>
      <c r="EM396"/>
      <c r="EQ396" s="344"/>
      <c r="EU396" s="344"/>
      <c r="EW396" s="409"/>
      <c r="EY396" s="1"/>
      <c r="FA396">
        <v>335.53</v>
      </c>
      <c r="FB396" t="s">
        <v>225</v>
      </c>
      <c r="FC396" s="7">
        <v>532.47595361299557</v>
      </c>
      <c r="FD396" s="357" t="s">
        <v>225</v>
      </c>
      <c r="FE396" s="8">
        <v>555.6483128371267</v>
      </c>
      <c r="FF396" t="s">
        <v>237</v>
      </c>
      <c r="FH396" s="9">
        <v>761.72814046868143</v>
      </c>
      <c r="FI396" s="9" t="s">
        <v>225</v>
      </c>
      <c r="FJ396">
        <v>15.7</v>
      </c>
      <c r="FK396" t="s">
        <v>238</v>
      </c>
      <c r="FL396">
        <v>154</v>
      </c>
      <c r="FM396">
        <v>1218.4283627084005</v>
      </c>
      <c r="FN396" s="5" t="s">
        <v>237</v>
      </c>
      <c r="FP396" s="6">
        <v>1.5699999999999998</v>
      </c>
      <c r="FQ396" t="s">
        <v>450</v>
      </c>
      <c r="FS396" t="s">
        <v>240</v>
      </c>
      <c r="FT396" t="e">
        <f>FQ396=#REF!</f>
        <v>#REF!</v>
      </c>
      <c r="FU396" s="8">
        <v>1</v>
      </c>
      <c r="FV396" s="8">
        <v>10</v>
      </c>
      <c r="FW396" s="8">
        <v>10</v>
      </c>
      <c r="FX396" s="8">
        <v>10</v>
      </c>
      <c r="FY396" s="8">
        <v>3</v>
      </c>
      <c r="FZ396">
        <f t="shared" si="6"/>
        <v>3000</v>
      </c>
      <c r="GA396" s="7" t="s">
        <v>241</v>
      </c>
      <c r="GB396" s="7" t="s">
        <v>241</v>
      </c>
      <c r="GC396" s="6">
        <v>30</v>
      </c>
      <c r="GD396" s="348" t="s">
        <v>242</v>
      </c>
      <c r="GF396" s="6">
        <v>5.2333333333333329E-3</v>
      </c>
      <c r="GH396" s="7"/>
      <c r="GI396" s="445"/>
      <c r="GJ396" s="445"/>
      <c r="GK396" s="445"/>
      <c r="GL396" s="445"/>
      <c r="GM396" s="461" t="s">
        <v>790</v>
      </c>
      <c r="GN396" s="6">
        <v>0.2</v>
      </c>
      <c r="GO396" s="6">
        <v>0.375</v>
      </c>
      <c r="GP396" s="6">
        <v>0.6</v>
      </c>
      <c r="GQ396" s="6">
        <v>1.5</v>
      </c>
      <c r="GR396" s="461" t="s">
        <v>790</v>
      </c>
      <c r="GU396" t="s">
        <v>365</v>
      </c>
      <c r="GV396" t="s">
        <v>223</v>
      </c>
      <c r="GW396" t="s">
        <v>244</v>
      </c>
      <c r="GX396" t="s">
        <v>236</v>
      </c>
      <c r="GY396" t="s">
        <v>245</v>
      </c>
      <c r="HE396" t="s">
        <v>247</v>
      </c>
      <c r="HF396" t="s">
        <v>223</v>
      </c>
      <c r="HG396" t="s">
        <v>231</v>
      </c>
      <c r="HH396" t="s">
        <v>223</v>
      </c>
      <c r="HI396" t="s">
        <v>247</v>
      </c>
      <c r="HJ396" t="s">
        <v>223</v>
      </c>
      <c r="HK396" t="s">
        <v>248</v>
      </c>
      <c r="HO396" t="s">
        <v>231</v>
      </c>
      <c r="HP396" t="s">
        <v>223</v>
      </c>
      <c r="HQ396" t="s">
        <v>231</v>
      </c>
      <c r="HR396" t="s">
        <v>223</v>
      </c>
      <c r="HU396" t="s">
        <v>231</v>
      </c>
      <c r="HV396" t="s">
        <v>223</v>
      </c>
      <c r="HW396" t="s">
        <v>563</v>
      </c>
      <c r="HX396" t="s">
        <v>236</v>
      </c>
      <c r="IA396" t="s">
        <v>231</v>
      </c>
      <c r="IB396" t="s">
        <v>250</v>
      </c>
      <c r="IC396" s="445"/>
      <c r="ID396" s="445"/>
      <c r="IE396" s="445"/>
      <c r="IF396" s="445"/>
      <c r="IG396" s="459" t="s">
        <v>451</v>
      </c>
      <c r="IH396" t="s">
        <v>235</v>
      </c>
    </row>
    <row r="397" spans="1:242" x14ac:dyDescent="0.35">
      <c r="A397" s="310" t="s">
        <v>2234</v>
      </c>
      <c r="B397" t="s">
        <v>2235</v>
      </c>
      <c r="C397" s="310" t="s">
        <v>2236</v>
      </c>
      <c r="D397" s="316"/>
      <c r="F397" t="s">
        <v>2237</v>
      </c>
      <c r="I397" s="310" t="s">
        <v>2238</v>
      </c>
      <c r="M397" s="313"/>
      <c r="O397"/>
      <c r="P397" s="381"/>
      <c r="Q397"/>
      <c r="T397" s="8"/>
      <c r="U397"/>
      <c r="V397" s="313"/>
      <c r="W397"/>
      <c r="X397"/>
      <c r="Z397"/>
      <c r="AB397"/>
      <c r="AD397" s="8" t="s">
        <v>230</v>
      </c>
      <c r="AF397" s="8" t="s">
        <v>230</v>
      </c>
      <c r="AG397"/>
      <c r="AH397"/>
      <c r="AI397"/>
      <c r="AJ397" t="s">
        <v>221</v>
      </c>
      <c r="AK397">
        <v>0</v>
      </c>
      <c r="AL397">
        <v>0.6</v>
      </c>
      <c r="AM397" t="s">
        <v>221</v>
      </c>
      <c r="AN397" t="s">
        <v>225</v>
      </c>
      <c r="AO397" t="s">
        <v>224</v>
      </c>
      <c r="AP397" t="s">
        <v>225</v>
      </c>
      <c r="AQ397" t="s">
        <v>221</v>
      </c>
      <c r="AR397" t="s">
        <v>225</v>
      </c>
      <c r="AS397" t="s">
        <v>221</v>
      </c>
      <c r="AT397" t="s">
        <v>225</v>
      </c>
      <c r="AU397" t="s">
        <v>220</v>
      </c>
      <c r="AV397"/>
      <c r="AW397" s="313" t="s">
        <v>220</v>
      </c>
      <c r="AX397" t="s">
        <v>226</v>
      </c>
      <c r="AY397" s="313" t="s">
        <v>220</v>
      </c>
      <c r="AZ397" s="313">
        <v>0.22600000000000001</v>
      </c>
      <c r="BB397" s="313" t="s">
        <v>220</v>
      </c>
      <c r="BC397">
        <v>8.4000000000000005E-2</v>
      </c>
      <c r="BD397" t="s">
        <v>220</v>
      </c>
      <c r="BE397">
        <v>0.111</v>
      </c>
      <c r="BF397" s="2" t="s">
        <v>220</v>
      </c>
      <c r="BG397" s="2" t="s">
        <v>273</v>
      </c>
      <c r="BH397" s="2" t="s">
        <v>274</v>
      </c>
      <c r="BI397" s="2" t="s">
        <v>275</v>
      </c>
      <c r="BM397"/>
      <c r="BP397" s="8"/>
      <c r="BQ397" t="s">
        <v>230</v>
      </c>
      <c r="BR397" t="s">
        <v>230</v>
      </c>
      <c r="BU397" t="s">
        <v>317</v>
      </c>
      <c r="BV397" t="s">
        <v>236</v>
      </c>
      <c r="BW397" t="s">
        <v>232</v>
      </c>
      <c r="BX397" t="s">
        <v>276</v>
      </c>
      <c r="BY397" t="s">
        <v>220</v>
      </c>
      <c r="BZ397">
        <v>0.41599999999999998</v>
      </c>
      <c r="CA397" t="s">
        <v>234</v>
      </c>
      <c r="CF397" t="s">
        <v>220</v>
      </c>
      <c r="CG397">
        <v>0.39500000000000002</v>
      </c>
      <c r="CH397" t="s">
        <v>220</v>
      </c>
      <c r="CI397">
        <v>0.25800000000000001</v>
      </c>
      <c r="CK397"/>
      <c r="CL397"/>
      <c r="CM397"/>
      <c r="CS397" s="8"/>
      <c r="CW397" t="s">
        <v>227</v>
      </c>
      <c r="CX397" t="s">
        <v>220</v>
      </c>
      <c r="CY397" t="s">
        <v>231</v>
      </c>
      <c r="CZ397" t="s">
        <v>220</v>
      </c>
      <c r="DA397" t="s">
        <v>227</v>
      </c>
      <c r="DB397" t="s">
        <v>227</v>
      </c>
      <c r="DC397"/>
      <c r="DD397"/>
      <c r="DE397"/>
      <c r="DF397"/>
      <c r="DG397"/>
      <c r="DH397" s="323"/>
      <c r="DI397" s="323"/>
      <c r="DJ397" s="323"/>
      <c r="DL397" t="s">
        <v>257</v>
      </c>
      <c r="DM397" t="s">
        <v>220</v>
      </c>
      <c r="DN397" t="s">
        <v>227</v>
      </c>
      <c r="DO397" t="s">
        <v>220</v>
      </c>
      <c r="DP397" t="s">
        <v>227</v>
      </c>
      <c r="DS397" s="309">
        <v>205.88900000000001</v>
      </c>
      <c r="DU397" s="309">
        <v>378.41699999999997</v>
      </c>
      <c r="DW397"/>
      <c r="DX397" t="s">
        <v>235</v>
      </c>
      <c r="DY397"/>
      <c r="DZ397" t="s">
        <v>235</v>
      </c>
      <c r="EA397"/>
      <c r="EB397"/>
      <c r="ED397" s="410"/>
      <c r="EE397" s="1"/>
      <c r="EG397" s="410"/>
      <c r="EI397" s="410"/>
      <c r="EK397" s="1"/>
      <c r="EM397"/>
      <c r="EQ397" s="344"/>
      <c r="EU397" s="344"/>
      <c r="EW397" s="409"/>
      <c r="EY397" s="1"/>
      <c r="FA397">
        <v>15.64</v>
      </c>
      <c r="FB397" t="s">
        <v>225</v>
      </c>
      <c r="FC397" s="7">
        <v>59.951492584815163</v>
      </c>
      <c r="FD397" s="357" t="s">
        <v>236</v>
      </c>
      <c r="FE397" s="8">
        <v>17.86898976180429</v>
      </c>
      <c r="FF397" t="s">
        <v>237</v>
      </c>
      <c r="FH397" s="9">
        <v>105.09934271862174</v>
      </c>
      <c r="FI397" s="9" t="s">
        <v>236</v>
      </c>
      <c r="FK397" t="s">
        <v>235</v>
      </c>
      <c r="FL397">
        <v>57.1</v>
      </c>
      <c r="FM397">
        <v>43.062575432117363</v>
      </c>
      <c r="FN397" s="5" t="s">
        <v>237</v>
      </c>
      <c r="FP397" s="6">
        <v>2.1531287716058682</v>
      </c>
      <c r="FQ397" t="s">
        <v>277</v>
      </c>
      <c r="FS397" t="s">
        <v>240</v>
      </c>
      <c r="FT397" t="e">
        <f>FQ397=#REF!</f>
        <v>#REF!</v>
      </c>
      <c r="FU397" s="8">
        <v>2</v>
      </c>
      <c r="FV397" s="8">
        <v>10</v>
      </c>
      <c r="FW397" s="8">
        <v>10</v>
      </c>
      <c r="FX397" s="8">
        <v>10</v>
      </c>
      <c r="FY397" s="8">
        <v>3</v>
      </c>
      <c r="FZ397">
        <f t="shared" si="6"/>
        <v>6000</v>
      </c>
      <c r="GA397" s="7" t="s">
        <v>241</v>
      </c>
      <c r="GB397" s="7" t="s">
        <v>241</v>
      </c>
      <c r="GC397" s="6">
        <v>30</v>
      </c>
      <c r="GD397" s="348" t="s">
        <v>242</v>
      </c>
      <c r="GF397" s="6">
        <v>1.9033333333333333E-2</v>
      </c>
      <c r="GH397" s="7"/>
      <c r="GI397" s="445"/>
      <c r="GJ397" s="445"/>
      <c r="GK397" s="445"/>
      <c r="GL397" s="445"/>
      <c r="GM397" s="456"/>
      <c r="GN397" s="6">
        <v>0.2</v>
      </c>
      <c r="GO397" s="6">
        <v>0.375</v>
      </c>
      <c r="GP397" s="6">
        <v>0.6</v>
      </c>
      <c r="GQ397" s="6">
        <v>1.5</v>
      </c>
      <c r="GR397" s="6" t="s">
        <v>230</v>
      </c>
      <c r="GU397" t="s">
        <v>243</v>
      </c>
      <c r="GV397" t="s">
        <v>236</v>
      </c>
      <c r="GW397" t="s">
        <v>244</v>
      </c>
      <c r="GX397" t="s">
        <v>236</v>
      </c>
      <c r="GY397" t="s">
        <v>245</v>
      </c>
      <c r="HE397" t="s">
        <v>246</v>
      </c>
      <c r="HF397" t="s">
        <v>236</v>
      </c>
      <c r="HG397" t="s">
        <v>231</v>
      </c>
      <c r="HH397" t="s">
        <v>225</v>
      </c>
      <c r="HI397" t="s">
        <v>247</v>
      </c>
      <c r="HJ397" t="s">
        <v>225</v>
      </c>
      <c r="HK397" t="s">
        <v>266</v>
      </c>
      <c r="HL397" t="s">
        <v>231</v>
      </c>
      <c r="HM397" t="s">
        <v>231</v>
      </c>
      <c r="HO397" t="s">
        <v>231</v>
      </c>
      <c r="HP397" t="s">
        <v>249</v>
      </c>
      <c r="HQ397" t="s">
        <v>231</v>
      </c>
      <c r="HR397" t="s">
        <v>249</v>
      </c>
      <c r="HU397" t="s">
        <v>231</v>
      </c>
      <c r="HV397" t="s">
        <v>223</v>
      </c>
      <c r="HW397" t="s">
        <v>246</v>
      </c>
      <c r="HX397" t="s">
        <v>236</v>
      </c>
      <c r="IA397" t="s">
        <v>231</v>
      </c>
      <c r="IB397" t="s">
        <v>250</v>
      </c>
      <c r="IC397" s="445"/>
      <c r="ID397" s="445"/>
      <c r="IE397" s="445"/>
      <c r="IF397" s="445"/>
      <c r="IH397" t="s">
        <v>235</v>
      </c>
    </row>
    <row r="398" spans="1:242" x14ac:dyDescent="0.35">
      <c r="A398" s="310" t="s">
        <v>2239</v>
      </c>
      <c r="B398" t="s">
        <v>2240</v>
      </c>
      <c r="C398" s="310" t="s">
        <v>2241</v>
      </c>
      <c r="D398" s="316"/>
      <c r="F398" t="s">
        <v>2242</v>
      </c>
      <c r="I398" s="310" t="s">
        <v>2243</v>
      </c>
      <c r="M398" s="313"/>
      <c r="O398"/>
      <c r="P398" s="381"/>
      <c r="Q398"/>
      <c r="T398" s="8"/>
      <c r="U398"/>
      <c r="V398" s="313"/>
      <c r="W398"/>
      <c r="X398"/>
      <c r="Z398"/>
      <c r="AB398"/>
      <c r="AD398" s="8" t="s">
        <v>230</v>
      </c>
      <c r="AF398" s="8" t="s">
        <v>230</v>
      </c>
      <c r="AG398"/>
      <c r="AH398"/>
      <c r="AI398"/>
      <c r="AJ398" t="s">
        <v>221</v>
      </c>
      <c r="AK398">
        <v>0</v>
      </c>
      <c r="AL398">
        <v>0.82499999999999996</v>
      </c>
      <c r="AM398" t="s">
        <v>221</v>
      </c>
      <c r="AN398" t="s">
        <v>223</v>
      </c>
      <c r="AO398" t="s">
        <v>221</v>
      </c>
      <c r="AP398" t="s">
        <v>223</v>
      </c>
      <c r="AQ398" t="s">
        <v>221</v>
      </c>
      <c r="AR398" t="s">
        <v>225</v>
      </c>
      <c r="AS398" t="s">
        <v>221</v>
      </c>
      <c r="AT398" t="s">
        <v>223</v>
      </c>
      <c r="AU398" t="s">
        <v>272</v>
      </c>
      <c r="AV398"/>
      <c r="AW398" s="313" t="s">
        <v>227</v>
      </c>
      <c r="AX398" t="s">
        <v>226</v>
      </c>
      <c r="AY398" s="313" t="s">
        <v>227</v>
      </c>
      <c r="AZ398" s="313">
        <v>0.19700000000000001</v>
      </c>
      <c r="BB398" s="313" t="s">
        <v>227</v>
      </c>
      <c r="BC398">
        <v>0.11799999999999999</v>
      </c>
      <c r="BD398" t="s">
        <v>227</v>
      </c>
      <c r="BE398">
        <v>0.107</v>
      </c>
      <c r="BF398" s="2" t="s">
        <v>220</v>
      </c>
      <c r="BG398" s="2" t="s">
        <v>273</v>
      </c>
      <c r="BH398" s="2" t="s">
        <v>274</v>
      </c>
      <c r="BI398" s="2" t="s">
        <v>275</v>
      </c>
      <c r="BM398"/>
      <c r="BP398" s="8"/>
      <c r="BQ398" t="s">
        <v>230</v>
      </c>
      <c r="BR398" t="s">
        <v>230</v>
      </c>
      <c r="BU398" t="s">
        <v>231</v>
      </c>
      <c r="BV398" t="s">
        <v>223</v>
      </c>
      <c r="BW398" t="s">
        <v>232</v>
      </c>
      <c r="BX398" t="s">
        <v>276</v>
      </c>
      <c r="BY398" t="s">
        <v>227</v>
      </c>
      <c r="BZ398">
        <v>0.36399999999999999</v>
      </c>
      <c r="CA398" t="s">
        <v>234</v>
      </c>
      <c r="CF398" t="s">
        <v>227</v>
      </c>
      <c r="CG398">
        <v>6.6699999999999995E-2</v>
      </c>
      <c r="CH398" t="s">
        <v>227</v>
      </c>
      <c r="CI398">
        <v>0.151</v>
      </c>
      <c r="CK398"/>
      <c r="CL398"/>
      <c r="CM398"/>
      <c r="CS398" s="8"/>
      <c r="CW398" t="s">
        <v>227</v>
      </c>
      <c r="CX398" t="s">
        <v>227</v>
      </c>
      <c r="CY398" t="s">
        <v>231</v>
      </c>
      <c r="CZ398" t="s">
        <v>227</v>
      </c>
      <c r="DA398" t="s">
        <v>227</v>
      </c>
      <c r="DB398" t="s">
        <v>227</v>
      </c>
      <c r="DC398"/>
      <c r="DD398"/>
      <c r="DE398"/>
      <c r="DF398"/>
      <c r="DG398"/>
      <c r="DH398" s="323"/>
      <c r="DI398" s="323"/>
      <c r="DJ398" s="323"/>
      <c r="DL398" t="s">
        <v>227</v>
      </c>
      <c r="DM398" t="s">
        <v>227</v>
      </c>
      <c r="DN398" t="s">
        <v>227</v>
      </c>
      <c r="DO398" t="s">
        <v>227</v>
      </c>
      <c r="DP398" t="s">
        <v>227</v>
      </c>
      <c r="DS398" s="309">
        <v>349.56200000000001</v>
      </c>
      <c r="DU398" s="309">
        <v>249.37799999999999</v>
      </c>
      <c r="DW398"/>
      <c r="DX398" t="s">
        <v>235</v>
      </c>
      <c r="DY398"/>
      <c r="DZ398" t="s">
        <v>235</v>
      </c>
      <c r="EA398"/>
      <c r="EB398"/>
      <c r="ED398" s="410"/>
      <c r="EE398" s="1"/>
      <c r="EG398" s="410"/>
      <c r="EI398" s="410"/>
      <c r="EK398" s="1"/>
      <c r="EM398"/>
      <c r="EQ398" s="344"/>
      <c r="EU398" s="344"/>
      <c r="EW398" s="409"/>
      <c r="EY398" s="1"/>
      <c r="FA398">
        <v>29.24</v>
      </c>
      <c r="FB398" t="s">
        <v>225</v>
      </c>
      <c r="FC398" s="7">
        <v>109.16916788093651</v>
      </c>
      <c r="FD398" s="357" t="s">
        <v>236</v>
      </c>
      <c r="FE398" s="8">
        <v>10.752266003927266</v>
      </c>
      <c r="FF398" t="s">
        <v>237</v>
      </c>
      <c r="FH398" s="9">
        <v>99.083194489276792</v>
      </c>
      <c r="FI398" s="9" t="s">
        <v>236</v>
      </c>
      <c r="FK398" t="s">
        <v>235</v>
      </c>
      <c r="FL398">
        <v>38.1</v>
      </c>
      <c r="FM398">
        <v>32.666304045806889</v>
      </c>
      <c r="FN398" s="5" t="s">
        <v>237</v>
      </c>
      <c r="FP398" s="6">
        <v>1.6333152022903445</v>
      </c>
      <c r="FQ398" t="s">
        <v>277</v>
      </c>
      <c r="FS398" t="s">
        <v>240</v>
      </c>
      <c r="FT398" t="e">
        <f>FQ398=#REF!</f>
        <v>#REF!</v>
      </c>
      <c r="FU398" s="8">
        <v>2</v>
      </c>
      <c r="FV398" s="8">
        <v>10</v>
      </c>
      <c r="FW398" s="8">
        <v>10</v>
      </c>
      <c r="FX398" s="8">
        <v>10</v>
      </c>
      <c r="FY398" s="8">
        <v>3</v>
      </c>
      <c r="FZ398">
        <f t="shared" si="6"/>
        <v>6000</v>
      </c>
      <c r="GA398" s="7" t="s">
        <v>241</v>
      </c>
      <c r="GB398" s="7" t="s">
        <v>241</v>
      </c>
      <c r="GC398" s="6">
        <v>30</v>
      </c>
      <c r="GD398" s="348" t="s">
        <v>242</v>
      </c>
      <c r="GF398" s="6">
        <v>1.2699999999999999E-2</v>
      </c>
      <c r="GH398" s="7"/>
      <c r="GI398" s="445"/>
      <c r="GJ398" s="445"/>
      <c r="GK398" s="445"/>
      <c r="GL398" s="445"/>
      <c r="GM398" s="456"/>
      <c r="GN398" s="6">
        <v>0.2</v>
      </c>
      <c r="GO398" s="6">
        <v>0.375</v>
      </c>
      <c r="GP398" s="6">
        <v>0.6</v>
      </c>
      <c r="GQ398" s="6">
        <v>1.5</v>
      </c>
      <c r="GR398" s="6" t="s">
        <v>230</v>
      </c>
      <c r="GU398" t="s">
        <v>243</v>
      </c>
      <c r="GV398" t="s">
        <v>236</v>
      </c>
      <c r="GW398" t="s">
        <v>244</v>
      </c>
      <c r="GX398" t="s">
        <v>236</v>
      </c>
      <c r="GY398" t="s">
        <v>245</v>
      </c>
      <c r="HE398" t="s">
        <v>246</v>
      </c>
      <c r="HF398" t="s">
        <v>236</v>
      </c>
      <c r="HG398" t="s">
        <v>231</v>
      </c>
      <c r="HH398" t="s">
        <v>225</v>
      </c>
      <c r="HI398" t="s">
        <v>247</v>
      </c>
      <c r="HJ398" t="s">
        <v>223</v>
      </c>
      <c r="HK398" t="s">
        <v>266</v>
      </c>
      <c r="HO398" t="s">
        <v>231</v>
      </c>
      <c r="HP398" t="s">
        <v>223</v>
      </c>
      <c r="HQ398" t="s">
        <v>231</v>
      </c>
      <c r="HR398" t="s">
        <v>223</v>
      </c>
      <c r="HU398" t="s">
        <v>231</v>
      </c>
      <c r="HV398" t="s">
        <v>223</v>
      </c>
      <c r="HW398" t="s">
        <v>246</v>
      </c>
      <c r="HX398" t="s">
        <v>236</v>
      </c>
      <c r="IA398" t="s">
        <v>231</v>
      </c>
      <c r="IB398" t="s">
        <v>250</v>
      </c>
      <c r="IC398" s="445"/>
      <c r="ID398" s="445"/>
      <c r="IE398" s="445"/>
      <c r="IF398" s="445"/>
      <c r="IH398" t="s">
        <v>235</v>
      </c>
    </row>
    <row r="399" spans="1:242" x14ac:dyDescent="0.35">
      <c r="A399" s="310" t="s">
        <v>2244</v>
      </c>
      <c r="B399" t="s">
        <v>2245</v>
      </c>
      <c r="C399" s="310" t="s">
        <v>2246</v>
      </c>
      <c r="D399" s="316"/>
      <c r="F399" t="s">
        <v>2247</v>
      </c>
      <c r="I399" s="310" t="s">
        <v>2248</v>
      </c>
      <c r="M399" s="313"/>
      <c r="O399"/>
      <c r="P399" s="381"/>
      <c r="Q399"/>
      <c r="T399" s="8"/>
      <c r="U399"/>
      <c r="V399" s="313"/>
      <c r="W399"/>
      <c r="X399"/>
      <c r="Z399"/>
      <c r="AB399"/>
      <c r="AD399" s="8" t="s">
        <v>230</v>
      </c>
      <c r="AF399" s="8" t="s">
        <v>230</v>
      </c>
      <c r="AG399"/>
      <c r="AH399"/>
      <c r="AI399"/>
      <c r="AJ399" t="s">
        <v>221</v>
      </c>
      <c r="AK399">
        <v>0.05</v>
      </c>
      <c r="AL399">
        <v>0.6</v>
      </c>
      <c r="AM399" s="442" t="s">
        <v>414</v>
      </c>
      <c r="AN399" t="s">
        <v>236</v>
      </c>
      <c r="AO399" t="s">
        <v>221</v>
      </c>
      <c r="AP399" t="s">
        <v>223</v>
      </c>
      <c r="AQ399" t="s">
        <v>221</v>
      </c>
      <c r="AR399" t="s">
        <v>225</v>
      </c>
      <c r="AS399" t="s">
        <v>221</v>
      </c>
      <c r="AT399" t="s">
        <v>223</v>
      </c>
      <c r="AU399" t="s">
        <v>220</v>
      </c>
      <c r="AV399"/>
      <c r="AW399" s="313" t="s">
        <v>220</v>
      </c>
      <c r="AX399" t="s">
        <v>226</v>
      </c>
      <c r="AY399" s="313" t="s">
        <v>220</v>
      </c>
      <c r="AZ399" s="313">
        <v>0.36</v>
      </c>
      <c r="BA399" s="3" t="s">
        <v>415</v>
      </c>
      <c r="BB399" s="313" t="s">
        <v>220</v>
      </c>
      <c r="BC399">
        <v>0.23899999999999999</v>
      </c>
      <c r="BD399" t="s">
        <v>220</v>
      </c>
      <c r="BE399">
        <v>0.16</v>
      </c>
      <c r="BF399" s="2" t="s">
        <v>220</v>
      </c>
      <c r="BG399" s="3" t="s">
        <v>416</v>
      </c>
      <c r="BH399" s="2" t="s">
        <v>274</v>
      </c>
      <c r="BI399" s="2" t="s">
        <v>275</v>
      </c>
      <c r="BM399"/>
      <c r="BP399" s="8"/>
      <c r="BQ399" t="s">
        <v>230</v>
      </c>
      <c r="BR399" t="s">
        <v>230</v>
      </c>
      <c r="BU399" t="s">
        <v>231</v>
      </c>
      <c r="BV399" t="s">
        <v>223</v>
      </c>
      <c r="BW399" t="s">
        <v>232</v>
      </c>
      <c r="BX399" t="s">
        <v>284</v>
      </c>
      <c r="BY399" t="s">
        <v>257</v>
      </c>
      <c r="BZ399">
        <v>0.622</v>
      </c>
      <c r="CA399" t="s">
        <v>234</v>
      </c>
      <c r="CF399" t="s">
        <v>220</v>
      </c>
      <c r="CG399">
        <v>0.36499999999999999</v>
      </c>
      <c r="CH399" t="s">
        <v>220</v>
      </c>
      <c r="CI399">
        <v>0.41099999999999998</v>
      </c>
      <c r="CK399"/>
      <c r="CL399"/>
      <c r="CM399"/>
      <c r="CS399" s="8"/>
      <c r="CW399" t="s">
        <v>227</v>
      </c>
      <c r="CX399" t="s">
        <v>257</v>
      </c>
      <c r="CY399" t="s">
        <v>231</v>
      </c>
      <c r="CZ399" t="s">
        <v>220</v>
      </c>
      <c r="DA399" t="s">
        <v>220</v>
      </c>
      <c r="DB399" t="s">
        <v>220</v>
      </c>
      <c r="DC399"/>
      <c r="DD399"/>
      <c r="DE399"/>
      <c r="DF399"/>
      <c r="DG399"/>
      <c r="DH399" s="323"/>
      <c r="DI399" s="323"/>
      <c r="DJ399" s="323"/>
      <c r="DL399" t="s">
        <v>257</v>
      </c>
      <c r="DM399" t="s">
        <v>220</v>
      </c>
      <c r="DN399" t="s">
        <v>257</v>
      </c>
      <c r="DO399" t="s">
        <v>220</v>
      </c>
      <c r="DP399" t="s">
        <v>220</v>
      </c>
      <c r="DS399" s="309">
        <v>101.879</v>
      </c>
      <c r="DU399" s="309">
        <v>412.286</v>
      </c>
      <c r="DW399">
        <v>2.59</v>
      </c>
      <c r="DX399" t="s">
        <v>238</v>
      </c>
      <c r="DY399">
        <v>32.700000000000003</v>
      </c>
      <c r="DZ399" t="s">
        <v>238</v>
      </c>
      <c r="EA399"/>
      <c r="EB399"/>
      <c r="ED399" s="410"/>
      <c r="EE399" s="1"/>
      <c r="EG399" s="410"/>
      <c r="EI399" s="410"/>
      <c r="EK399" s="1"/>
      <c r="EM399"/>
      <c r="EQ399" s="344"/>
      <c r="EU399" s="344"/>
      <c r="EW399" s="409"/>
      <c r="EY399" s="1"/>
      <c r="FA399">
        <v>68.11</v>
      </c>
      <c r="FB399" t="s">
        <v>225</v>
      </c>
      <c r="FC399" s="7">
        <v>203.32931614677074</v>
      </c>
      <c r="FD399" s="357" t="s">
        <v>225</v>
      </c>
      <c r="FE399" s="8">
        <v>184.75661637660278</v>
      </c>
      <c r="FF399" t="s">
        <v>237</v>
      </c>
      <c r="FH399" s="9">
        <v>147.6386277753864</v>
      </c>
      <c r="FI399" s="9" t="s">
        <v>225</v>
      </c>
      <c r="FJ399">
        <v>567</v>
      </c>
      <c r="FK399" t="s">
        <v>238</v>
      </c>
      <c r="FL399">
        <v>71.599999999999994</v>
      </c>
      <c r="FM399">
        <v>419.75898399100799</v>
      </c>
      <c r="FN399" s="5" t="s">
        <v>237</v>
      </c>
      <c r="FP399" s="6">
        <v>7.1599999999999993</v>
      </c>
      <c r="FQ399" t="s">
        <v>239</v>
      </c>
      <c r="FS399" t="s">
        <v>240</v>
      </c>
      <c r="FT399" t="e">
        <f>FQ399=#REF!</f>
        <v>#REF!</v>
      </c>
      <c r="FU399" s="8">
        <v>1</v>
      </c>
      <c r="FV399" s="8">
        <v>10</v>
      </c>
      <c r="FW399" s="8">
        <v>10</v>
      </c>
      <c r="FX399" s="8">
        <v>10</v>
      </c>
      <c r="FY399" s="8">
        <v>3</v>
      </c>
      <c r="FZ399">
        <f t="shared" si="6"/>
        <v>3000</v>
      </c>
      <c r="GA399" s="7" t="s">
        <v>241</v>
      </c>
      <c r="GB399" s="7" t="s">
        <v>241</v>
      </c>
      <c r="GC399" s="6">
        <v>30</v>
      </c>
      <c r="GD399" s="348" t="s">
        <v>242</v>
      </c>
      <c r="GF399" s="6">
        <v>2.3866666666666661E-2</v>
      </c>
      <c r="GH399" s="7"/>
      <c r="GI399" s="445"/>
      <c r="GJ399" s="445"/>
      <c r="GK399" s="445"/>
      <c r="GL399" s="445"/>
      <c r="GM399" s="456"/>
      <c r="GN399" s="6">
        <v>0.2</v>
      </c>
      <c r="GO399" s="6">
        <v>0.375</v>
      </c>
      <c r="GP399" s="6">
        <v>0.6</v>
      </c>
      <c r="GQ399" s="6">
        <v>1.5</v>
      </c>
      <c r="GR399" s="6" t="s">
        <v>230</v>
      </c>
      <c r="GU399" t="s">
        <v>365</v>
      </c>
      <c r="GV399" t="s">
        <v>223</v>
      </c>
      <c r="GW399" t="s">
        <v>244</v>
      </c>
      <c r="GX399" t="s">
        <v>236</v>
      </c>
      <c r="GY399" t="s">
        <v>245</v>
      </c>
      <c r="HE399" t="s">
        <v>384</v>
      </c>
      <c r="HF399" t="s">
        <v>223</v>
      </c>
      <c r="HG399" t="s">
        <v>231</v>
      </c>
      <c r="HH399" t="s">
        <v>223</v>
      </c>
      <c r="HI399" t="s">
        <v>247</v>
      </c>
      <c r="HJ399" t="s">
        <v>223</v>
      </c>
      <c r="HK399" t="s">
        <v>248</v>
      </c>
      <c r="HO399" t="s">
        <v>231</v>
      </c>
      <c r="HP399" t="s">
        <v>223</v>
      </c>
      <c r="HQ399" t="s">
        <v>231</v>
      </c>
      <c r="HR399" t="s">
        <v>223</v>
      </c>
      <c r="HU399" t="s">
        <v>231</v>
      </c>
      <c r="HV399" t="s">
        <v>223</v>
      </c>
      <c r="HW399" t="s">
        <v>563</v>
      </c>
      <c r="HX399" t="s">
        <v>236</v>
      </c>
      <c r="IA399" t="s">
        <v>231</v>
      </c>
      <c r="IB399" t="s">
        <v>250</v>
      </c>
      <c r="IC399" s="445"/>
      <c r="ID399" s="445"/>
      <c r="IE399" s="445"/>
      <c r="IF399" s="445"/>
      <c r="IH399" t="s">
        <v>235</v>
      </c>
    </row>
    <row r="400" spans="1:242" x14ac:dyDescent="0.35">
      <c r="A400" s="310" t="s">
        <v>2249</v>
      </c>
      <c r="B400" t="s">
        <v>2250</v>
      </c>
      <c r="C400" s="310" t="s">
        <v>2251</v>
      </c>
      <c r="D400" s="316"/>
      <c r="F400" t="s">
        <v>2252</v>
      </c>
      <c r="I400" s="310" t="s">
        <v>2253</v>
      </c>
      <c r="M400" s="313"/>
      <c r="O400"/>
      <c r="P400" s="381"/>
      <c r="Q400"/>
      <c r="T400" s="8"/>
      <c r="U400" t="s">
        <v>221</v>
      </c>
      <c r="V400" s="313"/>
      <c r="W400" t="s">
        <v>220</v>
      </c>
      <c r="X400" t="s">
        <v>220</v>
      </c>
      <c r="Z400" t="s">
        <v>220</v>
      </c>
      <c r="AB400"/>
      <c r="AD400" s="8" t="s">
        <v>222</v>
      </c>
      <c r="AF400" s="8" t="s">
        <v>222</v>
      </c>
      <c r="AG400"/>
      <c r="AH400"/>
      <c r="AI400"/>
      <c r="AJ400" t="s">
        <v>221</v>
      </c>
      <c r="AK400">
        <v>0</v>
      </c>
      <c r="AL400">
        <v>1</v>
      </c>
      <c r="AM400" t="s">
        <v>221</v>
      </c>
      <c r="AN400" t="s">
        <v>223</v>
      </c>
      <c r="AO400" t="s">
        <v>224</v>
      </c>
      <c r="AP400" t="s">
        <v>223</v>
      </c>
      <c r="AQ400" t="s">
        <v>221</v>
      </c>
      <c r="AR400" t="s">
        <v>223</v>
      </c>
      <c r="AS400" t="s">
        <v>221</v>
      </c>
      <c r="AT400"/>
      <c r="AU400" t="s">
        <v>220</v>
      </c>
      <c r="AV400"/>
      <c r="AW400" s="313" t="s">
        <v>220</v>
      </c>
      <c r="AX400" t="s">
        <v>226</v>
      </c>
      <c r="AY400" s="313" t="s">
        <v>220</v>
      </c>
      <c r="AZ400" s="313">
        <v>0.17199999999999999</v>
      </c>
      <c r="BB400" s="313" t="s">
        <v>220</v>
      </c>
      <c r="BC400">
        <v>0.105</v>
      </c>
      <c r="BD400" t="s">
        <v>220</v>
      </c>
      <c r="BE400">
        <v>0.20799999999999999</v>
      </c>
      <c r="BF400" s="2" t="s">
        <v>220</v>
      </c>
      <c r="BH400" s="2" t="s">
        <v>228</v>
      </c>
      <c r="BI400" s="2" t="s">
        <v>229</v>
      </c>
      <c r="BK400" s="2" t="s">
        <v>352</v>
      </c>
      <c r="BM400"/>
      <c r="BP400" s="8"/>
      <c r="BQ400" t="s">
        <v>230</v>
      </c>
      <c r="BR400" t="s">
        <v>230</v>
      </c>
      <c r="BU400" t="s">
        <v>231</v>
      </c>
      <c r="BV400" t="s">
        <v>223</v>
      </c>
      <c r="BW400" t="s">
        <v>232</v>
      </c>
      <c r="BX400" t="s">
        <v>284</v>
      </c>
      <c r="BY400" t="s">
        <v>220</v>
      </c>
      <c r="BZ400">
        <v>0.373</v>
      </c>
      <c r="CA400" t="s">
        <v>234</v>
      </c>
      <c r="CF400" t="s">
        <v>220</v>
      </c>
      <c r="CG400">
        <v>0.38200000000000001</v>
      </c>
      <c r="CH400" t="s">
        <v>220</v>
      </c>
      <c r="CI400">
        <v>0.44500000000000001</v>
      </c>
      <c r="CK400"/>
      <c r="CL400"/>
      <c r="CM400"/>
      <c r="CS400" s="8"/>
      <c r="CW400" t="s">
        <v>220</v>
      </c>
      <c r="CX400" t="s">
        <v>220</v>
      </c>
      <c r="CY400" t="s">
        <v>231</v>
      </c>
      <c r="CZ400" t="s">
        <v>220</v>
      </c>
      <c r="DA400" t="s">
        <v>220</v>
      </c>
      <c r="DB400" t="s">
        <v>220</v>
      </c>
      <c r="DC400"/>
      <c r="DD400"/>
      <c r="DE400"/>
      <c r="DF400"/>
      <c r="DG400"/>
      <c r="DH400" s="323"/>
      <c r="DI400" s="323"/>
      <c r="DJ400" s="323"/>
      <c r="DL400" t="s">
        <v>257</v>
      </c>
      <c r="DM400" t="s">
        <v>220</v>
      </c>
      <c r="DN400" t="s">
        <v>257</v>
      </c>
      <c r="DO400" t="s">
        <v>220</v>
      </c>
      <c r="DP400" t="s">
        <v>220</v>
      </c>
      <c r="DS400" s="309">
        <v>100.396</v>
      </c>
      <c r="DU400" s="309">
        <v>157.727</v>
      </c>
      <c r="DW400">
        <v>6.75</v>
      </c>
      <c r="DX400" t="s">
        <v>238</v>
      </c>
      <c r="DY400">
        <v>391</v>
      </c>
      <c r="DZ400" t="s">
        <v>238</v>
      </c>
      <c r="EA400"/>
      <c r="EB400"/>
      <c r="ED400" s="410"/>
      <c r="EE400" s="1">
        <v>1000</v>
      </c>
      <c r="EF400" s="8" t="s">
        <v>259</v>
      </c>
      <c r="EG400" s="410">
        <v>1000</v>
      </c>
      <c r="EH400" s="8" t="s">
        <v>259</v>
      </c>
      <c r="EI400" s="410"/>
      <c r="EK400" s="1">
        <v>1000</v>
      </c>
      <c r="EL400" s="8" t="s">
        <v>259</v>
      </c>
      <c r="EM400"/>
      <c r="EQ400" s="344"/>
      <c r="EU400" s="344"/>
      <c r="EW400" s="409"/>
      <c r="EY400" s="1"/>
      <c r="FA400">
        <v>95.91</v>
      </c>
      <c r="FB400" t="s">
        <v>236</v>
      </c>
      <c r="FC400" s="7">
        <v>89.908344295180285</v>
      </c>
      <c r="FD400" s="357" t="s">
        <v>225</v>
      </c>
      <c r="FE400" s="8">
        <v>120.53134420984212</v>
      </c>
      <c r="FF400" t="s">
        <v>237</v>
      </c>
      <c r="FH400" s="9">
        <v>68.801831614303836</v>
      </c>
      <c r="FI400" s="9" t="s">
        <v>225</v>
      </c>
      <c r="FJ400">
        <v>54.6</v>
      </c>
      <c r="FK400" t="s">
        <v>238</v>
      </c>
      <c r="FL400">
        <v>269</v>
      </c>
      <c r="FM400">
        <v>417.44570782629097</v>
      </c>
      <c r="FN400" s="5" t="s">
        <v>237</v>
      </c>
      <c r="FP400" s="6">
        <v>500</v>
      </c>
      <c r="FQ400" t="s">
        <v>615</v>
      </c>
      <c r="FS400" t="s">
        <v>261</v>
      </c>
      <c r="FT400" t="e">
        <f>FQ400=#REF!</f>
        <v>#REF!</v>
      </c>
      <c r="FU400" s="8">
        <v>2</v>
      </c>
      <c r="FV400" s="8">
        <v>10</v>
      </c>
      <c r="FW400" s="8">
        <v>10</v>
      </c>
      <c r="FX400" s="8">
        <v>1</v>
      </c>
      <c r="FY400" s="8">
        <v>3</v>
      </c>
      <c r="FZ400">
        <f t="shared" si="6"/>
        <v>600</v>
      </c>
      <c r="GA400" s="7" t="s">
        <v>241</v>
      </c>
      <c r="GB400" s="7" t="s">
        <v>241</v>
      </c>
      <c r="GC400" s="6">
        <v>30</v>
      </c>
      <c r="GD400" s="348" t="s">
        <v>242</v>
      </c>
      <c r="GF400" s="6">
        <v>1.8200000000000001E-2</v>
      </c>
      <c r="GH400" s="7"/>
      <c r="GI400" s="441"/>
      <c r="GJ400" s="441"/>
      <c r="GK400" s="441"/>
      <c r="GL400" s="441"/>
      <c r="GM400" s="454"/>
      <c r="GN400" s="441"/>
      <c r="GO400" s="441"/>
      <c r="GP400" s="441"/>
      <c r="GQ400" s="441"/>
      <c r="GR400" s="441"/>
      <c r="GS400" s="441"/>
      <c r="GT400" s="441"/>
      <c r="GU400" s="441"/>
      <c r="GV400" s="441"/>
      <c r="GW400" s="441"/>
      <c r="GX400" s="441"/>
      <c r="GY400" s="441"/>
      <c r="GZ400" s="441"/>
      <c r="HA400" s="441"/>
      <c r="HB400" s="441"/>
      <c r="HC400" s="441"/>
      <c r="HD400" s="441"/>
      <c r="HE400" s="441"/>
      <c r="HF400" s="441"/>
      <c r="HG400" s="441"/>
      <c r="HH400" s="441"/>
      <c r="HI400" s="441"/>
      <c r="HJ400" s="441"/>
      <c r="HK400" s="441"/>
      <c r="HL400" s="441"/>
      <c r="HM400" s="441"/>
      <c r="HN400" s="441"/>
      <c r="HO400" s="441"/>
      <c r="HP400" s="441"/>
      <c r="HQ400" s="441"/>
      <c r="HR400" s="441"/>
      <c r="HS400" s="441"/>
      <c r="HT400" s="441"/>
      <c r="HU400" s="441"/>
      <c r="HV400" s="441"/>
      <c r="HW400" s="441"/>
      <c r="HX400" s="441"/>
      <c r="HY400" s="441"/>
      <c r="HZ400" s="441"/>
      <c r="IA400" s="441"/>
      <c r="IB400" s="441"/>
      <c r="IC400" s="441"/>
      <c r="ID400" s="441"/>
      <c r="IE400" s="441"/>
      <c r="IF400" s="441"/>
      <c r="IH400" t="s">
        <v>235</v>
      </c>
    </row>
    <row r="401" spans="1:242" x14ac:dyDescent="0.35">
      <c r="A401" s="310" t="s">
        <v>2254</v>
      </c>
      <c r="B401" t="s">
        <v>2255</v>
      </c>
      <c r="C401" s="310" t="s">
        <v>2256</v>
      </c>
      <c r="D401" s="316"/>
      <c r="F401" t="s">
        <v>2257</v>
      </c>
      <c r="I401" s="310" t="s">
        <v>2258</v>
      </c>
      <c r="M401" s="313"/>
      <c r="O401"/>
      <c r="P401" s="381"/>
      <c r="Q401"/>
      <c r="T401" s="8"/>
      <c r="U401"/>
      <c r="V401" s="313"/>
      <c r="W401"/>
      <c r="X401"/>
      <c r="Z401"/>
      <c r="AB401"/>
      <c r="AD401" s="8" t="s">
        <v>230</v>
      </c>
      <c r="AF401" s="8" t="s">
        <v>230</v>
      </c>
      <c r="AG401"/>
      <c r="AH401"/>
      <c r="AI401"/>
      <c r="AJ401" t="s">
        <v>221</v>
      </c>
      <c r="AK401">
        <v>0</v>
      </c>
      <c r="AL401">
        <v>0.67500000000000004</v>
      </c>
      <c r="AM401" t="s">
        <v>221</v>
      </c>
      <c r="AN401" t="s">
        <v>225</v>
      </c>
      <c r="AO401" t="s">
        <v>221</v>
      </c>
      <c r="AP401" t="s">
        <v>225</v>
      </c>
      <c r="AQ401" t="s">
        <v>221</v>
      </c>
      <c r="AR401" t="s">
        <v>225</v>
      </c>
      <c r="AS401" t="s">
        <v>221</v>
      </c>
      <c r="AT401" t="s">
        <v>223</v>
      </c>
      <c r="AU401" t="s">
        <v>220</v>
      </c>
      <c r="AV401"/>
      <c r="AW401" s="313" t="s">
        <v>220</v>
      </c>
      <c r="AX401" t="s">
        <v>226</v>
      </c>
      <c r="AY401" s="313" t="s">
        <v>220</v>
      </c>
      <c r="AZ401" s="313">
        <v>5.57E-2</v>
      </c>
      <c r="BB401" s="313" t="s">
        <v>220</v>
      </c>
      <c r="BC401">
        <v>3.4000000000000002E-2</v>
      </c>
      <c r="BD401" t="s">
        <v>220</v>
      </c>
      <c r="BE401">
        <v>4.6199999999999998E-2</v>
      </c>
      <c r="BF401" s="2" t="s">
        <v>220</v>
      </c>
      <c r="BG401" s="2" t="s">
        <v>273</v>
      </c>
      <c r="BH401" s="2" t="s">
        <v>274</v>
      </c>
      <c r="BI401" s="2" t="s">
        <v>275</v>
      </c>
      <c r="BM401"/>
      <c r="BP401" s="8"/>
      <c r="BQ401" t="s">
        <v>230</v>
      </c>
      <c r="BR401" t="s">
        <v>230</v>
      </c>
      <c r="BU401" t="s">
        <v>231</v>
      </c>
      <c r="BV401" t="s">
        <v>223</v>
      </c>
      <c r="BW401" t="s">
        <v>232</v>
      </c>
      <c r="BX401" t="s">
        <v>276</v>
      </c>
      <c r="BY401" t="s">
        <v>220</v>
      </c>
      <c r="BZ401">
        <v>0.24199999999999999</v>
      </c>
      <c r="CA401" t="s">
        <v>234</v>
      </c>
      <c r="CF401" t="s">
        <v>220</v>
      </c>
      <c r="CG401">
        <v>3.5099999999999999E-2</v>
      </c>
      <c r="CH401" t="s">
        <v>220</v>
      </c>
      <c r="CI401">
        <v>1.3599999999999999E-2</v>
      </c>
      <c r="CK401"/>
      <c r="CL401"/>
      <c r="CM401"/>
      <c r="CS401" s="8"/>
      <c r="CW401" t="s">
        <v>220</v>
      </c>
      <c r="CX401" t="s">
        <v>220</v>
      </c>
      <c r="CY401" t="s">
        <v>231</v>
      </c>
      <c r="CZ401" t="s">
        <v>220</v>
      </c>
      <c r="DA401" t="s">
        <v>220</v>
      </c>
      <c r="DB401" t="s">
        <v>220</v>
      </c>
      <c r="DC401"/>
      <c r="DD401"/>
      <c r="DE401"/>
      <c r="DF401"/>
      <c r="DG401"/>
      <c r="DH401" s="323"/>
      <c r="DI401" s="323"/>
      <c r="DJ401" s="323"/>
      <c r="DL401" t="s">
        <v>257</v>
      </c>
      <c r="DM401" t="s">
        <v>220</v>
      </c>
      <c r="DN401" t="s">
        <v>257</v>
      </c>
      <c r="DO401" t="s">
        <v>220</v>
      </c>
      <c r="DP401" t="s">
        <v>257</v>
      </c>
      <c r="DS401" s="309">
        <v>568.09799999999996</v>
      </c>
      <c r="DU401" s="309">
        <v>283.25799999999998</v>
      </c>
      <c r="DW401">
        <v>16.899999999999999</v>
      </c>
      <c r="DX401" t="s">
        <v>238</v>
      </c>
      <c r="DY401">
        <v>2670</v>
      </c>
      <c r="DZ401" t="s">
        <v>238</v>
      </c>
      <c r="EA401"/>
      <c r="EB401"/>
      <c r="ED401" s="410"/>
      <c r="EE401" s="1"/>
      <c r="EG401" s="410"/>
      <c r="EI401" s="410"/>
      <c r="EK401" s="1"/>
      <c r="EM401"/>
      <c r="EQ401" s="344"/>
      <c r="EU401" s="344"/>
      <c r="EW401" s="409"/>
      <c r="EY401" s="1"/>
      <c r="FA401">
        <v>162.80000000000001</v>
      </c>
      <c r="FB401" t="s">
        <v>225</v>
      </c>
      <c r="FC401" s="7">
        <v>379.6645079222198</v>
      </c>
      <c r="FD401" s="357" t="s">
        <v>225</v>
      </c>
      <c r="FE401" s="8">
        <v>41.285733037799808</v>
      </c>
      <c r="FF401" t="s">
        <v>237</v>
      </c>
      <c r="FH401" s="9">
        <v>380.0143529415862</v>
      </c>
      <c r="FI401" s="9" t="s">
        <v>225</v>
      </c>
      <c r="FJ401">
        <v>138</v>
      </c>
      <c r="FK401" t="s">
        <v>238</v>
      </c>
      <c r="FL401">
        <v>350</v>
      </c>
      <c r="FM401">
        <v>230.09119518517605</v>
      </c>
      <c r="FN401" s="5" t="s">
        <v>237</v>
      </c>
      <c r="FP401" s="6">
        <v>11.504559759258802</v>
      </c>
      <c r="FQ401" t="s">
        <v>277</v>
      </c>
      <c r="FS401" t="s">
        <v>240</v>
      </c>
      <c r="FT401" t="e">
        <f>FQ401=#REF!</f>
        <v>#REF!</v>
      </c>
      <c r="FU401" s="8">
        <v>2</v>
      </c>
      <c r="FV401" s="8">
        <v>10</v>
      </c>
      <c r="FW401" s="8">
        <v>10</v>
      </c>
      <c r="FX401" s="8">
        <v>10</v>
      </c>
      <c r="FY401" s="8">
        <v>3</v>
      </c>
      <c r="FZ401">
        <f t="shared" si="6"/>
        <v>6000</v>
      </c>
      <c r="GA401" s="7" t="s">
        <v>241</v>
      </c>
      <c r="GB401" s="7" t="s">
        <v>241</v>
      </c>
      <c r="GC401" s="6">
        <v>30</v>
      </c>
      <c r="GD401" s="348" t="s">
        <v>242</v>
      </c>
      <c r="GF401" s="6">
        <v>4.6000000000000006E-2</v>
      </c>
      <c r="GH401" s="7"/>
      <c r="GI401" s="441">
        <v>0.25600000000000001</v>
      </c>
      <c r="GJ401" s="441">
        <v>0.47899999999999998</v>
      </c>
      <c r="GK401" s="441">
        <v>0.76700000000000002</v>
      </c>
      <c r="GL401" s="441">
        <v>1.917</v>
      </c>
      <c r="GM401" s="452" t="s">
        <v>262</v>
      </c>
      <c r="GN401" s="6">
        <v>0.2</v>
      </c>
      <c r="GO401" s="6">
        <v>0.375</v>
      </c>
      <c r="GP401" s="6">
        <v>0.6</v>
      </c>
      <c r="GQ401" s="6">
        <v>1.5</v>
      </c>
      <c r="GR401" s="6" t="s">
        <v>230</v>
      </c>
      <c r="GU401" t="s">
        <v>243</v>
      </c>
      <c r="GV401" t="s">
        <v>225</v>
      </c>
      <c r="GW401" t="s">
        <v>244</v>
      </c>
      <c r="GX401" t="s">
        <v>236</v>
      </c>
      <c r="GY401" t="s">
        <v>245</v>
      </c>
      <c r="HE401" t="s">
        <v>246</v>
      </c>
      <c r="HF401" t="s">
        <v>236</v>
      </c>
      <c r="HG401" t="s">
        <v>317</v>
      </c>
      <c r="HH401" t="s">
        <v>223</v>
      </c>
      <c r="HI401" t="s">
        <v>247</v>
      </c>
      <c r="HJ401" t="s">
        <v>223</v>
      </c>
      <c r="HK401" t="s">
        <v>266</v>
      </c>
      <c r="HO401" t="s">
        <v>231</v>
      </c>
      <c r="HP401" t="s">
        <v>223</v>
      </c>
      <c r="HQ401" t="s">
        <v>231</v>
      </c>
      <c r="HR401" t="s">
        <v>223</v>
      </c>
      <c r="HU401" t="s">
        <v>231</v>
      </c>
      <c r="HV401" t="s">
        <v>223</v>
      </c>
      <c r="HW401" t="s">
        <v>246</v>
      </c>
      <c r="HX401" t="s">
        <v>236</v>
      </c>
      <c r="IA401" t="s">
        <v>231</v>
      </c>
      <c r="IB401" t="s">
        <v>250</v>
      </c>
      <c r="IC401">
        <v>0.25600000000000001</v>
      </c>
      <c r="ID401">
        <v>0.47899999999999998</v>
      </c>
      <c r="IE401">
        <v>0.76700000000000002</v>
      </c>
      <c r="IF401">
        <v>1.917</v>
      </c>
      <c r="IH401" t="s">
        <v>267</v>
      </c>
    </row>
    <row r="402" spans="1:242" hidden="1" x14ac:dyDescent="0.35">
      <c r="A402" s="310" t="s">
        <v>2259</v>
      </c>
      <c r="B402" t="s">
        <v>2260</v>
      </c>
      <c r="C402" s="310" t="s">
        <v>2261</v>
      </c>
      <c r="D402" s="316"/>
      <c r="F402" t="s">
        <v>2262</v>
      </c>
      <c r="I402" s="310" t="s">
        <v>2263</v>
      </c>
      <c r="M402" s="313" t="s">
        <v>220</v>
      </c>
      <c r="O402" t="s">
        <v>414</v>
      </c>
      <c r="P402" s="381"/>
      <c r="Q402" t="s">
        <v>414</v>
      </c>
      <c r="T402" s="8"/>
      <c r="U402" t="s">
        <v>414</v>
      </c>
      <c r="V402" s="313"/>
      <c r="W402" t="s">
        <v>257</v>
      </c>
      <c r="X402" t="s">
        <v>257</v>
      </c>
      <c r="Z402"/>
      <c r="AB402"/>
      <c r="AD402" s="8" t="s">
        <v>230</v>
      </c>
      <c r="AF402" s="8" t="s">
        <v>230</v>
      </c>
      <c r="AG402"/>
      <c r="AH402"/>
      <c r="AI402"/>
      <c r="AJ402" t="s">
        <v>414</v>
      </c>
      <c r="AK402">
        <v>1</v>
      </c>
      <c r="AL402">
        <v>0</v>
      </c>
      <c r="AM402" t="s">
        <v>414</v>
      </c>
      <c r="AN402" t="s">
        <v>249</v>
      </c>
      <c r="AO402" t="s">
        <v>224</v>
      </c>
      <c r="AP402"/>
      <c r="AQ402" t="s">
        <v>414</v>
      </c>
      <c r="AR402" t="s">
        <v>236</v>
      </c>
      <c r="AS402" t="s">
        <v>414</v>
      </c>
      <c r="AT402"/>
      <c r="AU402" t="s">
        <v>257</v>
      </c>
      <c r="AV402"/>
      <c r="AW402" s="313" t="s">
        <v>257</v>
      </c>
      <c r="AX402" t="s">
        <v>768</v>
      </c>
      <c r="AY402" s="313" t="s">
        <v>257</v>
      </c>
      <c r="AZ402" s="313">
        <v>0.55100000000000005</v>
      </c>
      <c r="BB402" s="313" t="s">
        <v>257</v>
      </c>
      <c r="BC402">
        <v>0.626</v>
      </c>
      <c r="BD402" t="s">
        <v>431</v>
      </c>
      <c r="BE402">
        <v>0.42899999999999999</v>
      </c>
      <c r="BF402" s="2" t="s">
        <v>257</v>
      </c>
      <c r="BH402" s="2" t="s">
        <v>228</v>
      </c>
      <c r="BI402" s="2" t="s">
        <v>424</v>
      </c>
      <c r="BM402"/>
      <c r="BP402" s="8"/>
      <c r="BQ402" t="s">
        <v>230</v>
      </c>
      <c r="BR402" t="s">
        <v>230</v>
      </c>
      <c r="BU402" t="s">
        <v>317</v>
      </c>
      <c r="BV402" t="s">
        <v>236</v>
      </c>
      <c r="BW402" t="s">
        <v>232</v>
      </c>
      <c r="BX402" t="s">
        <v>276</v>
      </c>
      <c r="BY402" t="s">
        <v>220</v>
      </c>
      <c r="BZ402">
        <v>0.27</v>
      </c>
      <c r="CA402" t="s">
        <v>372</v>
      </c>
      <c r="CF402" t="s">
        <v>220</v>
      </c>
      <c r="CG402">
        <v>0.34399999999999997</v>
      </c>
      <c r="CH402" t="s">
        <v>220</v>
      </c>
      <c r="CI402">
        <v>0.39100000000000001</v>
      </c>
      <c r="CK402"/>
      <c r="CL402"/>
      <c r="CM402"/>
      <c r="CS402" s="8"/>
      <c r="CW402" t="s">
        <v>227</v>
      </c>
      <c r="CX402" t="s">
        <v>220</v>
      </c>
      <c r="CY402" t="s">
        <v>231</v>
      </c>
      <c r="CZ402" t="s">
        <v>220</v>
      </c>
      <c r="DA402" t="s">
        <v>220</v>
      </c>
      <c r="DB402" t="s">
        <v>220</v>
      </c>
      <c r="DC402"/>
      <c r="DD402"/>
      <c r="DE402"/>
      <c r="DF402"/>
      <c r="DG402"/>
      <c r="DH402" s="323"/>
      <c r="DI402" s="323"/>
      <c r="DJ402" s="323"/>
      <c r="DL402" t="s">
        <v>257</v>
      </c>
      <c r="DM402" t="s">
        <v>220</v>
      </c>
      <c r="DN402" t="s">
        <v>257</v>
      </c>
      <c r="DO402" t="s">
        <v>220</v>
      </c>
      <c r="DP402" t="s">
        <v>220</v>
      </c>
      <c r="DS402" s="309">
        <v>44.779000000000003</v>
      </c>
      <c r="DU402" s="309">
        <v>338.48599999999999</v>
      </c>
      <c r="DW402"/>
      <c r="DX402" t="s">
        <v>235</v>
      </c>
      <c r="DY402">
        <v>1730</v>
      </c>
      <c r="DZ402" t="s">
        <v>238</v>
      </c>
      <c r="EA402"/>
      <c r="EB402"/>
      <c r="ED402" s="410"/>
      <c r="EE402" s="1"/>
      <c r="EG402" s="410"/>
      <c r="EI402" s="410"/>
      <c r="EK402" s="1"/>
      <c r="EM402"/>
      <c r="EQ402" s="344"/>
      <c r="EU402" s="344"/>
      <c r="EW402" s="409"/>
      <c r="EY402" s="1"/>
      <c r="FA402">
        <v>80.64</v>
      </c>
      <c r="FB402" t="s">
        <v>236</v>
      </c>
      <c r="FC402" s="7">
        <v>124.4228084680994</v>
      </c>
      <c r="FD402" s="357" t="s">
        <v>236</v>
      </c>
      <c r="FE402" s="8">
        <v>40.644332916521293</v>
      </c>
      <c r="FF402" t="s">
        <v>237</v>
      </c>
      <c r="FH402" s="9">
        <v>52.613840028785134</v>
      </c>
      <c r="FI402" s="9" t="s">
        <v>236</v>
      </c>
      <c r="FK402" t="s">
        <v>235</v>
      </c>
      <c r="FL402">
        <v>140</v>
      </c>
      <c r="FM402">
        <v>79.946600252031672</v>
      </c>
      <c r="FN402" s="419" t="s">
        <v>237</v>
      </c>
      <c r="FV402" s="8"/>
      <c r="FW402" s="8"/>
      <c r="FX402" s="8"/>
      <c r="GC402" s="7">
        <v>2.5000000000000001E-3</v>
      </c>
      <c r="GH402" s="7"/>
      <c r="GI402" s="441" t="s">
        <v>395</v>
      </c>
      <c r="GJ402" s="441" t="s">
        <v>395</v>
      </c>
      <c r="GK402" s="441" t="s">
        <v>395</v>
      </c>
      <c r="GL402" s="441" t="s">
        <v>395</v>
      </c>
      <c r="GM402" s="452" t="s">
        <v>230</v>
      </c>
      <c r="GN402" s="6" t="s">
        <v>395</v>
      </c>
      <c r="GO402" s="6" t="s">
        <v>395</v>
      </c>
      <c r="GP402" s="6" t="s">
        <v>395</v>
      </c>
      <c r="GQ402" s="6" t="s">
        <v>395</v>
      </c>
      <c r="GR402" s="6" t="s">
        <v>230</v>
      </c>
      <c r="GU402" t="s">
        <v>243</v>
      </c>
      <c r="GV402" t="s">
        <v>236</v>
      </c>
      <c r="GW402" t="s">
        <v>244</v>
      </c>
      <c r="GX402" t="s">
        <v>236</v>
      </c>
      <c r="GY402" t="s">
        <v>245</v>
      </c>
      <c r="HE402" t="s">
        <v>384</v>
      </c>
      <c r="HF402" t="s">
        <v>223</v>
      </c>
      <c r="HG402" t="s">
        <v>231</v>
      </c>
      <c r="HH402" t="s">
        <v>225</v>
      </c>
      <c r="HI402" t="s">
        <v>247</v>
      </c>
      <c r="HJ402" t="s">
        <v>223</v>
      </c>
      <c r="HK402" t="s">
        <v>266</v>
      </c>
      <c r="HO402" t="s">
        <v>231</v>
      </c>
      <c r="HP402" t="s">
        <v>223</v>
      </c>
      <c r="HQ402" t="s">
        <v>231</v>
      </c>
      <c r="HR402" t="s">
        <v>223</v>
      </c>
      <c r="HU402" t="s">
        <v>231</v>
      </c>
      <c r="HV402" t="s">
        <v>223</v>
      </c>
      <c r="HW402" t="s">
        <v>246</v>
      </c>
      <c r="HX402" t="s">
        <v>236</v>
      </c>
      <c r="IA402" t="s">
        <v>231</v>
      </c>
      <c r="IB402" t="s">
        <v>250</v>
      </c>
      <c r="IC402" t="s">
        <v>395</v>
      </c>
      <c r="ID402" t="s">
        <v>395</v>
      </c>
      <c r="IE402" t="s">
        <v>395</v>
      </c>
      <c r="IF402" t="s">
        <v>395</v>
      </c>
      <c r="IH402" t="s">
        <v>235</v>
      </c>
    </row>
    <row r="403" spans="1:242" hidden="1" x14ac:dyDescent="0.35">
      <c r="A403" s="310" t="s">
        <v>2264</v>
      </c>
      <c r="B403" t="s">
        <v>2265</v>
      </c>
      <c r="C403" s="310" t="s">
        <v>2266</v>
      </c>
      <c r="D403" s="316"/>
      <c r="F403" t="s">
        <v>2267</v>
      </c>
      <c r="I403" s="310" t="s">
        <v>2268</v>
      </c>
      <c r="M403" s="313" t="s">
        <v>220</v>
      </c>
      <c r="O403"/>
      <c r="P403" s="381"/>
      <c r="Q403"/>
      <c r="T403" s="8"/>
      <c r="U403"/>
      <c r="V403" s="313"/>
      <c r="W403" t="s">
        <v>301</v>
      </c>
      <c r="X403"/>
      <c r="Z403"/>
      <c r="AB403"/>
      <c r="AD403" s="8" t="s">
        <v>230</v>
      </c>
      <c r="AF403" s="8" t="s">
        <v>230</v>
      </c>
      <c r="AG403"/>
      <c r="AH403"/>
      <c r="AI403"/>
      <c r="AJ403" t="s">
        <v>221</v>
      </c>
      <c r="AK403">
        <v>0.05</v>
      </c>
      <c r="AL403">
        <v>0.45</v>
      </c>
      <c r="AM403" t="s">
        <v>221</v>
      </c>
      <c r="AN403" t="s">
        <v>225</v>
      </c>
      <c r="AO403" t="s">
        <v>221</v>
      </c>
      <c r="AP403" t="s">
        <v>225</v>
      </c>
      <c r="AQ403" t="s">
        <v>414</v>
      </c>
      <c r="AR403" t="s">
        <v>236</v>
      </c>
      <c r="AS403" t="s">
        <v>221</v>
      </c>
      <c r="AT403" t="s">
        <v>225</v>
      </c>
      <c r="AU403" t="s">
        <v>257</v>
      </c>
      <c r="AV403"/>
      <c r="AW403" s="313" t="s">
        <v>257</v>
      </c>
      <c r="AX403" t="s">
        <v>768</v>
      </c>
      <c r="AY403" s="313" t="s">
        <v>220</v>
      </c>
      <c r="AZ403" s="313">
        <v>0.26900000000000002</v>
      </c>
      <c r="BB403" s="313" t="s">
        <v>220</v>
      </c>
      <c r="BC403">
        <v>0.33800000000000002</v>
      </c>
      <c r="BD403" t="s">
        <v>220</v>
      </c>
      <c r="BE403">
        <v>0.255</v>
      </c>
      <c r="BF403" s="2" t="s">
        <v>257</v>
      </c>
      <c r="BG403" s="2" t="s">
        <v>230</v>
      </c>
      <c r="BH403" s="2" t="s">
        <v>274</v>
      </c>
      <c r="BI403" s="2" t="s">
        <v>432</v>
      </c>
      <c r="BM403"/>
      <c r="BP403" s="8"/>
      <c r="BQ403" t="s">
        <v>230</v>
      </c>
      <c r="BR403" t="s">
        <v>230</v>
      </c>
      <c r="BU403" t="s">
        <v>317</v>
      </c>
      <c r="BV403" t="s">
        <v>236</v>
      </c>
      <c r="BW403" t="s">
        <v>232</v>
      </c>
      <c r="BX403" t="s">
        <v>276</v>
      </c>
      <c r="BY403" t="s">
        <v>220</v>
      </c>
      <c r="BZ403">
        <v>0.188</v>
      </c>
      <c r="CA403" t="s">
        <v>372</v>
      </c>
      <c r="CF403" t="s">
        <v>220</v>
      </c>
      <c r="CG403">
        <v>0.157</v>
      </c>
      <c r="CH403" t="s">
        <v>220</v>
      </c>
      <c r="CI403">
        <v>0.188</v>
      </c>
      <c r="CK403"/>
      <c r="CL403"/>
      <c r="CM403"/>
      <c r="CS403" s="8"/>
      <c r="CW403" t="s">
        <v>220</v>
      </c>
      <c r="CX403" t="s">
        <v>220</v>
      </c>
      <c r="CY403" t="s">
        <v>231</v>
      </c>
      <c r="CZ403" t="s">
        <v>220</v>
      </c>
      <c r="DA403" t="s">
        <v>220</v>
      </c>
      <c r="DB403" t="s">
        <v>220</v>
      </c>
      <c r="DC403"/>
      <c r="DD403"/>
      <c r="DE403"/>
      <c r="DF403"/>
      <c r="DG403"/>
      <c r="DH403" s="323"/>
      <c r="DI403" s="323"/>
      <c r="DJ403" s="323"/>
      <c r="DL403" t="s">
        <v>257</v>
      </c>
      <c r="DM403" t="s">
        <v>220</v>
      </c>
      <c r="DN403" t="s">
        <v>257</v>
      </c>
      <c r="DO403" t="s">
        <v>220</v>
      </c>
      <c r="DP403" t="s">
        <v>257</v>
      </c>
      <c r="DS403" s="309">
        <v>84.037000000000006</v>
      </c>
      <c r="DU403" s="309">
        <v>383.53899999999999</v>
      </c>
      <c r="DW403">
        <v>7.14</v>
      </c>
      <c r="DX403" t="s">
        <v>238</v>
      </c>
      <c r="DY403">
        <v>931</v>
      </c>
      <c r="DZ403" t="s">
        <v>238</v>
      </c>
      <c r="EA403"/>
      <c r="EB403"/>
      <c r="ED403" s="410"/>
      <c r="EE403" s="1"/>
      <c r="EG403" s="410"/>
      <c r="EI403" s="410"/>
      <c r="EK403" s="1"/>
      <c r="EM403"/>
      <c r="EQ403" s="344"/>
      <c r="EU403" s="344"/>
      <c r="EW403" s="409"/>
      <c r="EY403" s="1"/>
      <c r="FA403">
        <v>99.25</v>
      </c>
      <c r="FB403" t="s">
        <v>236</v>
      </c>
      <c r="FC403" s="7">
        <v>229.56200012125777</v>
      </c>
      <c r="FD403" s="357" t="s">
        <v>236</v>
      </c>
      <c r="FE403" s="8">
        <v>31.776056571612894</v>
      </c>
      <c r="FF403" t="s">
        <v>237</v>
      </c>
      <c r="FH403" s="9">
        <v>90.448214904759027</v>
      </c>
      <c r="FI403" s="9" t="s">
        <v>236</v>
      </c>
      <c r="FJ403">
        <v>373</v>
      </c>
      <c r="FK403" t="s">
        <v>238</v>
      </c>
      <c r="FL403">
        <v>178</v>
      </c>
      <c r="FM403">
        <v>77.606839970110556</v>
      </c>
      <c r="FN403" s="419" t="s">
        <v>237</v>
      </c>
      <c r="FV403" s="8"/>
      <c r="FW403" s="8"/>
      <c r="FX403" s="8"/>
      <c r="GC403" s="7">
        <v>2.5000000000000001E-3</v>
      </c>
      <c r="GH403" s="7"/>
      <c r="GI403" s="441" t="s">
        <v>395</v>
      </c>
      <c r="GJ403" s="441" t="s">
        <v>395</v>
      </c>
      <c r="GK403" s="441" t="s">
        <v>395</v>
      </c>
      <c r="GL403" s="441" t="s">
        <v>395</v>
      </c>
      <c r="GM403" s="452" t="s">
        <v>230</v>
      </c>
      <c r="GN403" s="6" t="s">
        <v>395</v>
      </c>
      <c r="GO403" s="6" t="s">
        <v>395</v>
      </c>
      <c r="GP403" s="6" t="s">
        <v>395</v>
      </c>
      <c r="GQ403" s="6" t="s">
        <v>395</v>
      </c>
      <c r="GR403" s="6" t="s">
        <v>230</v>
      </c>
      <c r="GU403" t="s">
        <v>243</v>
      </c>
      <c r="GV403" t="s">
        <v>236</v>
      </c>
      <c r="GW403" t="s">
        <v>244</v>
      </c>
      <c r="GX403" t="s">
        <v>236</v>
      </c>
      <c r="GY403" t="s">
        <v>245</v>
      </c>
      <c r="HE403" t="s">
        <v>384</v>
      </c>
      <c r="HF403" t="s">
        <v>223</v>
      </c>
      <c r="HG403" t="s">
        <v>231</v>
      </c>
      <c r="HH403" t="s">
        <v>236</v>
      </c>
      <c r="HI403" t="s">
        <v>247</v>
      </c>
      <c r="HJ403" t="s">
        <v>223</v>
      </c>
      <c r="HK403" t="s">
        <v>266</v>
      </c>
      <c r="HO403" t="s">
        <v>231</v>
      </c>
      <c r="HP403" t="s">
        <v>223</v>
      </c>
      <c r="HQ403" t="s">
        <v>231</v>
      </c>
      <c r="HR403" t="s">
        <v>223</v>
      </c>
      <c r="HU403" t="s">
        <v>231</v>
      </c>
      <c r="HV403" t="s">
        <v>223</v>
      </c>
      <c r="HW403" t="s">
        <v>246</v>
      </c>
      <c r="HX403" t="s">
        <v>236</v>
      </c>
      <c r="IA403" t="s">
        <v>231</v>
      </c>
      <c r="IB403" t="s">
        <v>250</v>
      </c>
      <c r="IC403" t="s">
        <v>395</v>
      </c>
      <c r="ID403" t="s">
        <v>395</v>
      </c>
      <c r="IE403" t="s">
        <v>395</v>
      </c>
      <c r="IF403" t="s">
        <v>395</v>
      </c>
      <c r="IH403" t="s">
        <v>235</v>
      </c>
    </row>
    <row r="404" spans="1:242" x14ac:dyDescent="0.35">
      <c r="A404" s="310" t="s">
        <v>2269</v>
      </c>
      <c r="B404" t="s">
        <v>2270</v>
      </c>
      <c r="C404" s="310" t="s">
        <v>2271</v>
      </c>
      <c r="D404" s="316"/>
      <c r="F404" t="s">
        <v>2272</v>
      </c>
      <c r="I404" s="310" t="s">
        <v>2273</v>
      </c>
      <c r="M404" s="313"/>
      <c r="O404"/>
      <c r="P404" s="381"/>
      <c r="Q404"/>
      <c r="T404" s="8"/>
      <c r="U404"/>
      <c r="V404" s="313"/>
      <c r="W404" t="s">
        <v>301</v>
      </c>
      <c r="X404"/>
      <c r="Z404"/>
      <c r="AB404"/>
      <c r="AD404" s="8" t="s">
        <v>230</v>
      </c>
      <c r="AF404" s="8" t="s">
        <v>230</v>
      </c>
      <c r="AG404"/>
      <c r="AH404"/>
      <c r="AI404"/>
      <c r="AJ404" t="s">
        <v>221</v>
      </c>
      <c r="AK404">
        <v>0.15</v>
      </c>
      <c r="AL404">
        <v>0.67500000000000004</v>
      </c>
      <c r="AM404" t="s">
        <v>221</v>
      </c>
      <c r="AN404" t="s">
        <v>223</v>
      </c>
      <c r="AO404" t="s">
        <v>221</v>
      </c>
      <c r="AP404" t="s">
        <v>223</v>
      </c>
      <c r="AQ404" s="442" t="s">
        <v>414</v>
      </c>
      <c r="AR404" t="s">
        <v>225</v>
      </c>
      <c r="AS404" t="s">
        <v>221</v>
      </c>
      <c r="AT404" t="s">
        <v>223</v>
      </c>
      <c r="AU404" t="s">
        <v>220</v>
      </c>
      <c r="AV404"/>
      <c r="AW404" s="313" t="s">
        <v>220</v>
      </c>
      <c r="AX404" t="s">
        <v>226</v>
      </c>
      <c r="AY404" s="313" t="s">
        <v>220</v>
      </c>
      <c r="AZ404" s="313">
        <v>5.8599999999999999E-2</v>
      </c>
      <c r="BB404" s="313" t="s">
        <v>220</v>
      </c>
      <c r="BC404">
        <v>3.1600000000000003E-2</v>
      </c>
      <c r="BD404" t="s">
        <v>220</v>
      </c>
      <c r="BE404">
        <v>0.20399999999999999</v>
      </c>
      <c r="BF404" s="2" t="s">
        <v>220</v>
      </c>
      <c r="BG404" s="3" t="s">
        <v>416</v>
      </c>
      <c r="BH404" s="2" t="s">
        <v>274</v>
      </c>
      <c r="BI404" s="2" t="s">
        <v>275</v>
      </c>
      <c r="BM404"/>
      <c r="BP404" s="8"/>
      <c r="BQ404" t="s">
        <v>230</v>
      </c>
      <c r="BR404" t="s">
        <v>230</v>
      </c>
      <c r="BU404" t="s">
        <v>231</v>
      </c>
      <c r="BV404" t="s">
        <v>223</v>
      </c>
      <c r="BW404" t="s">
        <v>232</v>
      </c>
      <c r="BX404" t="s">
        <v>276</v>
      </c>
      <c r="BY404" t="s">
        <v>220</v>
      </c>
      <c r="BZ404">
        <v>0.27700000000000002</v>
      </c>
      <c r="CA404" t="s">
        <v>372</v>
      </c>
      <c r="CF404" t="s">
        <v>220</v>
      </c>
      <c r="CG404">
        <v>0.105</v>
      </c>
      <c r="CH404" t="s">
        <v>257</v>
      </c>
      <c r="CI404">
        <v>0.74099999999999999</v>
      </c>
      <c r="CK404"/>
      <c r="CL404"/>
      <c r="CM404"/>
      <c r="CS404" s="8"/>
      <c r="CW404" t="s">
        <v>220</v>
      </c>
      <c r="CX404" t="s">
        <v>220</v>
      </c>
      <c r="CY404" t="s">
        <v>231</v>
      </c>
      <c r="CZ404" t="s">
        <v>220</v>
      </c>
      <c r="DA404" t="s">
        <v>227</v>
      </c>
      <c r="DB404" t="s">
        <v>220</v>
      </c>
      <c r="DC404"/>
      <c r="DD404"/>
      <c r="DE404"/>
      <c r="DF404"/>
      <c r="DG404"/>
      <c r="DH404" s="323"/>
      <c r="DI404" s="323"/>
      <c r="DJ404" s="323"/>
      <c r="DL404" t="s">
        <v>257</v>
      </c>
      <c r="DM404" t="s">
        <v>220</v>
      </c>
      <c r="DN404" t="s">
        <v>257</v>
      </c>
      <c r="DO404" t="s">
        <v>220</v>
      </c>
      <c r="DP404" t="s">
        <v>257</v>
      </c>
      <c r="DS404" s="309">
        <v>102.992</v>
      </c>
      <c r="DU404" s="309">
        <v>352.47</v>
      </c>
      <c r="DW404">
        <v>8.11</v>
      </c>
      <c r="DX404" t="s">
        <v>238</v>
      </c>
      <c r="DY404">
        <v>625</v>
      </c>
      <c r="DZ404" t="s">
        <v>238</v>
      </c>
      <c r="EA404"/>
      <c r="EB404"/>
      <c r="ED404" s="410"/>
      <c r="EE404" s="1"/>
      <c r="EG404" s="410">
        <v>120</v>
      </c>
      <c r="EH404" s="8" t="s">
        <v>259</v>
      </c>
      <c r="EI404" s="410"/>
      <c r="EK404" s="1"/>
      <c r="EM404"/>
      <c r="EQ404" s="344"/>
      <c r="EU404" s="344"/>
      <c r="EW404" s="409"/>
      <c r="EY404" s="1"/>
      <c r="FA404">
        <v>104.54</v>
      </c>
      <c r="FB404" t="s">
        <v>236</v>
      </c>
      <c r="FC404" s="7">
        <v>254.44856151466368</v>
      </c>
      <c r="FD404" s="357" t="s">
        <v>236</v>
      </c>
      <c r="FE404" s="8">
        <v>43.541160491506353</v>
      </c>
      <c r="FF404" t="s">
        <v>237</v>
      </c>
      <c r="FH404" s="9">
        <v>125.42958923023181</v>
      </c>
      <c r="FI404" s="9" t="s">
        <v>236</v>
      </c>
      <c r="FJ404">
        <v>210</v>
      </c>
      <c r="FK404" t="s">
        <v>238</v>
      </c>
      <c r="FL404">
        <v>205</v>
      </c>
      <c r="FM404">
        <v>158.37987650747758</v>
      </c>
      <c r="FN404" s="5" t="s">
        <v>237</v>
      </c>
      <c r="FP404" s="6">
        <v>60</v>
      </c>
      <c r="FQ404" t="s">
        <v>615</v>
      </c>
      <c r="FS404" t="s">
        <v>261</v>
      </c>
      <c r="FT404" t="e">
        <f>FQ404=#REF!</f>
        <v>#REF!</v>
      </c>
      <c r="FU404" s="8">
        <v>2</v>
      </c>
      <c r="FV404" s="8">
        <v>10</v>
      </c>
      <c r="FW404" s="8">
        <v>10</v>
      </c>
      <c r="FX404" s="8">
        <v>1</v>
      </c>
      <c r="FY404" s="8">
        <v>3</v>
      </c>
      <c r="FZ404">
        <f t="shared" si="6"/>
        <v>600</v>
      </c>
      <c r="GA404" s="7" t="s">
        <v>241</v>
      </c>
      <c r="GB404" s="7" t="s">
        <v>241</v>
      </c>
      <c r="GC404" s="6">
        <v>30</v>
      </c>
      <c r="GD404" s="348" t="s">
        <v>242</v>
      </c>
      <c r="GF404" s="6">
        <v>6.8333333333333329E-2</v>
      </c>
      <c r="GH404" s="7"/>
      <c r="GI404" s="441">
        <v>1.333</v>
      </c>
      <c r="GJ404" s="441">
        <v>2.5</v>
      </c>
      <c r="GK404" s="441">
        <v>4</v>
      </c>
      <c r="GL404" s="441">
        <v>10</v>
      </c>
      <c r="GM404" s="452" t="s">
        <v>262</v>
      </c>
      <c r="GN404" s="6">
        <v>0.2</v>
      </c>
      <c r="GO404" s="6">
        <v>0.375</v>
      </c>
      <c r="GP404" s="6">
        <v>0.6</v>
      </c>
      <c r="GQ404" s="6">
        <v>1.5</v>
      </c>
      <c r="GR404" s="6" t="s">
        <v>230</v>
      </c>
      <c r="GU404" t="s">
        <v>243</v>
      </c>
      <c r="GV404" t="s">
        <v>236</v>
      </c>
      <c r="GW404" t="s">
        <v>244</v>
      </c>
      <c r="GX404" t="s">
        <v>225</v>
      </c>
      <c r="GY404" t="s">
        <v>245</v>
      </c>
      <c r="HE404" t="s">
        <v>384</v>
      </c>
      <c r="HF404" t="s">
        <v>223</v>
      </c>
      <c r="HG404" t="s">
        <v>231</v>
      </c>
      <c r="HH404" t="s">
        <v>236</v>
      </c>
      <c r="HI404" t="s">
        <v>247</v>
      </c>
      <c r="HJ404" t="s">
        <v>223</v>
      </c>
      <c r="HK404" t="s">
        <v>266</v>
      </c>
      <c r="HO404" t="s">
        <v>231</v>
      </c>
      <c r="HP404" t="s">
        <v>223</v>
      </c>
      <c r="HQ404" t="s">
        <v>231</v>
      </c>
      <c r="HR404" t="s">
        <v>223</v>
      </c>
      <c r="HU404" t="s">
        <v>231</v>
      </c>
      <c r="HV404" t="s">
        <v>223</v>
      </c>
      <c r="HW404" t="s">
        <v>246</v>
      </c>
      <c r="HX404" t="s">
        <v>236</v>
      </c>
      <c r="IA404" t="s">
        <v>231</v>
      </c>
      <c r="IB404" t="s">
        <v>250</v>
      </c>
      <c r="IC404">
        <v>1.333</v>
      </c>
      <c r="ID404">
        <v>2.5</v>
      </c>
      <c r="IE404">
        <v>4</v>
      </c>
      <c r="IF404">
        <v>10</v>
      </c>
      <c r="IH404" t="s">
        <v>267</v>
      </c>
    </row>
    <row r="405" spans="1:242" x14ac:dyDescent="0.35">
      <c r="A405" s="310" t="s">
        <v>2274</v>
      </c>
      <c r="B405" t="s">
        <v>2275</v>
      </c>
      <c r="C405" s="310" t="s">
        <v>2276</v>
      </c>
      <c r="D405" s="316"/>
      <c r="F405" t="s">
        <v>2277</v>
      </c>
      <c r="I405" s="310" t="s">
        <v>2278</v>
      </c>
      <c r="M405" s="313" t="s">
        <v>220</v>
      </c>
      <c r="O405"/>
      <c r="P405" s="381"/>
      <c r="Q405"/>
      <c r="T405" s="8"/>
      <c r="U405"/>
      <c r="V405" s="313"/>
      <c r="W405" t="s">
        <v>301</v>
      </c>
      <c r="X405" t="s">
        <v>220</v>
      </c>
      <c r="Z405"/>
      <c r="AB405"/>
      <c r="AD405" s="8" t="s">
        <v>230</v>
      </c>
      <c r="AF405" s="8" t="s">
        <v>230</v>
      </c>
      <c r="AG405"/>
      <c r="AH405"/>
      <c r="AI405"/>
      <c r="AJ405" t="s">
        <v>221</v>
      </c>
      <c r="AK405">
        <v>0.05</v>
      </c>
      <c r="AL405">
        <v>0.67500000000000004</v>
      </c>
      <c r="AM405" t="s">
        <v>221</v>
      </c>
      <c r="AN405" t="s">
        <v>223</v>
      </c>
      <c r="AO405" t="s">
        <v>221</v>
      </c>
      <c r="AP405" t="s">
        <v>223</v>
      </c>
      <c r="AQ405" t="s">
        <v>414</v>
      </c>
      <c r="AR405" t="s">
        <v>236</v>
      </c>
      <c r="AS405" t="s">
        <v>221</v>
      </c>
      <c r="AT405" t="s">
        <v>223</v>
      </c>
      <c r="AU405" t="s">
        <v>220</v>
      </c>
      <c r="AV405"/>
      <c r="AW405" s="313" t="s">
        <v>1184</v>
      </c>
      <c r="AX405" t="s">
        <v>226</v>
      </c>
      <c r="AY405" s="313" t="s">
        <v>220</v>
      </c>
      <c r="AZ405" s="313">
        <v>0.13100000000000001</v>
      </c>
      <c r="BB405" s="313" t="s">
        <v>220</v>
      </c>
      <c r="BC405">
        <v>8.1100000000000005E-2</v>
      </c>
      <c r="BD405" t="s">
        <v>220</v>
      </c>
      <c r="BE405">
        <v>0.33200000000000002</v>
      </c>
      <c r="BF405" s="2" t="s">
        <v>220</v>
      </c>
      <c r="BH405" s="2" t="s">
        <v>228</v>
      </c>
      <c r="BI405" s="2" t="s">
        <v>800</v>
      </c>
      <c r="BM405"/>
      <c r="BP405" s="8"/>
      <c r="BQ405" t="s">
        <v>230</v>
      </c>
      <c r="BR405" t="s">
        <v>230</v>
      </c>
      <c r="BS405" t="s">
        <v>255</v>
      </c>
      <c r="BU405" t="s">
        <v>317</v>
      </c>
      <c r="BV405" t="s">
        <v>236</v>
      </c>
      <c r="BW405" t="s">
        <v>232</v>
      </c>
      <c r="BX405" t="s">
        <v>256</v>
      </c>
      <c r="BY405" t="s">
        <v>220</v>
      </c>
      <c r="BZ405">
        <v>0.378</v>
      </c>
      <c r="CA405" t="s">
        <v>372</v>
      </c>
      <c r="CF405" t="s">
        <v>220</v>
      </c>
      <c r="CG405">
        <v>0.20200000000000001</v>
      </c>
      <c r="CH405" t="s">
        <v>220</v>
      </c>
      <c r="CI405">
        <v>0.48199999999999998</v>
      </c>
      <c r="CK405"/>
      <c r="CL405"/>
      <c r="CM405"/>
      <c r="CS405" s="8"/>
      <c r="CW405" t="s">
        <v>220</v>
      </c>
      <c r="CX405" t="s">
        <v>257</v>
      </c>
      <c r="CY405" t="s">
        <v>231</v>
      </c>
      <c r="CZ405" t="s">
        <v>220</v>
      </c>
      <c r="DA405" t="s">
        <v>220</v>
      </c>
      <c r="DB405" t="s">
        <v>227</v>
      </c>
      <c r="DC405"/>
      <c r="DD405"/>
      <c r="DE405"/>
      <c r="DF405"/>
      <c r="DG405"/>
      <c r="DH405" s="323"/>
      <c r="DI405" s="323"/>
      <c r="DJ405" s="323"/>
      <c r="DL405" t="s">
        <v>257</v>
      </c>
      <c r="DM405" t="s">
        <v>220</v>
      </c>
      <c r="DN405" t="s">
        <v>227</v>
      </c>
      <c r="DO405" t="s">
        <v>257</v>
      </c>
      <c r="DP405" t="s">
        <v>257</v>
      </c>
      <c r="DS405" s="309">
        <v>133.91499999999999</v>
      </c>
      <c r="DU405" s="309">
        <v>700.08600000000001</v>
      </c>
      <c r="DW405"/>
      <c r="DX405" t="s">
        <v>235</v>
      </c>
      <c r="DY405"/>
      <c r="DZ405" t="s">
        <v>235</v>
      </c>
      <c r="EA405"/>
      <c r="EB405"/>
      <c r="ED405" s="410">
        <v>10</v>
      </c>
      <c r="EE405" s="1">
        <v>10</v>
      </c>
      <c r="EF405" s="8" t="s">
        <v>703</v>
      </c>
      <c r="EG405" s="410"/>
      <c r="EI405" s="410"/>
      <c r="EK405" s="1">
        <v>10</v>
      </c>
      <c r="EM405"/>
      <c r="EQ405" s="344"/>
      <c r="EU405" s="344"/>
      <c r="EW405" s="409"/>
      <c r="EY405" s="1"/>
      <c r="FA405">
        <v>59.3</v>
      </c>
      <c r="FB405" t="s">
        <v>225</v>
      </c>
      <c r="FC405" s="7">
        <v>196.1552787701084</v>
      </c>
      <c r="FD405" s="357" t="s">
        <v>225</v>
      </c>
      <c r="FE405" s="8">
        <v>24.865660513079344</v>
      </c>
      <c r="FF405" t="s">
        <v>237</v>
      </c>
      <c r="FH405" s="9">
        <v>56.169427835563994</v>
      </c>
      <c r="FI405" s="9" t="s">
        <v>225</v>
      </c>
      <c r="FK405" t="s">
        <v>235</v>
      </c>
      <c r="FL405">
        <v>80.400000000000006</v>
      </c>
      <c r="FM405">
        <v>40.569532203604531</v>
      </c>
      <c r="FN405" s="5" t="s">
        <v>237</v>
      </c>
      <c r="FP405" s="6">
        <v>5</v>
      </c>
      <c r="FQ405" t="s">
        <v>382</v>
      </c>
      <c r="FS405" t="s">
        <v>261</v>
      </c>
      <c r="FT405" t="e">
        <f>FQ405=#REF!</f>
        <v>#REF!</v>
      </c>
      <c r="FU405" s="8">
        <v>2</v>
      </c>
      <c r="FV405" s="8">
        <v>10</v>
      </c>
      <c r="FW405" s="8">
        <v>10</v>
      </c>
      <c r="FX405" s="8">
        <v>1</v>
      </c>
      <c r="FY405" s="8">
        <v>3</v>
      </c>
      <c r="FZ405">
        <f t="shared" si="6"/>
        <v>600</v>
      </c>
      <c r="GA405" s="7" t="s">
        <v>241</v>
      </c>
      <c r="GB405" s="7" t="s">
        <v>241</v>
      </c>
      <c r="GC405" s="6">
        <v>30</v>
      </c>
      <c r="GD405" s="348" t="s">
        <v>242</v>
      </c>
      <c r="GF405" s="6">
        <v>1.6666666666666666E-2</v>
      </c>
      <c r="GH405" s="7"/>
      <c r="GI405" s="445"/>
      <c r="GJ405" s="445"/>
      <c r="GK405" s="445"/>
      <c r="GL405" s="445"/>
      <c r="GM405" s="453"/>
      <c r="GN405" s="6">
        <v>0.2</v>
      </c>
      <c r="GO405" s="6">
        <v>0.375</v>
      </c>
      <c r="GP405" s="6">
        <v>0.6</v>
      </c>
      <c r="GQ405" s="6">
        <v>1.5</v>
      </c>
      <c r="GR405" s="6" t="s">
        <v>230</v>
      </c>
      <c r="GU405" t="s">
        <v>365</v>
      </c>
      <c r="GV405" t="s">
        <v>236</v>
      </c>
      <c r="GW405" t="s">
        <v>244</v>
      </c>
      <c r="GX405" t="s">
        <v>236</v>
      </c>
      <c r="GY405" t="s">
        <v>245</v>
      </c>
      <c r="GZ405" t="s">
        <v>376</v>
      </c>
      <c r="HB405" t="s">
        <v>376</v>
      </c>
      <c r="HE405" t="s">
        <v>247</v>
      </c>
      <c r="HF405" t="s">
        <v>249</v>
      </c>
      <c r="HG405" t="s">
        <v>231</v>
      </c>
      <c r="HH405" t="s">
        <v>225</v>
      </c>
      <c r="HI405" t="s">
        <v>247</v>
      </c>
      <c r="HJ405" t="s">
        <v>249</v>
      </c>
      <c r="HK405" t="s">
        <v>248</v>
      </c>
      <c r="HL405" t="s">
        <v>231</v>
      </c>
      <c r="HM405" t="s">
        <v>231</v>
      </c>
      <c r="HO405" t="s">
        <v>231</v>
      </c>
      <c r="HP405" t="s">
        <v>249</v>
      </c>
      <c r="HQ405" t="s">
        <v>231</v>
      </c>
      <c r="HR405" t="s">
        <v>249</v>
      </c>
      <c r="HS405" t="s">
        <v>231</v>
      </c>
      <c r="HU405" t="s">
        <v>231</v>
      </c>
      <c r="HV405" t="s">
        <v>249</v>
      </c>
      <c r="HW405" t="s">
        <v>246</v>
      </c>
      <c r="HX405" t="s">
        <v>236</v>
      </c>
      <c r="IA405" t="s">
        <v>231</v>
      </c>
      <c r="IB405" t="s">
        <v>250</v>
      </c>
      <c r="IC405" s="447"/>
      <c r="ID405" s="447"/>
      <c r="IE405" s="447"/>
      <c r="IF405" s="447"/>
      <c r="IH405" t="s">
        <v>235</v>
      </c>
    </row>
    <row r="406" spans="1:242" x14ac:dyDescent="0.35">
      <c r="A406" s="310" t="s">
        <v>2279</v>
      </c>
      <c r="B406" t="s">
        <v>2280</v>
      </c>
      <c r="C406" s="310" t="s">
        <v>2281</v>
      </c>
      <c r="D406" s="316"/>
      <c r="F406" t="s">
        <v>2282</v>
      </c>
      <c r="I406" s="310" t="s">
        <v>2283</v>
      </c>
      <c r="M406" s="313"/>
      <c r="O406"/>
      <c r="P406" s="381"/>
      <c r="Q406"/>
      <c r="T406" s="8"/>
      <c r="U406"/>
      <c r="V406" s="313"/>
      <c r="W406"/>
      <c r="X406"/>
      <c r="Z406"/>
      <c r="AB406"/>
      <c r="AD406" s="8" t="s">
        <v>230</v>
      </c>
      <c r="AF406" s="8" t="s">
        <v>230</v>
      </c>
      <c r="AG406"/>
      <c r="AH406"/>
      <c r="AI406"/>
      <c r="AJ406" t="s">
        <v>221</v>
      </c>
      <c r="AK406">
        <v>0</v>
      </c>
      <c r="AL406">
        <v>0.82499999999999996</v>
      </c>
      <c r="AM406" t="s">
        <v>221</v>
      </c>
      <c r="AN406" t="s">
        <v>223</v>
      </c>
      <c r="AO406" t="s">
        <v>221</v>
      </c>
      <c r="AP406" t="s">
        <v>223</v>
      </c>
      <c r="AQ406" t="s">
        <v>221</v>
      </c>
      <c r="AR406" t="s">
        <v>225</v>
      </c>
      <c r="AS406" t="s">
        <v>221</v>
      </c>
      <c r="AT406" t="s">
        <v>223</v>
      </c>
      <c r="AU406" t="s">
        <v>220</v>
      </c>
      <c r="AV406"/>
      <c r="AW406" s="313" t="s">
        <v>220</v>
      </c>
      <c r="AX406" t="s">
        <v>226</v>
      </c>
      <c r="AY406" s="313" t="s">
        <v>220</v>
      </c>
      <c r="AZ406" s="313">
        <v>5.7700000000000001E-2</v>
      </c>
      <c r="BB406" s="313" t="s">
        <v>220</v>
      </c>
      <c r="BC406">
        <v>3.1199999999999999E-2</v>
      </c>
      <c r="BD406" t="s">
        <v>220</v>
      </c>
      <c r="BE406">
        <v>6.7299999999999999E-2</v>
      </c>
      <c r="BF406" s="2" t="s">
        <v>220</v>
      </c>
      <c r="BG406" s="2" t="s">
        <v>273</v>
      </c>
      <c r="BH406" s="2" t="s">
        <v>274</v>
      </c>
      <c r="BI406" s="2" t="s">
        <v>275</v>
      </c>
      <c r="BM406"/>
      <c r="BP406" s="8"/>
      <c r="BQ406" t="s">
        <v>230</v>
      </c>
      <c r="BR406" t="s">
        <v>230</v>
      </c>
      <c r="BU406" t="s">
        <v>231</v>
      </c>
      <c r="BV406" t="s">
        <v>223</v>
      </c>
      <c r="BW406" t="s">
        <v>232</v>
      </c>
      <c r="BX406" t="s">
        <v>276</v>
      </c>
      <c r="BY406" t="s">
        <v>220</v>
      </c>
      <c r="BZ406">
        <v>0.23799999999999999</v>
      </c>
      <c r="CA406" t="s">
        <v>234</v>
      </c>
      <c r="CF406" t="s">
        <v>220</v>
      </c>
      <c r="CG406">
        <v>8.7999999999999995E-2</v>
      </c>
      <c r="CH406" t="s">
        <v>220</v>
      </c>
      <c r="CI406">
        <v>0.29899999999999999</v>
      </c>
      <c r="CK406"/>
      <c r="CL406"/>
      <c r="CM406"/>
      <c r="CS406" s="8"/>
      <c r="CW406" t="s">
        <v>220</v>
      </c>
      <c r="CX406" t="s">
        <v>220</v>
      </c>
      <c r="CY406" t="s">
        <v>231</v>
      </c>
      <c r="CZ406" t="s">
        <v>257</v>
      </c>
      <c r="DA406" t="s">
        <v>227</v>
      </c>
      <c r="DB406" t="s">
        <v>220</v>
      </c>
      <c r="DC406"/>
      <c r="DD406"/>
      <c r="DE406"/>
      <c r="DF406"/>
      <c r="DG406"/>
      <c r="DH406" s="323"/>
      <c r="DI406" s="323"/>
      <c r="DJ406" s="323"/>
      <c r="DL406" t="s">
        <v>257</v>
      </c>
      <c r="DM406" t="s">
        <v>220</v>
      </c>
      <c r="DN406" t="s">
        <v>227</v>
      </c>
      <c r="DO406" t="s">
        <v>220</v>
      </c>
      <c r="DP406" t="s">
        <v>257</v>
      </c>
      <c r="DS406" s="309">
        <v>161.334</v>
      </c>
      <c r="DU406" s="309">
        <v>414.37400000000002</v>
      </c>
      <c r="DW406">
        <v>22</v>
      </c>
      <c r="DX406" t="s">
        <v>238</v>
      </c>
      <c r="DY406">
        <v>766</v>
      </c>
      <c r="DZ406" t="s">
        <v>238</v>
      </c>
      <c r="EA406"/>
      <c r="EB406"/>
      <c r="ED406" s="410"/>
      <c r="EE406" s="1"/>
      <c r="EG406" s="410"/>
      <c r="EI406" s="410"/>
      <c r="EK406" s="1"/>
      <c r="EM406"/>
      <c r="EQ406" s="344"/>
      <c r="EU406" s="344"/>
      <c r="EW406" s="409"/>
      <c r="EY406" s="1"/>
      <c r="FA406">
        <v>111.2</v>
      </c>
      <c r="FB406" t="s">
        <v>225</v>
      </c>
      <c r="FC406" s="7">
        <v>395.91321672816616</v>
      </c>
      <c r="FD406" s="357" t="s">
        <v>236</v>
      </c>
      <c r="FE406" s="8">
        <v>25.959719768130437</v>
      </c>
      <c r="FF406" t="s">
        <v>237</v>
      </c>
      <c r="FH406" s="9">
        <v>239.11124459496958</v>
      </c>
      <c r="FI406" s="9" t="s">
        <v>225</v>
      </c>
      <c r="FJ406">
        <v>1370</v>
      </c>
      <c r="FK406" t="s">
        <v>238</v>
      </c>
      <c r="FL406">
        <v>205</v>
      </c>
      <c r="FM406">
        <v>93.303943579109017</v>
      </c>
      <c r="FN406" s="5" t="s">
        <v>237</v>
      </c>
      <c r="FP406" s="6">
        <v>4.6651971789554505</v>
      </c>
      <c r="FQ406" t="s">
        <v>277</v>
      </c>
      <c r="FS406" t="s">
        <v>240</v>
      </c>
      <c r="FT406" t="e">
        <f>FQ406=#REF!</f>
        <v>#REF!</v>
      </c>
      <c r="FU406" s="8">
        <v>2</v>
      </c>
      <c r="FV406" s="8">
        <v>10</v>
      </c>
      <c r="FW406" s="8">
        <v>10</v>
      </c>
      <c r="FX406" s="8">
        <v>10</v>
      </c>
      <c r="FY406" s="8">
        <v>3</v>
      </c>
      <c r="FZ406">
        <f t="shared" si="6"/>
        <v>6000</v>
      </c>
      <c r="GA406" s="7" t="s">
        <v>303</v>
      </c>
      <c r="GB406" s="7" t="s">
        <v>303</v>
      </c>
      <c r="GC406" s="6">
        <v>9</v>
      </c>
      <c r="GD406" s="348" t="s">
        <v>242</v>
      </c>
      <c r="GF406" s="6">
        <v>4.3266199613550729E-2</v>
      </c>
      <c r="GH406" s="7"/>
      <c r="GI406" s="441">
        <v>0.104</v>
      </c>
      <c r="GJ406" s="441">
        <v>0.19400000000000001</v>
      </c>
      <c r="GK406" s="441">
        <v>0.311</v>
      </c>
      <c r="GL406" s="441">
        <v>0.77800000000000002</v>
      </c>
      <c r="GM406" s="452" t="s">
        <v>529</v>
      </c>
      <c r="GN406" s="6">
        <v>0.06</v>
      </c>
      <c r="GO406" s="6">
        <v>0.1125</v>
      </c>
      <c r="GP406" s="6">
        <v>0.18</v>
      </c>
      <c r="GQ406" s="6">
        <v>0.45</v>
      </c>
      <c r="GR406" s="6" t="s">
        <v>230</v>
      </c>
      <c r="GU406" t="s">
        <v>243</v>
      </c>
      <c r="GV406" t="s">
        <v>225</v>
      </c>
      <c r="GW406" t="s">
        <v>244</v>
      </c>
      <c r="GX406" t="s">
        <v>236</v>
      </c>
      <c r="GY406" t="s">
        <v>245</v>
      </c>
      <c r="HE406" t="s">
        <v>384</v>
      </c>
      <c r="HF406" t="s">
        <v>223</v>
      </c>
      <c r="HG406" t="s">
        <v>317</v>
      </c>
      <c r="HH406" t="s">
        <v>236</v>
      </c>
      <c r="HI406" t="s">
        <v>247</v>
      </c>
      <c r="HJ406" t="s">
        <v>223</v>
      </c>
      <c r="HK406" t="s">
        <v>266</v>
      </c>
      <c r="HO406" t="s">
        <v>231</v>
      </c>
      <c r="HP406" t="s">
        <v>223</v>
      </c>
      <c r="HQ406" t="s">
        <v>231</v>
      </c>
      <c r="HR406" t="s">
        <v>223</v>
      </c>
      <c r="HU406" t="s">
        <v>231</v>
      </c>
      <c r="HV406" t="s">
        <v>223</v>
      </c>
      <c r="HW406" t="s">
        <v>246</v>
      </c>
      <c r="HX406" t="s">
        <v>236</v>
      </c>
      <c r="IA406" t="s">
        <v>231</v>
      </c>
      <c r="IB406" t="s">
        <v>250</v>
      </c>
      <c r="IC406">
        <v>0.104</v>
      </c>
      <c r="ID406">
        <v>0.19400000000000001</v>
      </c>
      <c r="IE406">
        <v>0.311</v>
      </c>
      <c r="IF406">
        <v>0.77800000000000002</v>
      </c>
      <c r="IH406" t="s">
        <v>267</v>
      </c>
    </row>
    <row r="407" spans="1:242" hidden="1" x14ac:dyDescent="0.35">
      <c r="A407" s="310" t="s">
        <v>2284</v>
      </c>
      <c r="B407" t="s">
        <v>2285</v>
      </c>
      <c r="C407" s="310" t="s">
        <v>2286</v>
      </c>
      <c r="D407" s="316"/>
      <c r="F407" t="s">
        <v>2287</v>
      </c>
      <c r="I407" s="310" t="s">
        <v>2288</v>
      </c>
      <c r="M407" s="313" t="s">
        <v>220</v>
      </c>
      <c r="N407" s="313" t="s">
        <v>2289</v>
      </c>
      <c r="O407"/>
      <c r="P407" s="381"/>
      <c r="Q407"/>
      <c r="T407" s="8"/>
      <c r="U407"/>
      <c r="V407" s="313"/>
      <c r="W407" t="s">
        <v>301</v>
      </c>
      <c r="X407"/>
      <c r="Z407"/>
      <c r="AB407"/>
      <c r="AD407" s="8" t="s">
        <v>230</v>
      </c>
      <c r="AF407" s="8" t="s">
        <v>230</v>
      </c>
      <c r="AG407"/>
      <c r="AH407"/>
      <c r="AI407"/>
      <c r="AJ407" t="s">
        <v>221</v>
      </c>
      <c r="AK407">
        <v>0.05</v>
      </c>
      <c r="AL407">
        <v>0.67500000000000004</v>
      </c>
      <c r="AM407" t="s">
        <v>221</v>
      </c>
      <c r="AN407" t="s">
        <v>223</v>
      </c>
      <c r="AO407" t="s">
        <v>221</v>
      </c>
      <c r="AP407" t="s">
        <v>223</v>
      </c>
      <c r="AQ407" t="s">
        <v>414</v>
      </c>
      <c r="AR407" t="s">
        <v>236</v>
      </c>
      <c r="AS407" t="s">
        <v>221</v>
      </c>
      <c r="AT407" t="s">
        <v>223</v>
      </c>
      <c r="AU407" t="s">
        <v>272</v>
      </c>
      <c r="AV407"/>
      <c r="AW407" s="313" t="s">
        <v>220</v>
      </c>
      <c r="AX407" t="s">
        <v>226</v>
      </c>
      <c r="AY407" s="313" t="s">
        <v>431</v>
      </c>
      <c r="AZ407" s="313">
        <v>0.55300000000000005</v>
      </c>
      <c r="BB407" s="313" t="s">
        <v>431</v>
      </c>
      <c r="BC407">
        <v>0.46400000000000002</v>
      </c>
      <c r="BD407" t="s">
        <v>220</v>
      </c>
      <c r="BE407">
        <v>0.28000000000000003</v>
      </c>
      <c r="BF407" s="2" t="s">
        <v>313</v>
      </c>
      <c r="BH407" s="2" t="s">
        <v>274</v>
      </c>
      <c r="BI407" s="2" t="s">
        <v>2290</v>
      </c>
      <c r="BM407"/>
      <c r="BP407" s="8"/>
      <c r="BQ407" t="s">
        <v>230</v>
      </c>
      <c r="BR407" t="s">
        <v>230</v>
      </c>
      <c r="BU407" t="s">
        <v>317</v>
      </c>
      <c r="BV407" t="s">
        <v>236</v>
      </c>
      <c r="BW407" t="s">
        <v>232</v>
      </c>
      <c r="BX407" t="s">
        <v>284</v>
      </c>
      <c r="BY407" t="s">
        <v>220</v>
      </c>
      <c r="BZ407">
        <v>0.24</v>
      </c>
      <c r="CA407" t="s">
        <v>372</v>
      </c>
      <c r="CF407" t="s">
        <v>220</v>
      </c>
      <c r="CG407">
        <v>0.191</v>
      </c>
      <c r="CH407" t="s">
        <v>220</v>
      </c>
      <c r="CI407">
        <v>0.21099999999999999</v>
      </c>
      <c r="CK407"/>
      <c r="CL407"/>
      <c r="CM407"/>
      <c r="CS407" s="8"/>
      <c r="CW407" t="s">
        <v>227</v>
      </c>
      <c r="CX407" t="s">
        <v>220</v>
      </c>
      <c r="CY407" t="s">
        <v>231</v>
      </c>
      <c r="CZ407" t="s">
        <v>220</v>
      </c>
      <c r="DA407" t="s">
        <v>220</v>
      </c>
      <c r="DB407" t="s">
        <v>220</v>
      </c>
      <c r="DC407"/>
      <c r="DD407"/>
      <c r="DE407"/>
      <c r="DF407"/>
      <c r="DG407"/>
      <c r="DH407" s="323"/>
      <c r="DI407" s="323"/>
      <c r="DJ407" s="323"/>
      <c r="DL407" t="s">
        <v>257</v>
      </c>
      <c r="DM407" t="s">
        <v>220</v>
      </c>
      <c r="DN407" t="s">
        <v>257</v>
      </c>
      <c r="DO407" t="s">
        <v>220</v>
      </c>
      <c r="DP407" t="s">
        <v>220</v>
      </c>
      <c r="DS407" s="309">
        <v>94.899000000000001</v>
      </c>
      <c r="DU407" s="309">
        <v>617.50900000000001</v>
      </c>
      <c r="DW407"/>
      <c r="DX407" t="s">
        <v>235</v>
      </c>
      <c r="DY407"/>
      <c r="DZ407" t="s">
        <v>235</v>
      </c>
      <c r="EA407"/>
      <c r="EB407"/>
      <c r="ED407" s="410"/>
      <c r="EE407" s="1"/>
      <c r="EG407" s="410"/>
      <c r="EI407" s="410"/>
      <c r="EK407" s="1"/>
      <c r="EM407"/>
      <c r="EQ407" s="344"/>
      <c r="EU407" s="344"/>
      <c r="EW407" s="409"/>
      <c r="EY407" s="1"/>
      <c r="FA407">
        <v>92.15</v>
      </c>
      <c r="FB407" t="s">
        <v>236</v>
      </c>
      <c r="FC407" s="7">
        <v>236.6464533352565</v>
      </c>
      <c r="FD407" s="357" t="s">
        <v>236</v>
      </c>
      <c r="FE407" s="8">
        <v>4.3102255800499565</v>
      </c>
      <c r="FF407" t="s">
        <v>237</v>
      </c>
      <c r="FH407" s="9">
        <v>91.432374805709898</v>
      </c>
      <c r="FI407" s="9" t="s">
        <v>236</v>
      </c>
      <c r="FK407" t="s">
        <v>235</v>
      </c>
      <c r="FL407">
        <v>157</v>
      </c>
      <c r="FM407">
        <v>3.8967271730789976</v>
      </c>
      <c r="FN407" s="5" t="s">
        <v>237</v>
      </c>
      <c r="FP407" s="6">
        <v>15.7</v>
      </c>
      <c r="FQ407" t="s">
        <v>239</v>
      </c>
      <c r="FS407" t="s">
        <v>240</v>
      </c>
      <c r="FU407" s="8">
        <v>1</v>
      </c>
      <c r="FV407" s="8">
        <v>10</v>
      </c>
      <c r="FW407" s="8">
        <v>10</v>
      </c>
      <c r="FX407" s="8">
        <v>10</v>
      </c>
      <c r="FY407" s="8">
        <v>3</v>
      </c>
      <c r="FZ407">
        <f t="shared" si="6"/>
        <v>3000</v>
      </c>
      <c r="GB407" s="7" t="s">
        <v>241</v>
      </c>
      <c r="GC407" s="6">
        <v>30</v>
      </c>
      <c r="GD407" s="348" t="s">
        <v>242</v>
      </c>
      <c r="GF407" s="6">
        <v>5.2333333333333336E-2</v>
      </c>
      <c r="GH407" s="7"/>
      <c r="GI407" s="441">
        <v>0.34899999999999998</v>
      </c>
      <c r="GJ407" s="441">
        <v>0.65400000000000003</v>
      </c>
      <c r="GK407" s="441">
        <v>1.0469999999999999</v>
      </c>
      <c r="GL407" s="441">
        <v>2.617</v>
      </c>
      <c r="GM407" s="452" t="s">
        <v>262</v>
      </c>
      <c r="GN407" s="6">
        <v>0.2</v>
      </c>
      <c r="GO407" s="6">
        <v>0.375</v>
      </c>
      <c r="GP407" s="6">
        <v>0.6</v>
      </c>
      <c r="GQ407" s="6">
        <v>1.5</v>
      </c>
      <c r="GR407" s="6" t="s">
        <v>230</v>
      </c>
      <c r="GU407" t="s">
        <v>243</v>
      </c>
      <c r="GV407" t="s">
        <v>236</v>
      </c>
      <c r="GW407" t="s">
        <v>244</v>
      </c>
      <c r="GX407" t="s">
        <v>236</v>
      </c>
      <c r="GY407" t="s">
        <v>245</v>
      </c>
      <c r="HE407" t="s">
        <v>247</v>
      </c>
      <c r="HF407" t="s">
        <v>223</v>
      </c>
      <c r="HG407" t="s">
        <v>317</v>
      </c>
      <c r="HH407" t="s">
        <v>236</v>
      </c>
      <c r="HI407" t="s">
        <v>247</v>
      </c>
      <c r="HJ407" t="s">
        <v>223</v>
      </c>
      <c r="HK407" t="s">
        <v>266</v>
      </c>
      <c r="HO407" t="s">
        <v>231</v>
      </c>
      <c r="HP407" t="s">
        <v>223</v>
      </c>
      <c r="HQ407" t="s">
        <v>231</v>
      </c>
      <c r="HR407" t="s">
        <v>223</v>
      </c>
      <c r="HU407" t="s">
        <v>231</v>
      </c>
      <c r="HV407" t="s">
        <v>223</v>
      </c>
      <c r="HW407" t="s">
        <v>246</v>
      </c>
      <c r="HX407" t="s">
        <v>236</v>
      </c>
      <c r="IA407" t="s">
        <v>231</v>
      </c>
      <c r="IB407" t="s">
        <v>250</v>
      </c>
      <c r="IC407">
        <v>0.34899999999999998</v>
      </c>
      <c r="ID407">
        <v>0.65400000000000003</v>
      </c>
      <c r="IE407">
        <v>1.0469999999999999</v>
      </c>
      <c r="IF407">
        <v>2.617</v>
      </c>
      <c r="IH407" t="s">
        <v>267</v>
      </c>
    </row>
    <row r="408" spans="1:242" x14ac:dyDescent="0.35">
      <c r="A408" s="310" t="s">
        <v>2291</v>
      </c>
      <c r="B408" t="s">
        <v>2292</v>
      </c>
      <c r="C408" s="310" t="s">
        <v>2293</v>
      </c>
      <c r="D408" s="316"/>
      <c r="F408" t="s">
        <v>2294</v>
      </c>
      <c r="I408" s="310" t="s">
        <v>2295</v>
      </c>
      <c r="M408" s="313"/>
      <c r="O408"/>
      <c r="P408" s="381"/>
      <c r="Q408"/>
      <c r="T408" s="8"/>
      <c r="U408"/>
      <c r="V408" s="313"/>
      <c r="W408"/>
      <c r="X408"/>
      <c r="Z408"/>
      <c r="AB408"/>
      <c r="AD408" s="8" t="s">
        <v>230</v>
      </c>
      <c r="AF408" s="8" t="s">
        <v>230</v>
      </c>
      <c r="AG408"/>
      <c r="AH408"/>
      <c r="AI408"/>
      <c r="AJ408" t="s">
        <v>221</v>
      </c>
      <c r="AK408">
        <v>0</v>
      </c>
      <c r="AL408">
        <v>0.75</v>
      </c>
      <c r="AM408" t="s">
        <v>221</v>
      </c>
      <c r="AN408" t="s">
        <v>223</v>
      </c>
      <c r="AO408" t="s">
        <v>221</v>
      </c>
      <c r="AP408" t="s">
        <v>223</v>
      </c>
      <c r="AQ408" t="s">
        <v>221</v>
      </c>
      <c r="AR408" t="s">
        <v>225</v>
      </c>
      <c r="AS408" t="s">
        <v>221</v>
      </c>
      <c r="AT408" t="s">
        <v>225</v>
      </c>
      <c r="AU408" t="s">
        <v>220</v>
      </c>
      <c r="AV408"/>
      <c r="AW408" s="313" t="s">
        <v>220</v>
      </c>
      <c r="AX408" t="s">
        <v>226</v>
      </c>
      <c r="AY408" s="313" t="s">
        <v>220</v>
      </c>
      <c r="AZ408" s="313">
        <v>4.5999999999999999E-2</v>
      </c>
      <c r="BB408" s="313" t="s">
        <v>220</v>
      </c>
      <c r="BC408">
        <v>2.46E-2</v>
      </c>
      <c r="BD408" t="s">
        <v>220</v>
      </c>
      <c r="BE408">
        <v>6.6400000000000001E-2</v>
      </c>
      <c r="BF408" s="2" t="s">
        <v>220</v>
      </c>
      <c r="BG408" s="2" t="s">
        <v>273</v>
      </c>
      <c r="BH408" s="2" t="s">
        <v>274</v>
      </c>
      <c r="BI408" s="2" t="s">
        <v>275</v>
      </c>
      <c r="BM408"/>
      <c r="BP408" s="8"/>
      <c r="BQ408" t="s">
        <v>230</v>
      </c>
      <c r="BR408" t="s">
        <v>230</v>
      </c>
      <c r="BU408" t="s">
        <v>231</v>
      </c>
      <c r="BV408" t="s">
        <v>223</v>
      </c>
      <c r="BW408" t="s">
        <v>232</v>
      </c>
      <c r="BX408" t="s">
        <v>500</v>
      </c>
      <c r="BY408" t="s">
        <v>220</v>
      </c>
      <c r="BZ408">
        <v>0.20899999999999999</v>
      </c>
      <c r="CA408" t="s">
        <v>234</v>
      </c>
      <c r="CF408" t="s">
        <v>220</v>
      </c>
      <c r="CG408">
        <v>8.0399999999999999E-2</v>
      </c>
      <c r="CH408" t="s">
        <v>220</v>
      </c>
      <c r="CI408">
        <v>9.7600000000000006E-2</v>
      </c>
      <c r="CK408"/>
      <c r="CL408"/>
      <c r="CM408"/>
      <c r="CS408" s="8"/>
      <c r="CW408" t="s">
        <v>220</v>
      </c>
      <c r="CX408" t="s">
        <v>220</v>
      </c>
      <c r="CY408" t="s">
        <v>231</v>
      </c>
      <c r="CZ408" t="s">
        <v>220</v>
      </c>
      <c r="DA408" t="s">
        <v>227</v>
      </c>
      <c r="DB408" t="s">
        <v>220</v>
      </c>
      <c r="DC408"/>
      <c r="DD408"/>
      <c r="DE408"/>
      <c r="DF408"/>
      <c r="DG408"/>
      <c r="DH408" s="323"/>
      <c r="DI408" s="323"/>
      <c r="DJ408" s="323"/>
      <c r="DL408" t="s">
        <v>220</v>
      </c>
      <c r="DM408" t="s">
        <v>220</v>
      </c>
      <c r="DN408" t="s">
        <v>227</v>
      </c>
      <c r="DO408" t="s">
        <v>227</v>
      </c>
      <c r="DP408" t="s">
        <v>227</v>
      </c>
      <c r="DS408" s="338">
        <v>829.07299999999998</v>
      </c>
      <c r="DT408" s="8" t="s">
        <v>394</v>
      </c>
      <c r="DU408" s="309">
        <v>380.32900000000001</v>
      </c>
      <c r="DW408">
        <v>11.2</v>
      </c>
      <c r="DX408" t="s">
        <v>238</v>
      </c>
      <c r="DY408">
        <v>1880</v>
      </c>
      <c r="DZ408" t="s">
        <v>238</v>
      </c>
      <c r="EA408"/>
      <c r="EB408"/>
      <c r="ED408" s="410"/>
      <c r="EE408" s="1"/>
      <c r="EG408" s="410"/>
      <c r="EI408" s="410"/>
      <c r="EK408" s="1"/>
      <c r="EM408"/>
      <c r="EQ408" s="344"/>
      <c r="EU408" s="344"/>
      <c r="EW408" s="409"/>
      <c r="EY408" s="1"/>
      <c r="FA408">
        <v>30.78</v>
      </c>
      <c r="FB408" t="s">
        <v>236</v>
      </c>
      <c r="FC408" s="7">
        <v>1241.0806372156551</v>
      </c>
      <c r="FD408" s="357" t="s">
        <v>236</v>
      </c>
      <c r="FE408" s="8">
        <v>1.8407720014689561</v>
      </c>
      <c r="FF408" t="s">
        <v>237</v>
      </c>
      <c r="FH408" s="9">
        <v>293.69733110014471</v>
      </c>
      <c r="FI408" s="9" t="s">
        <v>236</v>
      </c>
      <c r="FJ408">
        <v>138</v>
      </c>
      <c r="FK408" t="s">
        <v>238</v>
      </c>
      <c r="FL408">
        <v>109</v>
      </c>
      <c r="FM408">
        <v>19.756044694326082</v>
      </c>
      <c r="FN408" s="5" t="s">
        <v>237</v>
      </c>
      <c r="FP408" s="6">
        <v>10.9</v>
      </c>
      <c r="FQ408" t="s">
        <v>239</v>
      </c>
      <c r="FS408" t="s">
        <v>240</v>
      </c>
      <c r="FT408" t="e">
        <f>FQ408=#REF!</f>
        <v>#REF!</v>
      </c>
      <c r="FU408" s="8">
        <v>1</v>
      </c>
      <c r="FV408" s="8">
        <v>10</v>
      </c>
      <c r="FW408" s="8">
        <v>10</v>
      </c>
      <c r="FX408" s="8">
        <v>10</v>
      </c>
      <c r="FY408" s="8">
        <v>3</v>
      </c>
      <c r="FZ408">
        <f t="shared" si="6"/>
        <v>3000</v>
      </c>
      <c r="GA408" s="7" t="s">
        <v>326</v>
      </c>
      <c r="GB408" s="7" t="s">
        <v>326</v>
      </c>
      <c r="GC408" s="6">
        <v>1.5</v>
      </c>
      <c r="GD408" s="348" t="s">
        <v>242</v>
      </c>
      <c r="GF408" s="6">
        <v>3.6333333333333336E-2</v>
      </c>
      <c r="GH408" s="7"/>
      <c r="GI408" s="441">
        <v>0.24199999999999999</v>
      </c>
      <c r="GJ408" s="441">
        <v>0.45400000000000001</v>
      </c>
      <c r="GK408" s="441">
        <v>0.72699999999999998</v>
      </c>
      <c r="GL408" s="441">
        <v>1.8169999999999999</v>
      </c>
      <c r="GM408" s="452" t="s">
        <v>262</v>
      </c>
      <c r="GN408" s="6">
        <v>0.01</v>
      </c>
      <c r="GO408" s="6">
        <v>1.8749999999999999E-2</v>
      </c>
      <c r="GP408" s="6">
        <v>0.03</v>
      </c>
      <c r="GQ408" s="6">
        <v>7.4999999999999997E-2</v>
      </c>
      <c r="GR408" s="6" t="s">
        <v>230</v>
      </c>
      <c r="GU408" t="s">
        <v>365</v>
      </c>
      <c r="GV408" t="s">
        <v>236</v>
      </c>
      <c r="GW408" t="s">
        <v>244</v>
      </c>
      <c r="GX408" t="s">
        <v>236</v>
      </c>
      <c r="GY408" t="s">
        <v>245</v>
      </c>
      <c r="HE408" t="s">
        <v>247</v>
      </c>
      <c r="HF408" t="s">
        <v>236</v>
      </c>
      <c r="HG408" t="s">
        <v>317</v>
      </c>
      <c r="HH408" t="s">
        <v>236</v>
      </c>
      <c r="HI408" t="s">
        <v>247</v>
      </c>
      <c r="HJ408" t="s">
        <v>236</v>
      </c>
      <c r="HK408" t="s">
        <v>266</v>
      </c>
      <c r="HO408" t="s">
        <v>231</v>
      </c>
      <c r="HP408" t="s">
        <v>223</v>
      </c>
      <c r="HQ408" t="s">
        <v>231</v>
      </c>
      <c r="HR408" t="s">
        <v>223</v>
      </c>
      <c r="HU408" t="s">
        <v>231</v>
      </c>
      <c r="HV408" t="s">
        <v>225</v>
      </c>
      <c r="HW408" t="s">
        <v>482</v>
      </c>
      <c r="HX408" t="s">
        <v>223</v>
      </c>
      <c r="IA408" t="s">
        <v>231</v>
      </c>
      <c r="IB408" t="s">
        <v>250</v>
      </c>
      <c r="IC408">
        <v>0.24199999999999999</v>
      </c>
      <c r="ID408">
        <v>0.45400000000000001</v>
      </c>
      <c r="IE408">
        <v>0.72699999999999998</v>
      </c>
      <c r="IF408">
        <v>1.8169999999999999</v>
      </c>
      <c r="IH408" t="s">
        <v>267</v>
      </c>
    </row>
    <row r="409" spans="1:242" ht="159.5" x14ac:dyDescent="0.35">
      <c r="A409" s="310" t="s">
        <v>537</v>
      </c>
      <c r="B409" t="s">
        <v>2296</v>
      </c>
      <c r="C409" s="310" t="s">
        <v>2297</v>
      </c>
      <c r="D409" s="316"/>
      <c r="F409" t="s">
        <v>2298</v>
      </c>
      <c r="I409" s="310" t="s">
        <v>2299</v>
      </c>
      <c r="M409" s="313"/>
      <c r="O409"/>
      <c r="P409" s="381"/>
      <c r="Q409"/>
      <c r="T409" s="8"/>
      <c r="U409"/>
      <c r="V409" s="313"/>
      <c r="W409"/>
      <c r="X409"/>
      <c r="Z409"/>
      <c r="AB409"/>
      <c r="AD409" s="8" t="s">
        <v>230</v>
      </c>
      <c r="AF409" s="8" t="s">
        <v>230</v>
      </c>
      <c r="AG409"/>
      <c r="AH409"/>
      <c r="AI409"/>
      <c r="AJ409" t="s">
        <v>221</v>
      </c>
      <c r="AK409">
        <v>0.05</v>
      </c>
      <c r="AL409">
        <v>0.45</v>
      </c>
      <c r="AM409" t="s">
        <v>221</v>
      </c>
      <c r="AN409" t="s">
        <v>225</v>
      </c>
      <c r="AO409" t="s">
        <v>221</v>
      </c>
      <c r="AP409" t="s">
        <v>225</v>
      </c>
      <c r="AQ409" t="s">
        <v>221</v>
      </c>
      <c r="AR409" t="s">
        <v>225</v>
      </c>
      <c r="AS409" t="s">
        <v>414</v>
      </c>
      <c r="AT409" t="s">
        <v>236</v>
      </c>
      <c r="AU409" t="s">
        <v>220</v>
      </c>
      <c r="AV409"/>
      <c r="AW409" s="313" t="s">
        <v>220</v>
      </c>
      <c r="AX409" t="s">
        <v>226</v>
      </c>
      <c r="AY409" s="313" t="s">
        <v>220</v>
      </c>
      <c r="AZ409" s="313">
        <v>6.6699999999999995E-2</v>
      </c>
      <c r="BB409" s="313" t="s">
        <v>220</v>
      </c>
      <c r="BC409">
        <v>4.58E-2</v>
      </c>
      <c r="BD409" t="s">
        <v>220</v>
      </c>
      <c r="BE409">
        <v>7.7299999999999999E-3</v>
      </c>
      <c r="BF409" s="2" t="s">
        <v>220</v>
      </c>
      <c r="BG409" s="2" t="s">
        <v>653</v>
      </c>
      <c r="BH409" s="2" t="s">
        <v>274</v>
      </c>
      <c r="BI409" s="2" t="s">
        <v>275</v>
      </c>
      <c r="BM409"/>
      <c r="BP409" s="8"/>
      <c r="BQ409" t="s">
        <v>230</v>
      </c>
      <c r="BR409" t="s">
        <v>230</v>
      </c>
      <c r="BU409" t="s">
        <v>317</v>
      </c>
      <c r="BV409" t="s">
        <v>225</v>
      </c>
      <c r="BW409" t="s">
        <v>232</v>
      </c>
      <c r="BX409" t="s">
        <v>500</v>
      </c>
      <c r="BY409" t="s">
        <v>220</v>
      </c>
      <c r="BZ409">
        <v>0.26200000000000001</v>
      </c>
      <c r="CA409" t="s">
        <v>372</v>
      </c>
      <c r="CF409" t="s">
        <v>220</v>
      </c>
      <c r="CG409">
        <v>0.183</v>
      </c>
      <c r="CH409" t="s">
        <v>257</v>
      </c>
      <c r="CI409">
        <v>0.88800000000000001</v>
      </c>
      <c r="CK409"/>
      <c r="CL409"/>
      <c r="CM409"/>
      <c r="CS409" s="8"/>
      <c r="CW409" t="s">
        <v>220</v>
      </c>
      <c r="CX409" t="s">
        <v>257</v>
      </c>
      <c r="CY409" t="s">
        <v>231</v>
      </c>
      <c r="CZ409" t="s">
        <v>220</v>
      </c>
      <c r="DA409" t="s">
        <v>220</v>
      </c>
      <c r="DB409" t="s">
        <v>220</v>
      </c>
      <c r="DC409"/>
      <c r="DD409"/>
      <c r="DE409"/>
      <c r="DF409"/>
      <c r="DG409"/>
      <c r="DH409" s="323"/>
      <c r="DI409" s="323"/>
      <c r="DJ409" s="323"/>
      <c r="DL409" t="s">
        <v>257</v>
      </c>
      <c r="DM409" t="s">
        <v>220</v>
      </c>
      <c r="DN409" t="s">
        <v>227</v>
      </c>
      <c r="DO409" t="s">
        <v>257</v>
      </c>
      <c r="DP409" t="s">
        <v>257</v>
      </c>
      <c r="DS409" s="338">
        <v>144.66800000000001</v>
      </c>
      <c r="DT409" s="8" t="s">
        <v>394</v>
      </c>
      <c r="DU409" s="338">
        <v>10698.652</v>
      </c>
      <c r="DV409" s="8" t="s">
        <v>394</v>
      </c>
      <c r="DW409"/>
      <c r="DX409" t="s">
        <v>235</v>
      </c>
      <c r="DY409"/>
      <c r="DZ409" t="s">
        <v>235</v>
      </c>
      <c r="EA409"/>
      <c r="EB409"/>
      <c r="ED409" s="410"/>
      <c r="EE409" s="1"/>
      <c r="EG409" s="410"/>
      <c r="EI409" s="410"/>
      <c r="EK409" s="1"/>
      <c r="EM409"/>
      <c r="EQ409" s="344"/>
      <c r="EU409" s="344"/>
      <c r="EW409" s="409"/>
      <c r="EY409" s="1"/>
      <c r="FA409">
        <v>2175.46</v>
      </c>
      <c r="FB409" t="s">
        <v>236</v>
      </c>
      <c r="FC409" s="7">
        <v>1383.247837714667</v>
      </c>
      <c r="FD409" s="357" t="s">
        <v>225</v>
      </c>
      <c r="FE409" s="8">
        <v>729.28956579172348</v>
      </c>
      <c r="FF409" t="s">
        <v>237</v>
      </c>
      <c r="FH409" s="9">
        <v>6942.2460171411904</v>
      </c>
      <c r="FI409" s="9" t="s">
        <v>236</v>
      </c>
      <c r="FK409" t="s">
        <v>235</v>
      </c>
      <c r="FL409">
        <v>4970</v>
      </c>
      <c r="FM409">
        <v>2861.541178981201</v>
      </c>
      <c r="FN409" s="5" t="s">
        <v>237</v>
      </c>
      <c r="FP409" s="6">
        <v>143.07705894906005</v>
      </c>
      <c r="FQ409" t="s">
        <v>277</v>
      </c>
      <c r="FS409" t="s">
        <v>240</v>
      </c>
      <c r="FT409" t="e">
        <f>FQ409=#REF!</f>
        <v>#REF!</v>
      </c>
      <c r="FU409" s="8">
        <v>2</v>
      </c>
      <c r="FV409" s="8">
        <v>10</v>
      </c>
      <c r="FW409" s="8">
        <v>10</v>
      </c>
      <c r="FX409" s="8">
        <v>10</v>
      </c>
      <c r="FY409" s="8">
        <v>3</v>
      </c>
      <c r="FZ409">
        <f t="shared" si="6"/>
        <v>6000</v>
      </c>
      <c r="GA409" s="7" t="s">
        <v>326</v>
      </c>
      <c r="GB409" s="7" t="s">
        <v>326</v>
      </c>
      <c r="GC409" s="6">
        <v>1.5</v>
      </c>
      <c r="GD409" s="348" t="s">
        <v>242</v>
      </c>
      <c r="GF409" s="6">
        <v>1.2154826096528724</v>
      </c>
      <c r="GH409" s="7"/>
      <c r="GI409" s="441">
        <v>3.1789999999999998</v>
      </c>
      <c r="GJ409" s="441">
        <v>5.9619999999999997</v>
      </c>
      <c r="GK409" s="441">
        <v>9.5380000000000003</v>
      </c>
      <c r="GL409" s="441">
        <v>23.846</v>
      </c>
      <c r="GM409" s="461" t="s">
        <v>790</v>
      </c>
      <c r="GN409" s="6">
        <v>0.01</v>
      </c>
      <c r="GO409" s="6">
        <v>1.8749999999999999E-2</v>
      </c>
      <c r="GP409" s="6">
        <v>0.03</v>
      </c>
      <c r="GQ409" s="6">
        <v>7.4999999999999997E-2</v>
      </c>
      <c r="GR409" s="461" t="s">
        <v>790</v>
      </c>
      <c r="GU409" t="s">
        <v>243</v>
      </c>
      <c r="GV409" t="s">
        <v>225</v>
      </c>
      <c r="GW409" t="s">
        <v>244</v>
      </c>
      <c r="GX409" t="s">
        <v>236</v>
      </c>
      <c r="GY409" t="s">
        <v>245</v>
      </c>
      <c r="HE409" t="s">
        <v>247</v>
      </c>
      <c r="HF409" t="s">
        <v>223</v>
      </c>
      <c r="HG409" t="s">
        <v>231</v>
      </c>
      <c r="HH409" t="s">
        <v>223</v>
      </c>
      <c r="HI409" t="s">
        <v>247</v>
      </c>
      <c r="HJ409" t="s">
        <v>225</v>
      </c>
      <c r="HK409" t="s">
        <v>568</v>
      </c>
      <c r="HO409" t="s">
        <v>231</v>
      </c>
      <c r="HP409" t="s">
        <v>223</v>
      </c>
      <c r="HQ409" t="s">
        <v>231</v>
      </c>
      <c r="HR409" t="s">
        <v>223</v>
      </c>
      <c r="HU409" t="s">
        <v>231</v>
      </c>
      <c r="HV409" t="s">
        <v>223</v>
      </c>
      <c r="HW409" t="s">
        <v>563</v>
      </c>
      <c r="HX409" t="s">
        <v>236</v>
      </c>
      <c r="IA409" t="s">
        <v>231</v>
      </c>
      <c r="IB409" t="s">
        <v>250</v>
      </c>
      <c r="IC409">
        <v>3.1789999999999998</v>
      </c>
      <c r="ID409">
        <v>5.9619999999999997</v>
      </c>
      <c r="IE409">
        <v>9.5380000000000003</v>
      </c>
      <c r="IF409">
        <v>23.846</v>
      </c>
      <c r="IG409" s="459" t="s">
        <v>451</v>
      </c>
      <c r="IH409" t="s">
        <v>267</v>
      </c>
    </row>
    <row r="410" spans="1:242" ht="159.5" x14ac:dyDescent="0.35">
      <c r="A410" s="310" t="s">
        <v>537</v>
      </c>
      <c r="B410" t="s">
        <v>2300</v>
      </c>
      <c r="C410" s="310" t="s">
        <v>2301</v>
      </c>
      <c r="D410" s="316"/>
      <c r="F410" t="s">
        <v>2302</v>
      </c>
      <c r="I410" s="310" t="s">
        <v>2299</v>
      </c>
      <c r="M410" s="313"/>
      <c r="O410"/>
      <c r="P410" s="382"/>
      <c r="Q410"/>
      <c r="U410"/>
      <c r="V410" s="313"/>
      <c r="W410"/>
      <c r="X410"/>
      <c r="Z410"/>
      <c r="AB410"/>
      <c r="AD410" s="8" t="s">
        <v>230</v>
      </c>
      <c r="AF410" s="8" t="s">
        <v>230</v>
      </c>
      <c r="AG410"/>
      <c r="AH410"/>
      <c r="AI410"/>
      <c r="AJ410" t="s">
        <v>221</v>
      </c>
      <c r="AK410">
        <v>0.05</v>
      </c>
      <c r="AL410">
        <v>0.45</v>
      </c>
      <c r="AM410" t="s">
        <v>221</v>
      </c>
      <c r="AN410" t="s">
        <v>225</v>
      </c>
      <c r="AO410" t="s">
        <v>221</v>
      </c>
      <c r="AP410" t="s">
        <v>225</v>
      </c>
      <c r="AQ410" t="s">
        <v>221</v>
      </c>
      <c r="AR410" t="s">
        <v>225</v>
      </c>
      <c r="AS410" t="s">
        <v>414</v>
      </c>
      <c r="AT410" t="s">
        <v>236</v>
      </c>
      <c r="AU410" t="s">
        <v>220</v>
      </c>
      <c r="AV410"/>
      <c r="AW410" s="313" t="s">
        <v>220</v>
      </c>
      <c r="AX410" t="s">
        <v>226</v>
      </c>
      <c r="AY410" s="313" t="s">
        <v>220</v>
      </c>
      <c r="AZ410" s="313">
        <v>6.6699999999999995E-2</v>
      </c>
      <c r="BB410" s="313" t="s">
        <v>220</v>
      </c>
      <c r="BC410">
        <v>4.58E-2</v>
      </c>
      <c r="BD410" t="s">
        <v>220</v>
      </c>
      <c r="BE410">
        <v>7.26E-3</v>
      </c>
      <c r="BF410" s="2" t="s">
        <v>220</v>
      </c>
      <c r="BG410" s="2" t="s">
        <v>653</v>
      </c>
      <c r="BH410" s="2" t="s">
        <v>274</v>
      </c>
      <c r="BI410" s="2" t="s">
        <v>275</v>
      </c>
      <c r="BM410"/>
      <c r="BP410" s="8"/>
      <c r="BQ410" t="s">
        <v>230</v>
      </c>
      <c r="BR410" t="s">
        <v>230</v>
      </c>
      <c r="BU410" t="s">
        <v>317</v>
      </c>
      <c r="BV410" t="s">
        <v>236</v>
      </c>
      <c r="BW410" t="s">
        <v>232</v>
      </c>
      <c r="BX410" t="s">
        <v>276</v>
      </c>
      <c r="BY410" t="s">
        <v>220</v>
      </c>
      <c r="BZ410">
        <v>0.26200000000000001</v>
      </c>
      <c r="CA410" t="s">
        <v>372</v>
      </c>
      <c r="CF410" t="s">
        <v>220</v>
      </c>
      <c r="CG410">
        <v>6.2899999999999998E-2</v>
      </c>
      <c r="CH410" t="s">
        <v>257</v>
      </c>
      <c r="CI410">
        <v>0.50600000000000001</v>
      </c>
      <c r="CK410"/>
      <c r="CL410"/>
      <c r="CM410"/>
      <c r="CS410" s="8"/>
      <c r="CW410" t="s">
        <v>220</v>
      </c>
      <c r="CX410" t="s">
        <v>257</v>
      </c>
      <c r="CY410" t="s">
        <v>231</v>
      </c>
      <c r="CZ410" t="s">
        <v>220</v>
      </c>
      <c r="DA410" t="s">
        <v>220</v>
      </c>
      <c r="DB410" t="s">
        <v>220</v>
      </c>
      <c r="DC410"/>
      <c r="DD410"/>
      <c r="DE410"/>
      <c r="DF410"/>
      <c r="DG410"/>
      <c r="DH410" s="323"/>
      <c r="DI410" s="323"/>
      <c r="DJ410" s="323"/>
      <c r="DL410" t="s">
        <v>257</v>
      </c>
      <c r="DM410" t="s">
        <v>220</v>
      </c>
      <c r="DN410" t="s">
        <v>227</v>
      </c>
      <c r="DO410" t="s">
        <v>257</v>
      </c>
      <c r="DP410" t="s">
        <v>257</v>
      </c>
      <c r="DS410" s="338">
        <v>125.27500000000001</v>
      </c>
      <c r="DT410" s="8" t="s">
        <v>394</v>
      </c>
      <c r="DU410" s="338">
        <v>11081.892</v>
      </c>
      <c r="DV410" s="8" t="s">
        <v>394</v>
      </c>
      <c r="DW410">
        <v>174</v>
      </c>
      <c r="DX410" t="s">
        <v>238</v>
      </c>
      <c r="DY410"/>
      <c r="DZ410" t="s">
        <v>235</v>
      </c>
      <c r="EA410"/>
      <c r="EB410"/>
      <c r="ED410" s="410"/>
      <c r="EE410" s="1"/>
      <c r="EG410" s="410"/>
      <c r="EI410" s="410"/>
      <c r="EK410" s="1"/>
      <c r="EM410"/>
      <c r="EQ410" s="344"/>
      <c r="EU410" s="344"/>
      <c r="EW410" s="409"/>
      <c r="EY410" s="1"/>
      <c r="FA410">
        <v>2175.46</v>
      </c>
      <c r="FB410" t="s">
        <v>236</v>
      </c>
      <c r="FC410" s="7">
        <v>1753.0729959714438</v>
      </c>
      <c r="FD410" s="357" t="s">
        <v>225</v>
      </c>
      <c r="FE410" s="8">
        <v>729.28956579172348</v>
      </c>
      <c r="FF410" t="s">
        <v>237</v>
      </c>
      <c r="FH410" s="9">
        <v>4953.3612231554762</v>
      </c>
      <c r="FI410" s="9" t="s">
        <v>225</v>
      </c>
      <c r="FJ410">
        <v>84.5</v>
      </c>
      <c r="FK410" t="s">
        <v>238</v>
      </c>
      <c r="FL410">
        <v>5270</v>
      </c>
      <c r="FM410">
        <v>2861.541178981201</v>
      </c>
      <c r="FN410" s="5" t="s">
        <v>237</v>
      </c>
      <c r="FP410" s="6">
        <v>8.4499999999999993</v>
      </c>
      <c r="FQ410" t="s">
        <v>450</v>
      </c>
      <c r="FS410" t="s">
        <v>240</v>
      </c>
      <c r="FT410" t="e">
        <f>FQ410=#REF!</f>
        <v>#REF!</v>
      </c>
      <c r="FU410" s="8">
        <v>1</v>
      </c>
      <c r="FV410" s="8">
        <v>10</v>
      </c>
      <c r="FW410" s="8">
        <v>10</v>
      </c>
      <c r="FX410" s="8">
        <v>10</v>
      </c>
      <c r="FY410" s="8">
        <v>3</v>
      </c>
      <c r="FZ410">
        <f t="shared" si="6"/>
        <v>3000</v>
      </c>
      <c r="GA410" s="7" t="s">
        <v>326</v>
      </c>
      <c r="GB410" s="7" t="s">
        <v>326</v>
      </c>
      <c r="GC410" s="6">
        <v>1.5</v>
      </c>
      <c r="GD410" s="348" t="s">
        <v>242</v>
      </c>
      <c r="GF410" s="6">
        <v>2.8166666666666663E-2</v>
      </c>
      <c r="GH410" s="7"/>
      <c r="GI410" s="441" t="s">
        <v>395</v>
      </c>
      <c r="GJ410" s="441" t="s">
        <v>395</v>
      </c>
      <c r="GK410" s="441" t="s">
        <v>395</v>
      </c>
      <c r="GL410" s="441" t="s">
        <v>395</v>
      </c>
      <c r="GM410" s="461" t="s">
        <v>790</v>
      </c>
      <c r="GN410" s="6">
        <v>0.01</v>
      </c>
      <c r="GO410" s="6">
        <v>1.8749999999999999E-2</v>
      </c>
      <c r="GP410" s="6">
        <v>0.03</v>
      </c>
      <c r="GQ410" s="6">
        <v>7.4999999999999997E-2</v>
      </c>
      <c r="GR410" s="461" t="s">
        <v>790</v>
      </c>
      <c r="GU410" t="s">
        <v>243</v>
      </c>
      <c r="GV410" t="s">
        <v>225</v>
      </c>
      <c r="GW410" t="s">
        <v>244</v>
      </c>
      <c r="GX410" t="s">
        <v>236</v>
      </c>
      <c r="GY410" t="s">
        <v>245</v>
      </c>
      <c r="HE410" t="s">
        <v>247</v>
      </c>
      <c r="HF410" t="s">
        <v>223</v>
      </c>
      <c r="HG410" t="s">
        <v>231</v>
      </c>
      <c r="HH410" t="s">
        <v>223</v>
      </c>
      <c r="HI410" t="s">
        <v>247</v>
      </c>
      <c r="HJ410" t="s">
        <v>223</v>
      </c>
      <c r="HK410" t="s">
        <v>568</v>
      </c>
      <c r="HO410" t="s">
        <v>231</v>
      </c>
      <c r="HP410" t="s">
        <v>223</v>
      </c>
      <c r="HQ410" t="s">
        <v>231</v>
      </c>
      <c r="HR410" t="s">
        <v>223</v>
      </c>
      <c r="HU410" t="s">
        <v>231</v>
      </c>
      <c r="HV410" t="s">
        <v>223</v>
      </c>
      <c r="HW410" t="s">
        <v>563</v>
      </c>
      <c r="HX410" t="s">
        <v>236</v>
      </c>
      <c r="IA410" t="s">
        <v>231</v>
      </c>
      <c r="IB410" t="s">
        <v>250</v>
      </c>
      <c r="IC410" t="s">
        <v>395</v>
      </c>
      <c r="ID410" t="s">
        <v>395</v>
      </c>
      <c r="IE410" t="s">
        <v>395</v>
      </c>
      <c r="IF410" t="s">
        <v>395</v>
      </c>
      <c r="IG410" s="459" t="s">
        <v>451</v>
      </c>
      <c r="IH410" t="s">
        <v>235</v>
      </c>
    </row>
    <row r="411" spans="1:242" ht="159.5" x14ac:dyDescent="0.35">
      <c r="A411" s="310" t="s">
        <v>537</v>
      </c>
      <c r="B411" t="s">
        <v>2303</v>
      </c>
      <c r="C411" s="310" t="s">
        <v>2304</v>
      </c>
      <c r="D411" s="316"/>
      <c r="F411" t="s">
        <v>2305</v>
      </c>
      <c r="I411" s="310" t="s">
        <v>2299</v>
      </c>
      <c r="M411" s="313"/>
      <c r="O411"/>
      <c r="P411" s="382"/>
      <c r="Q411"/>
      <c r="U411"/>
      <c r="V411" s="313"/>
      <c r="W411"/>
      <c r="X411"/>
      <c r="Z411"/>
      <c r="AB411"/>
      <c r="AD411" s="8" t="s">
        <v>230</v>
      </c>
      <c r="AF411" s="8" t="s">
        <v>230</v>
      </c>
      <c r="AG411"/>
      <c r="AH411"/>
      <c r="AI411"/>
      <c r="AJ411" t="s">
        <v>221</v>
      </c>
      <c r="AK411">
        <v>0.05</v>
      </c>
      <c r="AL411">
        <v>0.45</v>
      </c>
      <c r="AM411" t="s">
        <v>221</v>
      </c>
      <c r="AN411" t="s">
        <v>225</v>
      </c>
      <c r="AO411" t="s">
        <v>221</v>
      </c>
      <c r="AP411" t="s">
        <v>225</v>
      </c>
      <c r="AQ411" t="s">
        <v>221</v>
      </c>
      <c r="AR411" t="s">
        <v>225</v>
      </c>
      <c r="AS411" t="s">
        <v>414</v>
      </c>
      <c r="AT411" t="s">
        <v>236</v>
      </c>
      <c r="AU411" t="s">
        <v>220</v>
      </c>
      <c r="AV411"/>
      <c r="AW411" s="313" t="s">
        <v>220</v>
      </c>
      <c r="AX411" t="s">
        <v>226</v>
      </c>
      <c r="AY411" s="313" t="s">
        <v>220</v>
      </c>
      <c r="AZ411" s="313">
        <v>6.6699999999999995E-2</v>
      </c>
      <c r="BB411" s="313" t="s">
        <v>220</v>
      </c>
      <c r="BC411">
        <v>4.58E-2</v>
      </c>
      <c r="BD411" t="s">
        <v>220</v>
      </c>
      <c r="BE411">
        <v>7.26E-3</v>
      </c>
      <c r="BF411" s="2" t="s">
        <v>220</v>
      </c>
      <c r="BG411" s="2" t="s">
        <v>653</v>
      </c>
      <c r="BH411" s="2" t="s">
        <v>274</v>
      </c>
      <c r="BI411" s="2" t="s">
        <v>275</v>
      </c>
      <c r="BM411"/>
      <c r="BP411" s="8"/>
      <c r="BQ411" t="s">
        <v>230</v>
      </c>
      <c r="BR411" t="s">
        <v>230</v>
      </c>
      <c r="BU411" t="s">
        <v>317</v>
      </c>
      <c r="BV411" t="s">
        <v>236</v>
      </c>
      <c r="BW411" t="s">
        <v>232</v>
      </c>
      <c r="BX411" t="s">
        <v>276</v>
      </c>
      <c r="BY411" t="s">
        <v>220</v>
      </c>
      <c r="BZ411">
        <v>0.26200000000000001</v>
      </c>
      <c r="CA411" t="s">
        <v>372</v>
      </c>
      <c r="CF411" t="s">
        <v>220</v>
      </c>
      <c r="CG411">
        <v>6.2899999999999998E-2</v>
      </c>
      <c r="CH411" t="s">
        <v>257</v>
      </c>
      <c r="CI411">
        <v>0.50600000000000001</v>
      </c>
      <c r="CK411"/>
      <c r="CL411"/>
      <c r="CM411"/>
      <c r="CS411" s="8"/>
      <c r="CW411" t="s">
        <v>220</v>
      </c>
      <c r="CX411" t="s">
        <v>257</v>
      </c>
      <c r="CY411" t="s">
        <v>231</v>
      </c>
      <c r="CZ411" t="s">
        <v>220</v>
      </c>
      <c r="DA411" t="s">
        <v>220</v>
      </c>
      <c r="DB411" t="s">
        <v>220</v>
      </c>
      <c r="DC411"/>
      <c r="DD411"/>
      <c r="DE411"/>
      <c r="DF411"/>
      <c r="DG411"/>
      <c r="DH411" s="323"/>
      <c r="DI411" s="323"/>
      <c r="DJ411" s="323"/>
      <c r="DL411" t="s">
        <v>257</v>
      </c>
      <c r="DM411" t="s">
        <v>220</v>
      </c>
      <c r="DN411" t="s">
        <v>227</v>
      </c>
      <c r="DO411" t="s">
        <v>257</v>
      </c>
      <c r="DP411" t="s">
        <v>257</v>
      </c>
      <c r="DS411" s="338">
        <v>139.136</v>
      </c>
      <c r="DT411" s="8" t="s">
        <v>394</v>
      </c>
      <c r="DU411" s="338">
        <v>10732.367</v>
      </c>
      <c r="DV411" s="8" t="s">
        <v>394</v>
      </c>
      <c r="DW411">
        <v>156</v>
      </c>
      <c r="DX411" t="s">
        <v>238</v>
      </c>
      <c r="DY411"/>
      <c r="DZ411" t="s">
        <v>235</v>
      </c>
      <c r="EA411"/>
      <c r="EB411"/>
      <c r="ED411" s="410"/>
      <c r="EE411" s="1"/>
      <c r="EG411" s="410"/>
      <c r="EI411" s="410"/>
      <c r="EK411" s="1"/>
      <c r="EM411"/>
      <c r="EQ411" s="344"/>
      <c r="EU411" s="344"/>
      <c r="EW411" s="409"/>
      <c r="EY411" s="1"/>
      <c r="FA411">
        <v>2175.46</v>
      </c>
      <c r="FB411" t="s">
        <v>236</v>
      </c>
      <c r="FC411" s="7">
        <v>1545.254439538415</v>
      </c>
      <c r="FD411" s="357" t="s">
        <v>225</v>
      </c>
      <c r="FE411" s="8">
        <v>729.28956579172348</v>
      </c>
      <c r="FF411" t="s">
        <v>237</v>
      </c>
      <c r="FH411" s="9">
        <v>6774.8549284984656</v>
      </c>
      <c r="FI411" s="9" t="s">
        <v>236</v>
      </c>
      <c r="FJ411">
        <v>84.5</v>
      </c>
      <c r="FK411" t="s">
        <v>238</v>
      </c>
      <c r="FL411">
        <v>5270</v>
      </c>
      <c r="FM411">
        <v>2861.541178981201</v>
      </c>
      <c r="FN411" s="5" t="s">
        <v>237</v>
      </c>
      <c r="FP411" s="6">
        <v>8.4499999999999993</v>
      </c>
      <c r="FQ411" t="s">
        <v>450</v>
      </c>
      <c r="FS411" t="s">
        <v>240</v>
      </c>
      <c r="FT411" t="e">
        <f>FQ411=#REF!</f>
        <v>#REF!</v>
      </c>
      <c r="FU411" s="8">
        <v>1</v>
      </c>
      <c r="FV411" s="8">
        <v>10</v>
      </c>
      <c r="FW411" s="8">
        <v>10</v>
      </c>
      <c r="FX411" s="8">
        <v>10</v>
      </c>
      <c r="FY411" s="8">
        <v>3</v>
      </c>
      <c r="FZ411">
        <f t="shared" si="6"/>
        <v>3000</v>
      </c>
      <c r="GA411" s="7" t="s">
        <v>326</v>
      </c>
      <c r="GB411" s="7" t="s">
        <v>326</v>
      </c>
      <c r="GC411" s="6">
        <v>1.5</v>
      </c>
      <c r="GD411" s="348" t="s">
        <v>242</v>
      </c>
      <c r="GF411" s="6">
        <v>2.8166666666666663E-2</v>
      </c>
      <c r="GH411" s="7"/>
      <c r="GI411" s="441" t="s">
        <v>395</v>
      </c>
      <c r="GJ411" s="441" t="s">
        <v>395</v>
      </c>
      <c r="GK411" s="441" t="s">
        <v>395</v>
      </c>
      <c r="GL411" s="441" t="s">
        <v>395</v>
      </c>
      <c r="GM411" s="461" t="s">
        <v>790</v>
      </c>
      <c r="GN411" s="6">
        <v>0.01</v>
      </c>
      <c r="GO411" s="6">
        <v>1.8749999999999999E-2</v>
      </c>
      <c r="GP411" s="6">
        <v>0.03</v>
      </c>
      <c r="GQ411" s="6">
        <v>7.4999999999999997E-2</v>
      </c>
      <c r="GR411" s="461" t="s">
        <v>790</v>
      </c>
      <c r="GU411" t="s">
        <v>243</v>
      </c>
      <c r="GV411" t="s">
        <v>225</v>
      </c>
      <c r="GW411" t="s">
        <v>244</v>
      </c>
      <c r="GX411" t="s">
        <v>236</v>
      </c>
      <c r="GY411" t="s">
        <v>245</v>
      </c>
      <c r="HE411" t="s">
        <v>247</v>
      </c>
      <c r="HF411" t="s">
        <v>223</v>
      </c>
      <c r="HG411" t="s">
        <v>231</v>
      </c>
      <c r="HH411" t="s">
        <v>223</v>
      </c>
      <c r="HI411" t="s">
        <v>247</v>
      </c>
      <c r="HJ411" t="s">
        <v>223</v>
      </c>
      <c r="HK411" t="s">
        <v>568</v>
      </c>
      <c r="HO411" t="s">
        <v>231</v>
      </c>
      <c r="HP411" t="s">
        <v>223</v>
      </c>
      <c r="HQ411" t="s">
        <v>231</v>
      </c>
      <c r="HR411" t="s">
        <v>223</v>
      </c>
      <c r="HU411" t="s">
        <v>231</v>
      </c>
      <c r="HV411" t="s">
        <v>223</v>
      </c>
      <c r="HW411" t="s">
        <v>563</v>
      </c>
      <c r="HX411" t="s">
        <v>236</v>
      </c>
      <c r="IA411" t="s">
        <v>231</v>
      </c>
      <c r="IB411" t="s">
        <v>250</v>
      </c>
      <c r="IC411" t="s">
        <v>395</v>
      </c>
      <c r="ID411" t="s">
        <v>395</v>
      </c>
      <c r="IE411" t="s">
        <v>395</v>
      </c>
      <c r="IF411" t="s">
        <v>395</v>
      </c>
      <c r="IG411" s="459" t="s">
        <v>451</v>
      </c>
      <c r="IH411" t="s">
        <v>235</v>
      </c>
    </row>
    <row r="412" spans="1:242" ht="159.5" x14ac:dyDescent="0.35">
      <c r="A412" s="310" t="s">
        <v>537</v>
      </c>
      <c r="B412" t="s">
        <v>2306</v>
      </c>
      <c r="C412" s="310" t="s">
        <v>2307</v>
      </c>
      <c r="D412" s="316"/>
      <c r="F412" t="s">
        <v>2308</v>
      </c>
      <c r="I412" s="310" t="s">
        <v>2299</v>
      </c>
      <c r="M412" s="313"/>
      <c r="O412"/>
      <c r="P412" s="382"/>
      <c r="Q412"/>
      <c r="U412"/>
      <c r="V412" s="313"/>
      <c r="W412"/>
      <c r="X412"/>
      <c r="Z412"/>
      <c r="AB412"/>
      <c r="AD412" s="8" t="s">
        <v>230</v>
      </c>
      <c r="AF412" s="8" t="s">
        <v>230</v>
      </c>
      <c r="AG412"/>
      <c r="AH412"/>
      <c r="AI412"/>
      <c r="AJ412" t="s">
        <v>221</v>
      </c>
      <c r="AK412">
        <v>0.05</v>
      </c>
      <c r="AL412">
        <v>0.45</v>
      </c>
      <c r="AM412" t="s">
        <v>221</v>
      </c>
      <c r="AN412" t="s">
        <v>225</v>
      </c>
      <c r="AO412" t="s">
        <v>221</v>
      </c>
      <c r="AP412" t="s">
        <v>225</v>
      </c>
      <c r="AQ412" t="s">
        <v>221</v>
      </c>
      <c r="AR412" t="s">
        <v>225</v>
      </c>
      <c r="AS412" t="s">
        <v>414</v>
      </c>
      <c r="AT412" t="s">
        <v>236</v>
      </c>
      <c r="AU412" t="s">
        <v>220</v>
      </c>
      <c r="AV412"/>
      <c r="AW412" s="313" t="s">
        <v>220</v>
      </c>
      <c r="AX412" t="s">
        <v>226</v>
      </c>
      <c r="AY412" s="313" t="s">
        <v>220</v>
      </c>
      <c r="AZ412" s="313">
        <v>6.6699999999999995E-2</v>
      </c>
      <c r="BB412" s="313" t="s">
        <v>220</v>
      </c>
      <c r="BC412">
        <v>4.58E-2</v>
      </c>
      <c r="BD412" t="s">
        <v>220</v>
      </c>
      <c r="BE412">
        <v>7.26E-3</v>
      </c>
      <c r="BF412" s="2" t="s">
        <v>220</v>
      </c>
      <c r="BG412" s="2" t="s">
        <v>653</v>
      </c>
      <c r="BH412" s="2" t="s">
        <v>274</v>
      </c>
      <c r="BI412" s="2" t="s">
        <v>275</v>
      </c>
      <c r="BM412"/>
      <c r="BP412" s="8"/>
      <c r="BQ412" t="s">
        <v>230</v>
      </c>
      <c r="BR412" t="s">
        <v>230</v>
      </c>
      <c r="BU412" t="s">
        <v>317</v>
      </c>
      <c r="BV412" t="s">
        <v>236</v>
      </c>
      <c r="BW412" t="s">
        <v>232</v>
      </c>
      <c r="BX412" t="s">
        <v>276</v>
      </c>
      <c r="BY412" t="s">
        <v>220</v>
      </c>
      <c r="BZ412">
        <v>0.26200000000000001</v>
      </c>
      <c r="CA412" t="s">
        <v>372</v>
      </c>
      <c r="CF412" t="s">
        <v>220</v>
      </c>
      <c r="CG412">
        <v>6.2899999999999998E-2</v>
      </c>
      <c r="CH412" t="s">
        <v>257</v>
      </c>
      <c r="CI412">
        <v>0.50600000000000001</v>
      </c>
      <c r="CK412"/>
      <c r="CL412"/>
      <c r="CM412"/>
      <c r="CS412" s="8"/>
      <c r="CW412" t="s">
        <v>220</v>
      </c>
      <c r="CX412" t="s">
        <v>257</v>
      </c>
      <c r="CY412" t="s">
        <v>231</v>
      </c>
      <c r="CZ412" t="s">
        <v>220</v>
      </c>
      <c r="DA412" t="s">
        <v>220</v>
      </c>
      <c r="DB412" t="s">
        <v>220</v>
      </c>
      <c r="DC412"/>
      <c r="DD412"/>
      <c r="DE412"/>
      <c r="DF412"/>
      <c r="DG412"/>
      <c r="DH412" s="323"/>
      <c r="DI412" s="323"/>
      <c r="DJ412" s="323"/>
      <c r="DL412" t="s">
        <v>257</v>
      </c>
      <c r="DM412" t="s">
        <v>220</v>
      </c>
      <c r="DN412" t="s">
        <v>227</v>
      </c>
      <c r="DO412" t="s">
        <v>257</v>
      </c>
      <c r="DP412" t="s">
        <v>257</v>
      </c>
      <c r="DS412" s="338">
        <v>144.10900000000001</v>
      </c>
      <c r="DT412" s="8" t="s">
        <v>394</v>
      </c>
      <c r="DU412" s="338">
        <v>10696.377</v>
      </c>
      <c r="DV412" s="8" t="s">
        <v>394</v>
      </c>
      <c r="DW412">
        <v>164</v>
      </c>
      <c r="DX412" t="s">
        <v>238</v>
      </c>
      <c r="DY412"/>
      <c r="DZ412" t="s">
        <v>235</v>
      </c>
      <c r="EA412"/>
      <c r="EB412"/>
      <c r="ED412" s="410"/>
      <c r="EE412" s="1"/>
      <c r="EG412" s="410"/>
      <c r="EI412" s="410"/>
      <c r="EK412" s="1"/>
      <c r="EM412"/>
      <c r="EQ412" s="344"/>
      <c r="EU412" s="344"/>
      <c r="EW412" s="409"/>
      <c r="EY412" s="1"/>
      <c r="FA412">
        <v>2175.46</v>
      </c>
      <c r="FB412" t="s">
        <v>236</v>
      </c>
      <c r="FC412" s="7">
        <v>1545.254439538415</v>
      </c>
      <c r="FD412" s="357" t="s">
        <v>225</v>
      </c>
      <c r="FE412" s="8">
        <v>729.28956579172348</v>
      </c>
      <c r="FF412" t="s">
        <v>237</v>
      </c>
      <c r="FH412" s="9">
        <v>6774.8549284984656</v>
      </c>
      <c r="FI412" s="9" t="s">
        <v>236</v>
      </c>
      <c r="FJ412">
        <v>84.5</v>
      </c>
      <c r="FK412" t="s">
        <v>238</v>
      </c>
      <c r="FL412">
        <v>5270</v>
      </c>
      <c r="FM412">
        <v>2861.541178981201</v>
      </c>
      <c r="FN412" s="5" t="s">
        <v>237</v>
      </c>
      <c r="FP412" s="6">
        <v>8.4499999999999993</v>
      </c>
      <c r="FQ412" t="s">
        <v>450</v>
      </c>
      <c r="FS412" t="s">
        <v>240</v>
      </c>
      <c r="FT412" t="e">
        <f>FQ412=#REF!</f>
        <v>#REF!</v>
      </c>
      <c r="FU412" s="8">
        <v>1</v>
      </c>
      <c r="FV412" s="8">
        <v>10</v>
      </c>
      <c r="FW412" s="8">
        <v>10</v>
      </c>
      <c r="FX412" s="8">
        <v>10</v>
      </c>
      <c r="FY412" s="8">
        <v>3</v>
      </c>
      <c r="FZ412">
        <f t="shared" si="6"/>
        <v>3000</v>
      </c>
      <c r="GA412" s="7" t="s">
        <v>326</v>
      </c>
      <c r="GB412" s="7" t="s">
        <v>326</v>
      </c>
      <c r="GC412" s="6">
        <v>1.5</v>
      </c>
      <c r="GD412" s="348" t="s">
        <v>242</v>
      </c>
      <c r="GF412" s="6">
        <v>2.8166666666666663E-2</v>
      </c>
      <c r="GH412" s="7"/>
      <c r="GI412" s="441" t="s">
        <v>395</v>
      </c>
      <c r="GJ412" s="441" t="s">
        <v>395</v>
      </c>
      <c r="GK412" s="441" t="s">
        <v>395</v>
      </c>
      <c r="GL412" s="441" t="s">
        <v>395</v>
      </c>
      <c r="GM412" s="461" t="s">
        <v>790</v>
      </c>
      <c r="GN412" s="6">
        <v>0.01</v>
      </c>
      <c r="GO412" s="6">
        <v>1.8749999999999999E-2</v>
      </c>
      <c r="GP412" s="6">
        <v>0.03</v>
      </c>
      <c r="GQ412" s="6">
        <v>7.4999999999999997E-2</v>
      </c>
      <c r="GR412" s="461" t="s">
        <v>790</v>
      </c>
      <c r="GU412" t="s">
        <v>243</v>
      </c>
      <c r="GV412" t="s">
        <v>225</v>
      </c>
      <c r="GW412" t="s">
        <v>244</v>
      </c>
      <c r="GX412" t="s">
        <v>236</v>
      </c>
      <c r="GY412" t="s">
        <v>245</v>
      </c>
      <c r="HE412" t="s">
        <v>247</v>
      </c>
      <c r="HF412" t="s">
        <v>223</v>
      </c>
      <c r="HG412" t="s">
        <v>231</v>
      </c>
      <c r="HH412" t="s">
        <v>223</v>
      </c>
      <c r="HI412" t="s">
        <v>247</v>
      </c>
      <c r="HJ412" t="s">
        <v>223</v>
      </c>
      <c r="HK412" t="s">
        <v>568</v>
      </c>
      <c r="HO412" t="s">
        <v>231</v>
      </c>
      <c r="HP412" t="s">
        <v>223</v>
      </c>
      <c r="HQ412" t="s">
        <v>231</v>
      </c>
      <c r="HR412" t="s">
        <v>223</v>
      </c>
      <c r="HU412" t="s">
        <v>231</v>
      </c>
      <c r="HV412" t="s">
        <v>223</v>
      </c>
      <c r="HW412" t="s">
        <v>563</v>
      </c>
      <c r="HX412" t="s">
        <v>236</v>
      </c>
      <c r="IA412" t="s">
        <v>231</v>
      </c>
      <c r="IB412" t="s">
        <v>250</v>
      </c>
      <c r="IC412" t="s">
        <v>395</v>
      </c>
      <c r="ID412" t="s">
        <v>395</v>
      </c>
      <c r="IE412" t="s">
        <v>395</v>
      </c>
      <c r="IF412" t="s">
        <v>395</v>
      </c>
      <c r="IG412" s="459" t="s">
        <v>451</v>
      </c>
      <c r="IH412" t="s">
        <v>235</v>
      </c>
    </row>
    <row r="413" spans="1:242" ht="159.5" x14ac:dyDescent="0.35">
      <c r="A413" s="310" t="s">
        <v>537</v>
      </c>
      <c r="B413" t="s">
        <v>2309</v>
      </c>
      <c r="C413" s="310" t="s">
        <v>2310</v>
      </c>
      <c r="D413" s="316"/>
      <c r="F413" t="s">
        <v>2311</v>
      </c>
      <c r="I413" s="310" t="s">
        <v>2299</v>
      </c>
      <c r="M413" s="313"/>
      <c r="O413"/>
      <c r="P413" s="382"/>
      <c r="Q413"/>
      <c r="U413"/>
      <c r="V413" s="313"/>
      <c r="W413"/>
      <c r="X413"/>
      <c r="Z413"/>
      <c r="AB413"/>
      <c r="AD413" s="8" t="s">
        <v>230</v>
      </c>
      <c r="AF413" s="8" t="s">
        <v>230</v>
      </c>
      <c r="AG413"/>
      <c r="AH413"/>
      <c r="AI413"/>
      <c r="AJ413" t="s">
        <v>221</v>
      </c>
      <c r="AK413">
        <v>0.05</v>
      </c>
      <c r="AL413">
        <v>0.45</v>
      </c>
      <c r="AM413" t="s">
        <v>221</v>
      </c>
      <c r="AN413" t="s">
        <v>225</v>
      </c>
      <c r="AO413" t="s">
        <v>221</v>
      </c>
      <c r="AP413" t="s">
        <v>225</v>
      </c>
      <c r="AQ413" t="s">
        <v>221</v>
      </c>
      <c r="AR413" t="s">
        <v>225</v>
      </c>
      <c r="AS413" t="s">
        <v>414</v>
      </c>
      <c r="AT413" t="s">
        <v>236</v>
      </c>
      <c r="AU413" t="s">
        <v>220</v>
      </c>
      <c r="AV413"/>
      <c r="AW413" s="313" t="s">
        <v>220</v>
      </c>
      <c r="AX413" t="s">
        <v>226</v>
      </c>
      <c r="AY413" s="313" t="s">
        <v>220</v>
      </c>
      <c r="AZ413" s="313">
        <v>6.6699999999999995E-2</v>
      </c>
      <c r="BB413" s="313" t="s">
        <v>220</v>
      </c>
      <c r="BC413">
        <v>4.58E-2</v>
      </c>
      <c r="BD413" t="s">
        <v>220</v>
      </c>
      <c r="BE413">
        <v>7.26E-3</v>
      </c>
      <c r="BF413" s="2" t="s">
        <v>220</v>
      </c>
      <c r="BG413" s="2" t="s">
        <v>653</v>
      </c>
      <c r="BH413" s="2" t="s">
        <v>274</v>
      </c>
      <c r="BI413" s="2" t="s">
        <v>275</v>
      </c>
      <c r="BM413"/>
      <c r="BP413" s="8"/>
      <c r="BQ413" t="s">
        <v>230</v>
      </c>
      <c r="BR413" t="s">
        <v>230</v>
      </c>
      <c r="BU413" t="s">
        <v>317</v>
      </c>
      <c r="BV413" t="s">
        <v>236</v>
      </c>
      <c r="BW413" t="s">
        <v>232</v>
      </c>
      <c r="BX413" t="s">
        <v>276</v>
      </c>
      <c r="BY413" t="s">
        <v>220</v>
      </c>
      <c r="BZ413">
        <v>0.26200000000000001</v>
      </c>
      <c r="CA413" t="s">
        <v>372</v>
      </c>
      <c r="CF413" t="s">
        <v>220</v>
      </c>
      <c r="CG413">
        <v>6.2899999999999998E-2</v>
      </c>
      <c r="CH413" t="s">
        <v>257</v>
      </c>
      <c r="CI413">
        <v>0.50600000000000001</v>
      </c>
      <c r="CK413"/>
      <c r="CL413"/>
      <c r="CM413"/>
      <c r="CS413" s="8"/>
      <c r="CW413" t="s">
        <v>220</v>
      </c>
      <c r="CX413" t="s">
        <v>257</v>
      </c>
      <c r="CY413" t="s">
        <v>231</v>
      </c>
      <c r="CZ413" t="s">
        <v>220</v>
      </c>
      <c r="DA413" t="s">
        <v>220</v>
      </c>
      <c r="DB413" t="s">
        <v>220</v>
      </c>
      <c r="DC413"/>
      <c r="DD413"/>
      <c r="DE413"/>
      <c r="DF413"/>
      <c r="DG413"/>
      <c r="DH413" s="323"/>
      <c r="DI413" s="323"/>
      <c r="DJ413" s="323"/>
      <c r="DL413" t="s">
        <v>257</v>
      </c>
      <c r="DM413" t="s">
        <v>220</v>
      </c>
      <c r="DN413" t="s">
        <v>227</v>
      </c>
      <c r="DO413" t="s">
        <v>257</v>
      </c>
      <c r="DP413" t="s">
        <v>257</v>
      </c>
      <c r="DS413" s="338">
        <v>133.74700000000001</v>
      </c>
      <c r="DT413" s="8" t="s">
        <v>394</v>
      </c>
      <c r="DU413" s="338">
        <v>10770.611999999999</v>
      </c>
      <c r="DV413" s="8" t="s">
        <v>394</v>
      </c>
      <c r="DW413">
        <v>155</v>
      </c>
      <c r="DX413" t="s">
        <v>238</v>
      </c>
      <c r="DY413"/>
      <c r="DZ413" t="s">
        <v>235</v>
      </c>
      <c r="EA413"/>
      <c r="EB413"/>
      <c r="ED413" s="410"/>
      <c r="EE413" s="1"/>
      <c r="EG413" s="410"/>
      <c r="EI413" s="410"/>
      <c r="EK413" s="1"/>
      <c r="EM413"/>
      <c r="EQ413" s="344"/>
      <c r="EU413" s="344"/>
      <c r="EW413" s="409"/>
      <c r="EY413" s="1"/>
      <c r="FA413">
        <v>2175.46</v>
      </c>
      <c r="FB413" t="s">
        <v>236</v>
      </c>
      <c r="FC413" s="7">
        <v>1545.254439538415</v>
      </c>
      <c r="FD413" s="357" t="s">
        <v>225</v>
      </c>
      <c r="FE413" s="8">
        <v>729.28956579172348</v>
      </c>
      <c r="FF413" t="s">
        <v>237</v>
      </c>
      <c r="FH413" s="9">
        <v>6774.8549284984656</v>
      </c>
      <c r="FI413" s="9" t="s">
        <v>236</v>
      </c>
      <c r="FJ413">
        <v>84.5</v>
      </c>
      <c r="FK413" t="s">
        <v>238</v>
      </c>
      <c r="FL413">
        <v>5270</v>
      </c>
      <c r="FM413">
        <v>2861.541178981201</v>
      </c>
      <c r="FN413" s="5" t="s">
        <v>237</v>
      </c>
      <c r="FP413" s="6">
        <v>8.4499999999999993</v>
      </c>
      <c r="FQ413" t="s">
        <v>450</v>
      </c>
      <c r="FS413" t="s">
        <v>240</v>
      </c>
      <c r="FT413" t="e">
        <f>FQ413=#REF!</f>
        <v>#REF!</v>
      </c>
      <c r="FU413" s="8">
        <v>1</v>
      </c>
      <c r="FV413" s="8">
        <v>10</v>
      </c>
      <c r="FW413" s="8">
        <v>10</v>
      </c>
      <c r="FX413" s="8">
        <v>10</v>
      </c>
      <c r="FY413" s="8">
        <v>3</v>
      </c>
      <c r="FZ413">
        <f t="shared" si="6"/>
        <v>3000</v>
      </c>
      <c r="GA413" s="7" t="s">
        <v>326</v>
      </c>
      <c r="GB413" s="7" t="s">
        <v>326</v>
      </c>
      <c r="GC413" s="6">
        <v>1.5</v>
      </c>
      <c r="GD413" s="348" t="s">
        <v>242</v>
      </c>
      <c r="GF413" s="6">
        <v>2.8166666666666663E-2</v>
      </c>
      <c r="GH413" s="7"/>
      <c r="GI413" s="441" t="s">
        <v>395</v>
      </c>
      <c r="GJ413" s="441" t="s">
        <v>395</v>
      </c>
      <c r="GK413" s="441" t="s">
        <v>395</v>
      </c>
      <c r="GL413" s="441" t="s">
        <v>395</v>
      </c>
      <c r="GM413" s="461" t="s">
        <v>790</v>
      </c>
      <c r="GN413" s="6">
        <v>0.01</v>
      </c>
      <c r="GO413" s="6">
        <v>1.8749999999999999E-2</v>
      </c>
      <c r="GP413" s="6">
        <v>0.03</v>
      </c>
      <c r="GQ413" s="6">
        <v>7.4999999999999997E-2</v>
      </c>
      <c r="GR413" s="461" t="s">
        <v>790</v>
      </c>
      <c r="GU413" t="s">
        <v>243</v>
      </c>
      <c r="GV413" t="s">
        <v>225</v>
      </c>
      <c r="GW413" t="s">
        <v>244</v>
      </c>
      <c r="GX413" t="s">
        <v>236</v>
      </c>
      <c r="GY413" t="s">
        <v>245</v>
      </c>
      <c r="HE413" t="s">
        <v>247</v>
      </c>
      <c r="HF413" t="s">
        <v>223</v>
      </c>
      <c r="HG413" t="s">
        <v>231</v>
      </c>
      <c r="HH413" t="s">
        <v>223</v>
      </c>
      <c r="HI413" t="s">
        <v>247</v>
      </c>
      <c r="HJ413" t="s">
        <v>223</v>
      </c>
      <c r="HK413" t="s">
        <v>568</v>
      </c>
      <c r="HO413" t="s">
        <v>231</v>
      </c>
      <c r="HP413" t="s">
        <v>223</v>
      </c>
      <c r="HQ413" t="s">
        <v>231</v>
      </c>
      <c r="HR413" t="s">
        <v>223</v>
      </c>
      <c r="HU413" t="s">
        <v>231</v>
      </c>
      <c r="HV413" t="s">
        <v>223</v>
      </c>
      <c r="HW413" t="s">
        <v>563</v>
      </c>
      <c r="HX413" t="s">
        <v>236</v>
      </c>
      <c r="IA413" t="s">
        <v>231</v>
      </c>
      <c r="IB413" t="s">
        <v>250</v>
      </c>
      <c r="IC413" t="s">
        <v>395</v>
      </c>
      <c r="ID413" t="s">
        <v>395</v>
      </c>
      <c r="IE413" t="s">
        <v>395</v>
      </c>
      <c r="IF413" t="s">
        <v>395</v>
      </c>
      <c r="IG413" s="459" t="s">
        <v>451</v>
      </c>
      <c r="IH413" t="s">
        <v>235</v>
      </c>
    </row>
    <row r="414" spans="1:242" ht="159.5" x14ac:dyDescent="0.35">
      <c r="A414" s="310" t="s">
        <v>537</v>
      </c>
      <c r="B414" t="s">
        <v>2312</v>
      </c>
      <c r="C414" s="310" t="s">
        <v>2313</v>
      </c>
      <c r="D414" s="316"/>
      <c r="F414" t="s">
        <v>2314</v>
      </c>
      <c r="I414" s="310" t="s">
        <v>2299</v>
      </c>
      <c r="M414" s="313"/>
      <c r="O414"/>
      <c r="P414" s="382"/>
      <c r="Q414"/>
      <c r="U414"/>
      <c r="V414" s="313"/>
      <c r="W414"/>
      <c r="X414"/>
      <c r="Z414"/>
      <c r="AB414"/>
      <c r="AD414" s="8" t="s">
        <v>230</v>
      </c>
      <c r="AF414" s="8" t="s">
        <v>230</v>
      </c>
      <c r="AG414"/>
      <c r="AH414"/>
      <c r="AI414"/>
      <c r="AJ414" t="s">
        <v>221</v>
      </c>
      <c r="AK414">
        <v>0.05</v>
      </c>
      <c r="AL414">
        <v>0.45</v>
      </c>
      <c r="AM414" t="s">
        <v>221</v>
      </c>
      <c r="AN414" t="s">
        <v>225</v>
      </c>
      <c r="AO414" t="s">
        <v>221</v>
      </c>
      <c r="AP414" t="s">
        <v>225</v>
      </c>
      <c r="AQ414" t="s">
        <v>221</v>
      </c>
      <c r="AR414" t="s">
        <v>225</v>
      </c>
      <c r="AS414" t="s">
        <v>414</v>
      </c>
      <c r="AT414" t="s">
        <v>236</v>
      </c>
      <c r="AU414" t="s">
        <v>220</v>
      </c>
      <c r="AV414"/>
      <c r="AW414" s="313" t="s">
        <v>220</v>
      </c>
      <c r="AX414" t="s">
        <v>226</v>
      </c>
      <c r="AY414" s="313" t="s">
        <v>220</v>
      </c>
      <c r="AZ414" s="313">
        <v>6.6699999999999995E-2</v>
      </c>
      <c r="BB414" s="313" t="s">
        <v>220</v>
      </c>
      <c r="BC414">
        <v>4.58E-2</v>
      </c>
      <c r="BD414" t="s">
        <v>220</v>
      </c>
      <c r="BE414">
        <v>5.0499999999999998E-3</v>
      </c>
      <c r="BF414" s="2" t="s">
        <v>220</v>
      </c>
      <c r="BG414" s="2" t="s">
        <v>653</v>
      </c>
      <c r="BH414" s="2" t="s">
        <v>274</v>
      </c>
      <c r="BI414" s="2" t="s">
        <v>275</v>
      </c>
      <c r="BM414"/>
      <c r="BP414" s="8"/>
      <c r="BQ414" t="s">
        <v>230</v>
      </c>
      <c r="BR414" t="s">
        <v>230</v>
      </c>
      <c r="BU414" t="s">
        <v>317</v>
      </c>
      <c r="BV414" t="s">
        <v>236</v>
      </c>
      <c r="BW414" t="s">
        <v>232</v>
      </c>
      <c r="BX414" t="s">
        <v>276</v>
      </c>
      <c r="BY414" t="s">
        <v>220</v>
      </c>
      <c r="BZ414">
        <v>0.26200000000000001</v>
      </c>
      <c r="CA414" t="s">
        <v>372</v>
      </c>
      <c r="CF414" t="s">
        <v>220</v>
      </c>
      <c r="CG414">
        <v>8.2100000000000006E-2</v>
      </c>
      <c r="CH414" t="s">
        <v>257</v>
      </c>
      <c r="CI414">
        <v>0.60299999999999998</v>
      </c>
      <c r="CK414"/>
      <c r="CL414"/>
      <c r="CM414"/>
      <c r="CS414" s="8"/>
      <c r="CW414" t="s">
        <v>220</v>
      </c>
      <c r="CX414" t="s">
        <v>257</v>
      </c>
      <c r="CY414" t="s">
        <v>231</v>
      </c>
      <c r="CZ414" t="s">
        <v>220</v>
      </c>
      <c r="DA414" t="s">
        <v>220</v>
      </c>
      <c r="DB414" t="s">
        <v>220</v>
      </c>
      <c r="DC414"/>
      <c r="DD414"/>
      <c r="DE414"/>
      <c r="DF414"/>
      <c r="DG414"/>
      <c r="DH414" s="323"/>
      <c r="DI414" s="323"/>
      <c r="DJ414" s="323"/>
      <c r="DL414" t="s">
        <v>257</v>
      </c>
      <c r="DM414" t="s">
        <v>220</v>
      </c>
      <c r="DN414" t="s">
        <v>227</v>
      </c>
      <c r="DO414" t="s">
        <v>257</v>
      </c>
      <c r="DP414" t="s">
        <v>257</v>
      </c>
      <c r="DS414" s="338">
        <v>121.648</v>
      </c>
      <c r="DT414" s="8" t="s">
        <v>394</v>
      </c>
      <c r="DU414" s="338">
        <v>10734.444</v>
      </c>
      <c r="DV414" s="8" t="s">
        <v>394</v>
      </c>
      <c r="DW414">
        <v>186</v>
      </c>
      <c r="DX414" t="s">
        <v>238</v>
      </c>
      <c r="DY414"/>
      <c r="DZ414" t="s">
        <v>235</v>
      </c>
      <c r="EA414"/>
      <c r="EB414"/>
      <c r="ED414" s="410"/>
      <c r="EE414" s="1"/>
      <c r="EG414" s="410"/>
      <c r="EI414" s="410"/>
      <c r="EK414" s="1"/>
      <c r="EM414"/>
      <c r="EQ414" s="344"/>
      <c r="EU414" s="344"/>
      <c r="EW414" s="409"/>
      <c r="EY414" s="1"/>
      <c r="FA414">
        <v>2175.46</v>
      </c>
      <c r="FB414" t="s">
        <v>236</v>
      </c>
      <c r="FC414" s="7">
        <v>1807.5902911421706</v>
      </c>
      <c r="FD414" s="357" t="s">
        <v>225</v>
      </c>
      <c r="FE414" s="8">
        <v>729.28956579172348</v>
      </c>
      <c r="FF414" t="s">
        <v>237</v>
      </c>
      <c r="FH414" s="9">
        <v>5370.3179637025269</v>
      </c>
      <c r="FI414" s="9" t="s">
        <v>236</v>
      </c>
      <c r="FJ414">
        <v>84.5</v>
      </c>
      <c r="FK414" t="s">
        <v>238</v>
      </c>
      <c r="FL414">
        <v>5270</v>
      </c>
      <c r="FM414">
        <v>2861.541178981201</v>
      </c>
      <c r="FN414" s="5" t="s">
        <v>237</v>
      </c>
      <c r="FP414" s="6">
        <v>8.4499999999999993</v>
      </c>
      <c r="FQ414" t="s">
        <v>450</v>
      </c>
      <c r="FS414" t="s">
        <v>240</v>
      </c>
      <c r="FT414" t="e">
        <f>FQ414=#REF!</f>
        <v>#REF!</v>
      </c>
      <c r="FU414" s="8">
        <v>1</v>
      </c>
      <c r="FV414" s="8">
        <v>10</v>
      </c>
      <c r="FW414" s="8">
        <v>10</v>
      </c>
      <c r="FX414" s="8">
        <v>10</v>
      </c>
      <c r="FY414" s="8">
        <v>3</v>
      </c>
      <c r="FZ414">
        <f t="shared" si="6"/>
        <v>3000</v>
      </c>
      <c r="GA414" s="7" t="s">
        <v>326</v>
      </c>
      <c r="GB414" s="7" t="s">
        <v>326</v>
      </c>
      <c r="GC414" s="6">
        <v>1.5</v>
      </c>
      <c r="GD414" s="348" t="s">
        <v>242</v>
      </c>
      <c r="GF414" s="6">
        <v>2.8166666666666663E-2</v>
      </c>
      <c r="GH414" s="7"/>
      <c r="GI414" s="441" t="s">
        <v>395</v>
      </c>
      <c r="GJ414" s="441" t="s">
        <v>395</v>
      </c>
      <c r="GK414" s="441" t="s">
        <v>395</v>
      </c>
      <c r="GL414" s="441" t="s">
        <v>395</v>
      </c>
      <c r="GM414" s="461" t="s">
        <v>790</v>
      </c>
      <c r="GN414" s="6">
        <v>0.01</v>
      </c>
      <c r="GO414" s="6">
        <v>1.8749999999999999E-2</v>
      </c>
      <c r="GP414" s="6">
        <v>0.03</v>
      </c>
      <c r="GQ414" s="6">
        <v>7.4999999999999997E-2</v>
      </c>
      <c r="GR414" s="461" t="s">
        <v>790</v>
      </c>
      <c r="GU414" t="s">
        <v>243</v>
      </c>
      <c r="GV414" t="s">
        <v>225</v>
      </c>
      <c r="GW414" t="s">
        <v>244</v>
      </c>
      <c r="GX414" t="s">
        <v>236</v>
      </c>
      <c r="GY414" t="s">
        <v>245</v>
      </c>
      <c r="HE414" t="s">
        <v>247</v>
      </c>
      <c r="HF414" t="s">
        <v>223</v>
      </c>
      <c r="HG414" t="s">
        <v>231</v>
      </c>
      <c r="HH414" t="s">
        <v>223</v>
      </c>
      <c r="HI414" t="s">
        <v>247</v>
      </c>
      <c r="HJ414" t="s">
        <v>223</v>
      </c>
      <c r="HK414" t="s">
        <v>568</v>
      </c>
      <c r="HO414" t="s">
        <v>231</v>
      </c>
      <c r="HP414" t="s">
        <v>223</v>
      </c>
      <c r="HQ414" t="s">
        <v>231</v>
      </c>
      <c r="HR414" t="s">
        <v>223</v>
      </c>
      <c r="HU414" t="s">
        <v>231</v>
      </c>
      <c r="HV414" t="s">
        <v>223</v>
      </c>
      <c r="HW414" t="s">
        <v>563</v>
      </c>
      <c r="HX414" t="s">
        <v>236</v>
      </c>
      <c r="IA414" t="s">
        <v>231</v>
      </c>
      <c r="IB414" t="s">
        <v>250</v>
      </c>
      <c r="IC414" t="s">
        <v>395</v>
      </c>
      <c r="ID414" t="s">
        <v>395</v>
      </c>
      <c r="IE414" t="s">
        <v>395</v>
      </c>
      <c r="IF414" t="s">
        <v>395</v>
      </c>
      <c r="IG414" s="459" t="s">
        <v>451</v>
      </c>
      <c r="IH414" t="s">
        <v>235</v>
      </c>
    </row>
    <row r="415" spans="1:242" ht="159.5" x14ac:dyDescent="0.35">
      <c r="A415" s="310" t="s">
        <v>537</v>
      </c>
      <c r="B415" t="s">
        <v>2315</v>
      </c>
      <c r="C415" s="310" t="s">
        <v>2316</v>
      </c>
      <c r="D415" s="316"/>
      <c r="F415" t="s">
        <v>2317</v>
      </c>
      <c r="I415" s="310" t="s">
        <v>2299</v>
      </c>
      <c r="M415" s="313"/>
      <c r="O415"/>
      <c r="P415" s="382"/>
      <c r="Q415"/>
      <c r="U415"/>
      <c r="V415" s="313"/>
      <c r="W415"/>
      <c r="X415"/>
      <c r="Z415"/>
      <c r="AB415"/>
      <c r="AD415" s="8" t="s">
        <v>230</v>
      </c>
      <c r="AF415" s="8" t="s">
        <v>230</v>
      </c>
      <c r="AG415"/>
      <c r="AH415"/>
      <c r="AI415"/>
      <c r="AJ415" t="s">
        <v>221</v>
      </c>
      <c r="AK415">
        <v>0</v>
      </c>
      <c r="AL415">
        <v>0.6</v>
      </c>
      <c r="AM415" t="s">
        <v>221</v>
      </c>
      <c r="AN415" t="s">
        <v>225</v>
      </c>
      <c r="AO415" t="s">
        <v>221</v>
      </c>
      <c r="AP415" t="s">
        <v>225</v>
      </c>
      <c r="AQ415" t="s">
        <v>221</v>
      </c>
      <c r="AR415" t="s">
        <v>225</v>
      </c>
      <c r="AS415" t="s">
        <v>221</v>
      </c>
      <c r="AT415" t="s">
        <v>225</v>
      </c>
      <c r="AU415" t="s">
        <v>220</v>
      </c>
      <c r="AV415"/>
      <c r="AW415" s="313" t="s">
        <v>220</v>
      </c>
      <c r="AX415" t="s">
        <v>226</v>
      </c>
      <c r="AY415" s="313" t="s">
        <v>220</v>
      </c>
      <c r="AZ415" s="313">
        <v>0.11799999999999999</v>
      </c>
      <c r="BB415" s="313" t="s">
        <v>220</v>
      </c>
      <c r="BC415">
        <v>4.9399999999999999E-2</v>
      </c>
      <c r="BD415" t="s">
        <v>220</v>
      </c>
      <c r="BE415">
        <v>0.125</v>
      </c>
      <c r="BF415" s="2" t="s">
        <v>220</v>
      </c>
      <c r="BG415" s="2" t="s">
        <v>273</v>
      </c>
      <c r="BH415" s="2" t="s">
        <v>274</v>
      </c>
      <c r="BI415" s="2" t="s">
        <v>275</v>
      </c>
      <c r="BM415"/>
      <c r="BP415" s="8"/>
      <c r="BQ415" t="s">
        <v>230</v>
      </c>
      <c r="BR415" t="s">
        <v>230</v>
      </c>
      <c r="BU415" t="s">
        <v>231</v>
      </c>
      <c r="BV415" t="s">
        <v>223</v>
      </c>
      <c r="BW415" t="s">
        <v>232</v>
      </c>
      <c r="BX415" t="s">
        <v>276</v>
      </c>
      <c r="BY415" t="s">
        <v>220</v>
      </c>
      <c r="BZ415">
        <v>0.35199999999999998</v>
      </c>
      <c r="CA415" t="s">
        <v>372</v>
      </c>
      <c r="CF415" t="s">
        <v>220</v>
      </c>
      <c r="CG415">
        <v>0.25</v>
      </c>
      <c r="CH415" t="s">
        <v>220</v>
      </c>
      <c r="CI415">
        <v>0.38300000000000001</v>
      </c>
      <c r="CK415"/>
      <c r="CL415"/>
      <c r="CM415"/>
      <c r="CS415" s="8"/>
      <c r="CW415" t="s">
        <v>227</v>
      </c>
      <c r="CX415" t="s">
        <v>220</v>
      </c>
      <c r="CY415" t="s">
        <v>231</v>
      </c>
      <c r="CZ415" t="s">
        <v>220</v>
      </c>
      <c r="DA415" t="s">
        <v>220</v>
      </c>
      <c r="DB415" t="s">
        <v>227</v>
      </c>
      <c r="DC415"/>
      <c r="DD415"/>
      <c r="DE415"/>
      <c r="DF415"/>
      <c r="DG415"/>
      <c r="DH415" s="323"/>
      <c r="DI415" s="323"/>
      <c r="DJ415" s="323"/>
      <c r="DL415" t="s">
        <v>257</v>
      </c>
      <c r="DM415" t="s">
        <v>220</v>
      </c>
      <c r="DN415" t="s">
        <v>227</v>
      </c>
      <c r="DO415" t="s">
        <v>257</v>
      </c>
      <c r="DP415" t="s">
        <v>257</v>
      </c>
      <c r="DS415" s="338">
        <v>121.485</v>
      </c>
      <c r="DT415" s="8" t="s">
        <v>394</v>
      </c>
      <c r="DU415" s="338">
        <v>9190.0079999999998</v>
      </c>
      <c r="DV415" s="8" t="s">
        <v>394</v>
      </c>
      <c r="DW415">
        <v>379</v>
      </c>
      <c r="DX415" t="s">
        <v>238</v>
      </c>
      <c r="DY415">
        <v>2130</v>
      </c>
      <c r="DZ415" t="s">
        <v>238</v>
      </c>
      <c r="EA415"/>
      <c r="EB415"/>
      <c r="ED415" s="410"/>
      <c r="EE415" s="1"/>
      <c r="EG415" s="410"/>
      <c r="EI415" s="410"/>
      <c r="EK415" s="1"/>
      <c r="EM415"/>
      <c r="EQ415" s="344"/>
      <c r="EU415" s="344"/>
      <c r="EW415" s="409"/>
      <c r="EY415" s="1"/>
      <c r="FA415">
        <v>1162.5899999999999</v>
      </c>
      <c r="FB415" t="s">
        <v>225</v>
      </c>
      <c r="FC415" s="7">
        <v>1783.1997722329168</v>
      </c>
      <c r="FD415" s="357" t="s">
        <v>225</v>
      </c>
      <c r="FE415" s="8">
        <v>3143.4025417390117</v>
      </c>
      <c r="FF415" t="s">
        <v>237</v>
      </c>
      <c r="FH415" s="9">
        <v>4655.8609352295935</v>
      </c>
      <c r="FI415" s="9" t="s">
        <v>225</v>
      </c>
      <c r="FK415" t="s">
        <v>235</v>
      </c>
      <c r="FL415">
        <v>330</v>
      </c>
      <c r="FM415">
        <v>9189.6717731892513</v>
      </c>
      <c r="FN415" s="5" t="s">
        <v>237</v>
      </c>
      <c r="FP415" s="6">
        <v>33</v>
      </c>
      <c r="FQ415" t="s">
        <v>239</v>
      </c>
      <c r="FS415" t="s">
        <v>240</v>
      </c>
      <c r="FT415" t="e">
        <f>FQ415=#REF!</f>
        <v>#REF!</v>
      </c>
      <c r="FU415" s="8">
        <v>1</v>
      </c>
      <c r="FV415" s="8">
        <v>10</v>
      </c>
      <c r="FW415" s="8">
        <v>10</v>
      </c>
      <c r="FX415" s="8">
        <v>10</v>
      </c>
      <c r="FY415" s="8">
        <v>3</v>
      </c>
      <c r="FZ415">
        <f t="shared" si="6"/>
        <v>3000</v>
      </c>
      <c r="GA415" s="7" t="s">
        <v>303</v>
      </c>
      <c r="GB415" s="7" t="s">
        <v>303</v>
      </c>
      <c r="GC415" s="6">
        <v>9</v>
      </c>
      <c r="GD415" s="348" t="s">
        <v>1514</v>
      </c>
      <c r="GF415" s="6">
        <v>0.11</v>
      </c>
      <c r="GH415" s="7"/>
      <c r="GI415" s="441">
        <v>0.73299999999999998</v>
      </c>
      <c r="GJ415" s="441">
        <v>1.375</v>
      </c>
      <c r="GK415" s="441">
        <v>2.2000000000000002</v>
      </c>
      <c r="GL415" s="441">
        <v>5.5</v>
      </c>
      <c r="GM415" s="461" t="s">
        <v>790</v>
      </c>
      <c r="GN415" s="6">
        <v>0.06</v>
      </c>
      <c r="GO415" s="6">
        <v>0.1125</v>
      </c>
      <c r="GP415" s="6">
        <v>0.18</v>
      </c>
      <c r="GQ415" s="6">
        <v>0.45</v>
      </c>
      <c r="GR415" s="461" t="s">
        <v>790</v>
      </c>
      <c r="GU415" t="s">
        <v>243</v>
      </c>
      <c r="GV415" t="s">
        <v>225</v>
      </c>
      <c r="GW415" t="s">
        <v>244</v>
      </c>
      <c r="GX415" t="s">
        <v>236</v>
      </c>
      <c r="GY415" t="s">
        <v>245</v>
      </c>
      <c r="HE415" t="s">
        <v>247</v>
      </c>
      <c r="HF415" t="s">
        <v>223</v>
      </c>
      <c r="HG415" t="s">
        <v>231</v>
      </c>
      <c r="HH415" t="s">
        <v>223</v>
      </c>
      <c r="HI415" t="s">
        <v>247</v>
      </c>
      <c r="HJ415" t="s">
        <v>223</v>
      </c>
      <c r="HK415" t="s">
        <v>568</v>
      </c>
      <c r="HO415" t="s">
        <v>231</v>
      </c>
      <c r="HP415" t="s">
        <v>223</v>
      </c>
      <c r="HQ415" t="s">
        <v>231</v>
      </c>
      <c r="HR415" t="s">
        <v>223</v>
      </c>
      <c r="HU415" t="s">
        <v>231</v>
      </c>
      <c r="HV415" t="s">
        <v>223</v>
      </c>
      <c r="HW415" t="s">
        <v>563</v>
      </c>
      <c r="HX415" t="s">
        <v>236</v>
      </c>
      <c r="IA415" t="s">
        <v>231</v>
      </c>
      <c r="IB415" t="s">
        <v>250</v>
      </c>
      <c r="IC415">
        <v>0.73299999999999998</v>
      </c>
      <c r="ID415">
        <v>1.375</v>
      </c>
      <c r="IE415">
        <v>2.2000000000000002</v>
      </c>
      <c r="IF415">
        <v>5.5</v>
      </c>
      <c r="IG415" s="459" t="s">
        <v>451</v>
      </c>
      <c r="IH415" t="s">
        <v>267</v>
      </c>
    </row>
    <row r="416" spans="1:242" x14ac:dyDescent="0.35">
      <c r="A416" s="310" t="s">
        <v>2318</v>
      </c>
      <c r="B416" t="s">
        <v>2319</v>
      </c>
      <c r="C416" s="310" t="s">
        <v>2320</v>
      </c>
      <c r="D416" s="316"/>
      <c r="F416" t="s">
        <v>2321</v>
      </c>
      <c r="I416" s="310" t="s">
        <v>2322</v>
      </c>
      <c r="M416" s="313"/>
      <c r="O416"/>
      <c r="P416" s="381"/>
      <c r="Q416"/>
      <c r="T416" s="8"/>
      <c r="U416"/>
      <c r="V416" s="313"/>
      <c r="W416"/>
      <c r="X416"/>
      <c r="Z416"/>
      <c r="AB416"/>
      <c r="AD416" s="8" t="s">
        <v>230</v>
      </c>
      <c r="AF416" s="8" t="s">
        <v>230</v>
      </c>
      <c r="AG416"/>
      <c r="AH416"/>
      <c r="AI416"/>
      <c r="AJ416" t="s">
        <v>221</v>
      </c>
      <c r="AK416">
        <v>0</v>
      </c>
      <c r="AL416">
        <v>0.82499999999999996</v>
      </c>
      <c r="AM416" t="s">
        <v>221</v>
      </c>
      <c r="AN416" t="s">
        <v>223</v>
      </c>
      <c r="AO416" t="s">
        <v>221</v>
      </c>
      <c r="AP416" t="s">
        <v>223</v>
      </c>
      <c r="AQ416" t="s">
        <v>221</v>
      </c>
      <c r="AR416" t="s">
        <v>223</v>
      </c>
      <c r="AS416" t="s">
        <v>221</v>
      </c>
      <c r="AT416" t="s">
        <v>225</v>
      </c>
      <c r="AU416" t="s">
        <v>220</v>
      </c>
      <c r="AV416"/>
      <c r="AW416" s="313" t="s">
        <v>220</v>
      </c>
      <c r="AX416" t="s">
        <v>226</v>
      </c>
      <c r="AY416" s="313" t="s">
        <v>220</v>
      </c>
      <c r="AZ416" s="313">
        <v>0.03</v>
      </c>
      <c r="BB416" s="313" t="s">
        <v>220</v>
      </c>
      <c r="BC416">
        <v>1.6500000000000001E-2</v>
      </c>
      <c r="BD416" t="s">
        <v>220</v>
      </c>
      <c r="BE416">
        <v>3.0099999999999998E-2</v>
      </c>
      <c r="BF416" s="2" t="s">
        <v>220</v>
      </c>
      <c r="BG416" s="2" t="s">
        <v>273</v>
      </c>
      <c r="BH416" s="2" t="s">
        <v>274</v>
      </c>
      <c r="BI416" s="2" t="s">
        <v>275</v>
      </c>
      <c r="BM416"/>
      <c r="BP416" s="8"/>
      <c r="BQ416" t="s">
        <v>230</v>
      </c>
      <c r="BR416" t="s">
        <v>230</v>
      </c>
      <c r="BU416" t="s">
        <v>231</v>
      </c>
      <c r="BV416" t="s">
        <v>223</v>
      </c>
      <c r="BW416" t="s">
        <v>232</v>
      </c>
      <c r="BX416" t="s">
        <v>284</v>
      </c>
      <c r="BY416" t="s">
        <v>220</v>
      </c>
      <c r="BZ416">
        <v>0.23699999999999999</v>
      </c>
      <c r="CA416" t="s">
        <v>372</v>
      </c>
      <c r="CF416" t="s">
        <v>220</v>
      </c>
      <c r="CG416">
        <v>2.06E-2</v>
      </c>
      <c r="CH416" t="s">
        <v>220</v>
      </c>
      <c r="CI416">
        <v>1.8700000000000001E-2</v>
      </c>
      <c r="CK416"/>
      <c r="CL416"/>
      <c r="CM416"/>
      <c r="CS416" s="8"/>
      <c r="CW416" t="s">
        <v>220</v>
      </c>
      <c r="CX416" t="s">
        <v>220</v>
      </c>
      <c r="CY416" t="s">
        <v>231</v>
      </c>
      <c r="CZ416" t="s">
        <v>220</v>
      </c>
      <c r="DA416" t="s">
        <v>220</v>
      </c>
      <c r="DB416" t="s">
        <v>227</v>
      </c>
      <c r="DC416"/>
      <c r="DD416"/>
      <c r="DE416"/>
      <c r="DF416"/>
      <c r="DG416"/>
      <c r="DH416" s="323"/>
      <c r="DI416" s="323"/>
      <c r="DJ416" s="323"/>
      <c r="DL416" t="s">
        <v>257</v>
      </c>
      <c r="DM416" t="s">
        <v>220</v>
      </c>
      <c r="DN416" t="s">
        <v>257</v>
      </c>
      <c r="DO416" t="s">
        <v>257</v>
      </c>
      <c r="DP416" t="s">
        <v>257</v>
      </c>
      <c r="DS416" s="309">
        <v>95.495999999999995</v>
      </c>
      <c r="DU416" s="309">
        <v>372.71</v>
      </c>
      <c r="DW416"/>
      <c r="DX416" t="s">
        <v>235</v>
      </c>
      <c r="DY416">
        <v>9080</v>
      </c>
      <c r="DZ416" t="s">
        <v>238</v>
      </c>
      <c r="EA416"/>
      <c r="EB416"/>
      <c r="ED416" s="410"/>
      <c r="EE416" s="1"/>
      <c r="EG416" s="410"/>
      <c r="EI416" s="410"/>
      <c r="EK416" s="1"/>
      <c r="EM416"/>
      <c r="EQ416" s="344"/>
      <c r="EU416" s="344"/>
      <c r="EW416" s="409"/>
      <c r="EY416" s="1"/>
      <c r="FA416">
        <v>433.72</v>
      </c>
      <c r="FB416" t="s">
        <v>225</v>
      </c>
      <c r="FC416" s="7">
        <v>1029.4375366592667</v>
      </c>
      <c r="FD416" s="357" t="s">
        <v>225</v>
      </c>
      <c r="FE416" s="8">
        <v>26.375457408893446</v>
      </c>
      <c r="FF416" t="s">
        <v>237</v>
      </c>
      <c r="FH416" s="9">
        <v>227.56213516312948</v>
      </c>
      <c r="FI416" s="9" t="s">
        <v>225</v>
      </c>
      <c r="FJ416">
        <v>3000</v>
      </c>
      <c r="FK416" t="s">
        <v>238</v>
      </c>
      <c r="FL416">
        <v>7280</v>
      </c>
      <c r="FM416">
        <v>67.5460566633501</v>
      </c>
      <c r="FN416" s="5" t="s">
        <v>237</v>
      </c>
      <c r="FP416" s="6">
        <v>3.377302833167505</v>
      </c>
      <c r="FQ416" t="s">
        <v>277</v>
      </c>
      <c r="FS416" t="s">
        <v>240</v>
      </c>
      <c r="FT416" t="e">
        <f>FQ416=#REF!</f>
        <v>#REF!</v>
      </c>
      <c r="FU416" s="8">
        <v>2</v>
      </c>
      <c r="FV416" s="8">
        <v>10</v>
      </c>
      <c r="FW416" s="8">
        <v>10</v>
      </c>
      <c r="FX416" s="8">
        <v>10</v>
      </c>
      <c r="FY416" s="8">
        <v>3</v>
      </c>
      <c r="FZ416">
        <f t="shared" si="6"/>
        <v>6000</v>
      </c>
      <c r="GA416" s="7" t="s">
        <v>241</v>
      </c>
      <c r="GB416" s="7" t="s">
        <v>241</v>
      </c>
      <c r="GC416" s="6">
        <v>30</v>
      </c>
      <c r="GD416" s="348" t="s">
        <v>242</v>
      </c>
      <c r="GF416" s="6">
        <v>4.3959095681489077E-2</v>
      </c>
      <c r="GH416" s="7"/>
      <c r="GI416" s="445"/>
      <c r="GJ416" s="445"/>
      <c r="GK416" s="445"/>
      <c r="GL416" s="445"/>
      <c r="GM416" s="453"/>
      <c r="GN416" s="6">
        <v>0.2</v>
      </c>
      <c r="GO416" s="6">
        <v>0.375</v>
      </c>
      <c r="GP416" s="6">
        <v>0.6</v>
      </c>
      <c r="GQ416" s="6">
        <v>1.5</v>
      </c>
      <c r="GR416" s="6" t="s">
        <v>230</v>
      </c>
      <c r="GU416" t="s">
        <v>365</v>
      </c>
      <c r="GV416" t="s">
        <v>225</v>
      </c>
      <c r="GW416" t="s">
        <v>244</v>
      </c>
      <c r="GX416" t="s">
        <v>236</v>
      </c>
      <c r="GY416" t="s">
        <v>245</v>
      </c>
      <c r="HE416" t="s">
        <v>247</v>
      </c>
      <c r="HF416" t="s">
        <v>223</v>
      </c>
      <c r="HG416" t="s">
        <v>317</v>
      </c>
      <c r="HH416" t="s">
        <v>236</v>
      </c>
      <c r="HI416" t="s">
        <v>247</v>
      </c>
      <c r="HJ416" t="s">
        <v>223</v>
      </c>
      <c r="HK416" t="s">
        <v>266</v>
      </c>
      <c r="HO416" t="s">
        <v>231</v>
      </c>
      <c r="HP416" t="s">
        <v>223</v>
      </c>
      <c r="HQ416" t="s">
        <v>231</v>
      </c>
      <c r="HR416" t="s">
        <v>223</v>
      </c>
      <c r="HU416" t="s">
        <v>231</v>
      </c>
      <c r="HV416" t="s">
        <v>223</v>
      </c>
      <c r="HW416" t="s">
        <v>563</v>
      </c>
      <c r="HX416" t="s">
        <v>236</v>
      </c>
      <c r="IA416" t="s">
        <v>231</v>
      </c>
      <c r="IB416" t="s">
        <v>250</v>
      </c>
      <c r="IC416" s="447"/>
      <c r="ID416" s="447"/>
      <c r="IE416" s="447"/>
      <c r="IF416" s="447"/>
      <c r="IH416" t="s">
        <v>235</v>
      </c>
    </row>
    <row r="417" spans="1:242" x14ac:dyDescent="0.35">
      <c r="A417" s="310" t="s">
        <v>2323</v>
      </c>
      <c r="B417" t="s">
        <v>2324</v>
      </c>
      <c r="C417" s="310" t="s">
        <v>2325</v>
      </c>
      <c r="D417" s="316"/>
      <c r="F417" t="s">
        <v>2326</v>
      </c>
      <c r="I417" s="310" t="s">
        <v>2327</v>
      </c>
      <c r="M417" s="313"/>
      <c r="O417"/>
      <c r="P417" s="381"/>
      <c r="Q417"/>
      <c r="T417" s="8"/>
      <c r="U417"/>
      <c r="V417" s="313"/>
      <c r="W417"/>
      <c r="X417"/>
      <c r="Z417"/>
      <c r="AB417"/>
      <c r="AD417" s="8" t="s">
        <v>230</v>
      </c>
      <c r="AF417" s="8" t="s">
        <v>230</v>
      </c>
      <c r="AG417"/>
      <c r="AH417"/>
      <c r="AI417"/>
      <c r="AJ417" t="s">
        <v>221</v>
      </c>
      <c r="AK417">
        <v>0</v>
      </c>
      <c r="AL417">
        <v>0.82499999999999996</v>
      </c>
      <c r="AM417" t="s">
        <v>221</v>
      </c>
      <c r="AN417" t="s">
        <v>223</v>
      </c>
      <c r="AO417" t="s">
        <v>221</v>
      </c>
      <c r="AP417" t="s">
        <v>223</v>
      </c>
      <c r="AQ417" t="s">
        <v>221</v>
      </c>
      <c r="AR417" t="s">
        <v>223</v>
      </c>
      <c r="AS417" t="s">
        <v>221</v>
      </c>
      <c r="AT417" t="s">
        <v>225</v>
      </c>
      <c r="AU417" t="s">
        <v>220</v>
      </c>
      <c r="AV417"/>
      <c r="AW417" s="313" t="s">
        <v>220</v>
      </c>
      <c r="AX417" t="s">
        <v>226</v>
      </c>
      <c r="AY417" s="313" t="s">
        <v>220</v>
      </c>
      <c r="AZ417" s="313">
        <v>5.8599999999999999E-2</v>
      </c>
      <c r="BB417" s="313" t="s">
        <v>220</v>
      </c>
      <c r="BC417">
        <v>2.98E-2</v>
      </c>
      <c r="BD417" t="s">
        <v>220</v>
      </c>
      <c r="BE417">
        <v>9.8600000000000007E-3</v>
      </c>
      <c r="BF417" s="2" t="s">
        <v>220</v>
      </c>
      <c r="BG417" s="2" t="s">
        <v>273</v>
      </c>
      <c r="BH417" s="2" t="s">
        <v>274</v>
      </c>
      <c r="BI417" s="2" t="s">
        <v>275</v>
      </c>
      <c r="BM417"/>
      <c r="BP417" s="8"/>
      <c r="BQ417" t="s">
        <v>230</v>
      </c>
      <c r="BR417" t="s">
        <v>230</v>
      </c>
      <c r="BU417" t="s">
        <v>231</v>
      </c>
      <c r="BV417" t="s">
        <v>223</v>
      </c>
      <c r="BW417" t="s">
        <v>232</v>
      </c>
      <c r="BX417" t="s">
        <v>284</v>
      </c>
      <c r="BY417" t="s">
        <v>220</v>
      </c>
      <c r="BZ417">
        <v>0.24099999999999999</v>
      </c>
      <c r="CA417" t="s">
        <v>372</v>
      </c>
      <c r="CF417" t="s">
        <v>220</v>
      </c>
      <c r="CG417">
        <v>5.0700000000000002E-2</v>
      </c>
      <c r="CH417" t="s">
        <v>220</v>
      </c>
      <c r="CI417">
        <v>7.3599999999999999E-2</v>
      </c>
      <c r="CK417"/>
      <c r="CL417"/>
      <c r="CM417"/>
      <c r="CS417" s="8"/>
      <c r="CW417" t="s">
        <v>220</v>
      </c>
      <c r="CX417" t="s">
        <v>220</v>
      </c>
      <c r="CY417" t="s">
        <v>231</v>
      </c>
      <c r="CZ417" t="s">
        <v>220</v>
      </c>
      <c r="DA417" t="s">
        <v>220</v>
      </c>
      <c r="DB417" t="s">
        <v>220</v>
      </c>
      <c r="DC417"/>
      <c r="DD417"/>
      <c r="DE417"/>
      <c r="DF417"/>
      <c r="DG417"/>
      <c r="DH417" s="323"/>
      <c r="DI417" s="323"/>
      <c r="DJ417" s="323"/>
      <c r="DL417" t="s">
        <v>257</v>
      </c>
      <c r="DM417" t="s">
        <v>220</v>
      </c>
      <c r="DN417" t="s">
        <v>257</v>
      </c>
      <c r="DO417" t="s">
        <v>220</v>
      </c>
      <c r="DP417" t="s">
        <v>220</v>
      </c>
      <c r="DS417" s="309">
        <v>123.587</v>
      </c>
      <c r="DU417" s="309">
        <v>345.435</v>
      </c>
      <c r="DW417">
        <v>789</v>
      </c>
      <c r="DX417" t="s">
        <v>238</v>
      </c>
      <c r="DY417">
        <v>1350</v>
      </c>
      <c r="DZ417" t="s">
        <v>238</v>
      </c>
      <c r="EA417"/>
      <c r="EB417"/>
      <c r="ED417" s="410"/>
      <c r="EE417" s="1"/>
      <c r="EG417" s="410"/>
      <c r="EI417" s="410"/>
      <c r="EK417" s="1"/>
      <c r="EM417"/>
      <c r="EQ417" s="344"/>
      <c r="EU417" s="344"/>
      <c r="EW417" s="409"/>
      <c r="EY417" s="1"/>
      <c r="FA417">
        <v>390.94</v>
      </c>
      <c r="FB417" t="s">
        <v>225</v>
      </c>
      <c r="FC417" s="7">
        <v>551.1883123276059</v>
      </c>
      <c r="FD417" s="357" t="s">
        <v>225</v>
      </c>
      <c r="FE417" s="8">
        <v>48.775305697459515</v>
      </c>
      <c r="FF417" t="s">
        <v>237</v>
      </c>
      <c r="FH417" s="9">
        <v>712.36077873550153</v>
      </c>
      <c r="FI417" s="9" t="s">
        <v>225</v>
      </c>
      <c r="FJ417">
        <v>3300</v>
      </c>
      <c r="FK417" t="s">
        <v>267</v>
      </c>
      <c r="FL417">
        <v>2180</v>
      </c>
      <c r="FM417">
        <v>297.09818591187309</v>
      </c>
      <c r="FN417" s="5" t="s">
        <v>237</v>
      </c>
      <c r="FP417" s="6">
        <v>195.47</v>
      </c>
      <c r="FQ417" t="s">
        <v>275</v>
      </c>
      <c r="FS417" t="s">
        <v>240</v>
      </c>
      <c r="FT417" t="e">
        <f>FQ417=#REF!</f>
        <v>#REF!</v>
      </c>
      <c r="FU417" s="8">
        <v>2</v>
      </c>
      <c r="FV417" s="8">
        <v>10</v>
      </c>
      <c r="FW417" s="8">
        <v>10</v>
      </c>
      <c r="FX417" s="8">
        <v>1</v>
      </c>
      <c r="FY417" s="8">
        <v>3</v>
      </c>
      <c r="FZ417">
        <f t="shared" si="6"/>
        <v>600</v>
      </c>
      <c r="GA417" s="7" t="s">
        <v>241</v>
      </c>
      <c r="GB417" s="7" t="s">
        <v>241</v>
      </c>
      <c r="GC417" s="6">
        <v>30</v>
      </c>
      <c r="GD417" s="348" t="s">
        <v>242</v>
      </c>
      <c r="GF417" s="6">
        <v>0.65156666666666663</v>
      </c>
      <c r="GH417" s="7"/>
      <c r="GI417" s="441">
        <v>4.3440000000000003</v>
      </c>
      <c r="GJ417" s="441">
        <v>8.1449999999999996</v>
      </c>
      <c r="GK417" s="441">
        <v>13.031000000000001</v>
      </c>
      <c r="GL417" s="441">
        <v>32.578000000000003</v>
      </c>
      <c r="GM417" s="452" t="s">
        <v>262</v>
      </c>
      <c r="GN417" s="6">
        <v>0.2</v>
      </c>
      <c r="GO417" s="6">
        <v>0.375</v>
      </c>
      <c r="GP417" s="6">
        <v>0.6</v>
      </c>
      <c r="GQ417" s="6">
        <v>1.5</v>
      </c>
      <c r="GR417" s="6" t="s">
        <v>230</v>
      </c>
      <c r="GU417" t="s">
        <v>243</v>
      </c>
      <c r="GV417" t="s">
        <v>223</v>
      </c>
      <c r="GW417" t="s">
        <v>244</v>
      </c>
      <c r="GX417" t="s">
        <v>236</v>
      </c>
      <c r="GY417" t="s">
        <v>245</v>
      </c>
      <c r="HE417" t="s">
        <v>247</v>
      </c>
      <c r="HF417" t="s">
        <v>223</v>
      </c>
      <c r="HG417" t="s">
        <v>231</v>
      </c>
      <c r="HH417" t="s">
        <v>223</v>
      </c>
      <c r="HI417" t="s">
        <v>247</v>
      </c>
      <c r="HJ417" t="s">
        <v>223</v>
      </c>
      <c r="HK417" t="s">
        <v>266</v>
      </c>
      <c r="HO417" t="s">
        <v>231</v>
      </c>
      <c r="HP417" t="s">
        <v>223</v>
      </c>
      <c r="HQ417" t="s">
        <v>231</v>
      </c>
      <c r="HR417" t="s">
        <v>223</v>
      </c>
      <c r="HU417" t="s">
        <v>231</v>
      </c>
      <c r="HV417" t="s">
        <v>223</v>
      </c>
      <c r="HW417" t="s">
        <v>563</v>
      </c>
      <c r="HX417" t="s">
        <v>236</v>
      </c>
      <c r="IA417" t="s">
        <v>231</v>
      </c>
      <c r="IB417" t="s">
        <v>250</v>
      </c>
      <c r="IC417">
        <v>4.3440000000000003</v>
      </c>
      <c r="ID417">
        <v>8.1449999999999996</v>
      </c>
      <c r="IE417">
        <v>13.031000000000001</v>
      </c>
      <c r="IF417">
        <v>32.578000000000003</v>
      </c>
      <c r="IH417" t="s">
        <v>267</v>
      </c>
    </row>
    <row r="418" spans="1:242" x14ac:dyDescent="0.35">
      <c r="A418" s="310" t="s">
        <v>2328</v>
      </c>
      <c r="B418" t="s">
        <v>2329</v>
      </c>
      <c r="C418" s="310" t="s">
        <v>2330</v>
      </c>
      <c r="D418" s="316"/>
      <c r="F418" t="s">
        <v>2331</v>
      </c>
      <c r="I418" s="310" t="s">
        <v>2332</v>
      </c>
      <c r="M418" s="313"/>
      <c r="O418"/>
      <c r="P418" s="381"/>
      <c r="Q418"/>
      <c r="T418" s="8"/>
      <c r="U418"/>
      <c r="V418" s="313"/>
      <c r="W418"/>
      <c r="X418"/>
      <c r="Z418"/>
      <c r="AB418"/>
      <c r="AD418" s="8" t="s">
        <v>230</v>
      </c>
      <c r="AF418" s="8" t="s">
        <v>230</v>
      </c>
      <c r="AG418"/>
      <c r="AH418"/>
      <c r="AI418"/>
      <c r="AJ418" t="s">
        <v>221</v>
      </c>
      <c r="AK418">
        <v>0</v>
      </c>
      <c r="AL418">
        <v>0.9</v>
      </c>
      <c r="AM418" t="s">
        <v>221</v>
      </c>
      <c r="AN418" t="s">
        <v>223</v>
      </c>
      <c r="AO418" t="s">
        <v>221</v>
      </c>
      <c r="AP418" t="s">
        <v>223</v>
      </c>
      <c r="AQ418" t="s">
        <v>221</v>
      </c>
      <c r="AR418" t="s">
        <v>223</v>
      </c>
      <c r="AS418" t="s">
        <v>221</v>
      </c>
      <c r="AT418" t="s">
        <v>223</v>
      </c>
      <c r="AU418" t="s">
        <v>220</v>
      </c>
      <c r="AV418"/>
      <c r="AW418" s="313" t="s">
        <v>220</v>
      </c>
      <c r="AX418" t="s">
        <v>226</v>
      </c>
      <c r="AY418" s="313" t="s">
        <v>220</v>
      </c>
      <c r="AZ418" s="313">
        <v>0.02</v>
      </c>
      <c r="BB418" s="313" t="s">
        <v>220</v>
      </c>
      <c r="BC418">
        <v>0.01</v>
      </c>
      <c r="BD418" t="s">
        <v>220</v>
      </c>
      <c r="BE418">
        <v>3.62E-3</v>
      </c>
      <c r="BF418" s="2" t="s">
        <v>220</v>
      </c>
      <c r="BG418" s="2" t="s">
        <v>273</v>
      </c>
      <c r="BH418" s="2" t="s">
        <v>274</v>
      </c>
      <c r="BI418" s="2" t="s">
        <v>275</v>
      </c>
      <c r="BM418"/>
      <c r="BP418" s="8"/>
      <c r="BQ418" t="s">
        <v>230</v>
      </c>
      <c r="BR418" t="s">
        <v>230</v>
      </c>
      <c r="BU418" t="s">
        <v>231</v>
      </c>
      <c r="BV418" t="s">
        <v>223</v>
      </c>
      <c r="BW418" t="s">
        <v>232</v>
      </c>
      <c r="BX418" t="s">
        <v>284</v>
      </c>
      <c r="BY418" t="s">
        <v>220</v>
      </c>
      <c r="BZ418">
        <v>0.157</v>
      </c>
      <c r="CA418" t="s">
        <v>372</v>
      </c>
      <c r="CF418" t="s">
        <v>220</v>
      </c>
      <c r="CG418">
        <v>2.1700000000000001E-2</v>
      </c>
      <c r="CH418" t="s">
        <v>220</v>
      </c>
      <c r="CI418">
        <v>1.6299999999999999E-2</v>
      </c>
      <c r="CK418"/>
      <c r="CL418"/>
      <c r="CM418"/>
      <c r="CS418" s="8"/>
      <c r="CW418" t="s">
        <v>220</v>
      </c>
      <c r="CX418" t="s">
        <v>220</v>
      </c>
      <c r="CY418" t="s">
        <v>231</v>
      </c>
      <c r="CZ418" t="s">
        <v>220</v>
      </c>
      <c r="DA418" t="s">
        <v>220</v>
      </c>
      <c r="DB418" t="s">
        <v>220</v>
      </c>
      <c r="DC418"/>
      <c r="DD418"/>
      <c r="DE418"/>
      <c r="DF418"/>
      <c r="DG418"/>
      <c r="DH418" s="323"/>
      <c r="DI418" s="323"/>
      <c r="DJ418" s="323"/>
      <c r="DL418" t="s">
        <v>257</v>
      </c>
      <c r="DM418" t="s">
        <v>220</v>
      </c>
      <c r="DN418" t="s">
        <v>257</v>
      </c>
      <c r="DO418" t="s">
        <v>257</v>
      </c>
      <c r="DP418" t="s">
        <v>257</v>
      </c>
      <c r="DS418" s="338">
        <v>664.98099999999999</v>
      </c>
      <c r="DT418" s="8" t="s">
        <v>394</v>
      </c>
      <c r="DU418" s="309">
        <v>1230.002</v>
      </c>
      <c r="DW418">
        <v>255</v>
      </c>
      <c r="DX418" t="s">
        <v>238</v>
      </c>
      <c r="DY418">
        <v>380</v>
      </c>
      <c r="DZ418" t="s">
        <v>238</v>
      </c>
      <c r="EA418"/>
      <c r="EB418"/>
      <c r="ED418" s="410"/>
      <c r="EE418" s="1"/>
      <c r="EG418" s="410"/>
      <c r="EI418" s="410"/>
      <c r="EK418" s="1"/>
      <c r="EM418"/>
      <c r="EQ418" s="344"/>
      <c r="EU418" s="344"/>
      <c r="EW418" s="409"/>
      <c r="EY418" s="1"/>
      <c r="FA418">
        <v>433.72</v>
      </c>
      <c r="FB418" t="s">
        <v>225</v>
      </c>
      <c r="FC418" s="7">
        <v>833.68118461963456</v>
      </c>
      <c r="FD418" s="357" t="s">
        <v>225</v>
      </c>
      <c r="FE418" s="8">
        <v>93.907439685136424</v>
      </c>
      <c r="FF418" t="s">
        <v>237</v>
      </c>
      <c r="FH418" s="9">
        <v>1429.5521400370355</v>
      </c>
      <c r="FI418" s="9" t="s">
        <v>225</v>
      </c>
      <c r="FJ418">
        <v>654</v>
      </c>
      <c r="FK418" t="s">
        <v>238</v>
      </c>
      <c r="FL418">
        <v>815</v>
      </c>
      <c r="FM418">
        <v>535.67329997630168</v>
      </c>
      <c r="FN418" s="5" t="s">
        <v>237</v>
      </c>
      <c r="FP418" s="6">
        <v>65.400000000000006</v>
      </c>
      <c r="FQ418" t="s">
        <v>450</v>
      </c>
      <c r="FS418" t="s">
        <v>240</v>
      </c>
      <c r="FT418" t="e">
        <f>FQ418=#REF!</f>
        <v>#REF!</v>
      </c>
      <c r="FU418" s="8">
        <v>1</v>
      </c>
      <c r="FV418" s="8">
        <v>10</v>
      </c>
      <c r="FW418" s="8">
        <v>10</v>
      </c>
      <c r="FX418" s="8">
        <v>10</v>
      </c>
      <c r="FY418" s="8">
        <v>3</v>
      </c>
      <c r="FZ418">
        <f t="shared" si="6"/>
        <v>3000</v>
      </c>
      <c r="GA418" s="7" t="s">
        <v>241</v>
      </c>
      <c r="GB418" s="7" t="s">
        <v>241</v>
      </c>
      <c r="GC418" s="6">
        <v>30</v>
      </c>
      <c r="GD418" s="348" t="s">
        <v>242</v>
      </c>
      <c r="GF418" s="6">
        <v>0.218</v>
      </c>
      <c r="GH418" s="7"/>
      <c r="GI418" s="441">
        <v>1.4530000000000001</v>
      </c>
      <c r="GJ418" s="441">
        <v>2.7250000000000001</v>
      </c>
      <c r="GK418" s="441">
        <v>4.3600000000000003</v>
      </c>
      <c r="GL418" s="441">
        <v>10.9</v>
      </c>
      <c r="GM418" s="452" t="s">
        <v>262</v>
      </c>
      <c r="GN418" s="6">
        <v>0.2</v>
      </c>
      <c r="GO418" s="6">
        <v>0.375</v>
      </c>
      <c r="GP418" s="6">
        <v>0.6</v>
      </c>
      <c r="GQ418" s="6">
        <v>1.5</v>
      </c>
      <c r="GR418" s="6" t="s">
        <v>230</v>
      </c>
      <c r="GU418" t="s">
        <v>365</v>
      </c>
      <c r="GV418" t="s">
        <v>236</v>
      </c>
      <c r="GW418" t="s">
        <v>244</v>
      </c>
      <c r="GX418" t="s">
        <v>236</v>
      </c>
      <c r="GY418" t="s">
        <v>245</v>
      </c>
      <c r="HE418" t="s">
        <v>247</v>
      </c>
      <c r="HF418" t="s">
        <v>223</v>
      </c>
      <c r="HG418" t="s">
        <v>231</v>
      </c>
      <c r="HH418" t="s">
        <v>223</v>
      </c>
      <c r="HI418" t="s">
        <v>247</v>
      </c>
      <c r="HJ418" t="s">
        <v>223</v>
      </c>
      <c r="HK418" t="s">
        <v>266</v>
      </c>
      <c r="HO418" t="s">
        <v>231</v>
      </c>
      <c r="HP418" t="s">
        <v>223</v>
      </c>
      <c r="HQ418" t="s">
        <v>231</v>
      </c>
      <c r="HR418" t="s">
        <v>223</v>
      </c>
      <c r="HU418" t="s">
        <v>231</v>
      </c>
      <c r="HV418" t="s">
        <v>223</v>
      </c>
      <c r="HW418" t="s">
        <v>563</v>
      </c>
      <c r="HX418" t="s">
        <v>236</v>
      </c>
      <c r="IA418" t="s">
        <v>231</v>
      </c>
      <c r="IB418" t="s">
        <v>250</v>
      </c>
      <c r="IC418">
        <v>1.4530000000000001</v>
      </c>
      <c r="ID418">
        <v>2.7250000000000001</v>
      </c>
      <c r="IE418">
        <v>4.3600000000000003</v>
      </c>
      <c r="IF418">
        <v>10.9</v>
      </c>
      <c r="IH418" t="s">
        <v>267</v>
      </c>
    </row>
    <row r="419" spans="1:242" x14ac:dyDescent="0.35">
      <c r="A419" s="310" t="s">
        <v>2333</v>
      </c>
      <c r="B419" t="s">
        <v>2334</v>
      </c>
      <c r="C419" s="310" t="s">
        <v>2335</v>
      </c>
      <c r="D419" s="316"/>
      <c r="F419" t="s">
        <v>2336</v>
      </c>
      <c r="I419" s="310" t="s">
        <v>2337</v>
      </c>
      <c r="M419" s="313"/>
      <c r="O419"/>
      <c r="P419" s="381"/>
      <c r="Q419"/>
      <c r="T419" s="8"/>
      <c r="U419"/>
      <c r="V419" s="313"/>
      <c r="W419"/>
      <c r="X419"/>
      <c r="Z419"/>
      <c r="AB419"/>
      <c r="AD419" s="8" t="s">
        <v>230</v>
      </c>
      <c r="AF419" s="8" t="s">
        <v>230</v>
      </c>
      <c r="AG419"/>
      <c r="AH419"/>
      <c r="AI419"/>
      <c r="AJ419" t="s">
        <v>221</v>
      </c>
      <c r="AK419">
        <v>0.05</v>
      </c>
      <c r="AL419">
        <v>0.67500000000000004</v>
      </c>
      <c r="AM419" t="s">
        <v>221</v>
      </c>
      <c r="AN419" t="s">
        <v>223</v>
      </c>
      <c r="AO419" t="s">
        <v>221</v>
      </c>
      <c r="AP419" t="s">
        <v>223</v>
      </c>
      <c r="AQ419" s="442" t="s">
        <v>414</v>
      </c>
      <c r="AR419" t="s">
        <v>236</v>
      </c>
      <c r="AS419" t="s">
        <v>221</v>
      </c>
      <c r="AT419" t="s">
        <v>223</v>
      </c>
      <c r="AU419" t="s">
        <v>220</v>
      </c>
      <c r="AV419"/>
      <c r="AW419" s="313" t="s">
        <v>220</v>
      </c>
      <c r="AX419" t="s">
        <v>226</v>
      </c>
      <c r="AY419" s="313" t="s">
        <v>220</v>
      </c>
      <c r="AZ419" s="313">
        <v>0.06</v>
      </c>
      <c r="BB419" s="313" t="s">
        <v>220</v>
      </c>
      <c r="BC419">
        <v>3.9600000000000003E-2</v>
      </c>
      <c r="BD419" t="s">
        <v>220</v>
      </c>
      <c r="BE419">
        <v>0.14099999999999999</v>
      </c>
      <c r="BF419" s="2" t="s">
        <v>220</v>
      </c>
      <c r="BG419" s="3" t="s">
        <v>416</v>
      </c>
      <c r="BH419" s="2" t="s">
        <v>274</v>
      </c>
      <c r="BI419" s="2" t="s">
        <v>275</v>
      </c>
      <c r="BM419"/>
      <c r="BP419" s="8"/>
      <c r="BQ419" t="s">
        <v>230</v>
      </c>
      <c r="BR419" t="s">
        <v>230</v>
      </c>
      <c r="BU419" t="s">
        <v>231</v>
      </c>
      <c r="BV419" t="s">
        <v>223</v>
      </c>
      <c r="BW419" t="s">
        <v>232</v>
      </c>
      <c r="BX419" t="s">
        <v>276</v>
      </c>
      <c r="BY419" t="s">
        <v>220</v>
      </c>
      <c r="BZ419">
        <v>0.253</v>
      </c>
      <c r="CA419" t="s">
        <v>372</v>
      </c>
      <c r="CF419" t="s">
        <v>220</v>
      </c>
      <c r="CG419">
        <v>6.2199999999999998E-2</v>
      </c>
      <c r="CH419" t="s">
        <v>220</v>
      </c>
      <c r="CI419">
        <v>0.35099999999999998</v>
      </c>
      <c r="CK419"/>
      <c r="CL419"/>
      <c r="CM419"/>
      <c r="CS419" s="8"/>
      <c r="CW419" t="s">
        <v>220</v>
      </c>
      <c r="CX419" t="s">
        <v>220</v>
      </c>
      <c r="CY419" t="s">
        <v>231</v>
      </c>
      <c r="CZ419" t="s">
        <v>220</v>
      </c>
      <c r="DA419" t="s">
        <v>227</v>
      </c>
      <c r="DB419" t="s">
        <v>220</v>
      </c>
      <c r="DC419"/>
      <c r="DD419"/>
      <c r="DE419"/>
      <c r="DF419"/>
      <c r="DG419"/>
      <c r="DH419" s="323"/>
      <c r="DI419" s="323"/>
      <c r="DJ419" s="323"/>
      <c r="DL419" t="s">
        <v>220</v>
      </c>
      <c r="DM419" t="s">
        <v>220</v>
      </c>
      <c r="DN419" t="s">
        <v>257</v>
      </c>
      <c r="DO419" t="s">
        <v>220</v>
      </c>
      <c r="DP419" t="s">
        <v>257</v>
      </c>
      <c r="DS419" s="309">
        <v>173.11</v>
      </c>
      <c r="DU419" s="309">
        <v>403.51600000000002</v>
      </c>
      <c r="DW419">
        <v>25.1</v>
      </c>
      <c r="DX419" t="s">
        <v>238</v>
      </c>
      <c r="DY419">
        <v>1150</v>
      </c>
      <c r="DZ419" t="s">
        <v>238</v>
      </c>
      <c r="EA419"/>
      <c r="EB419"/>
      <c r="ED419" s="410"/>
      <c r="EE419" s="1"/>
      <c r="EG419" s="410"/>
      <c r="EI419" s="410"/>
      <c r="EK419" s="1"/>
      <c r="EM419"/>
      <c r="EQ419" s="344"/>
      <c r="EU419" s="344"/>
      <c r="EW419" s="409"/>
      <c r="EY419" s="1"/>
      <c r="FA419">
        <v>135.53</v>
      </c>
      <c r="FB419" t="s">
        <v>236</v>
      </c>
      <c r="FC419" s="7">
        <v>575.30745264844325</v>
      </c>
      <c r="FD419" s="357" t="s">
        <v>236</v>
      </c>
      <c r="FE419" s="8">
        <v>21.963421692275439</v>
      </c>
      <c r="FF419" t="s">
        <v>237</v>
      </c>
      <c r="FH419" s="9">
        <v>203.89191270749771</v>
      </c>
      <c r="FI419" s="9" t="s">
        <v>236</v>
      </c>
      <c r="FJ419">
        <v>546</v>
      </c>
      <c r="FK419" t="s">
        <v>238</v>
      </c>
      <c r="FL419">
        <v>226</v>
      </c>
      <c r="FM419">
        <v>74.21641977388856</v>
      </c>
      <c r="FN419" s="5" t="s">
        <v>237</v>
      </c>
      <c r="FP419" s="6">
        <v>3.7108209886944281</v>
      </c>
      <c r="FQ419" t="s">
        <v>277</v>
      </c>
      <c r="FS419" t="s">
        <v>240</v>
      </c>
      <c r="FT419" t="e">
        <f>FQ419=#REF!</f>
        <v>#REF!</v>
      </c>
      <c r="FU419" s="8">
        <v>2</v>
      </c>
      <c r="FV419" s="8">
        <v>10</v>
      </c>
      <c r="FW419" s="8">
        <v>10</v>
      </c>
      <c r="FX419" s="8">
        <v>10</v>
      </c>
      <c r="FY419" s="8">
        <v>3</v>
      </c>
      <c r="FZ419">
        <f t="shared" si="6"/>
        <v>6000</v>
      </c>
      <c r="GA419" s="7" t="s">
        <v>241</v>
      </c>
      <c r="GB419" s="7" t="s">
        <v>241</v>
      </c>
      <c r="GC419" s="6">
        <v>30</v>
      </c>
      <c r="GD419" s="348" t="s">
        <v>242</v>
      </c>
      <c r="GF419" s="6">
        <v>3.6605702820459066E-2</v>
      </c>
      <c r="GH419" s="7"/>
      <c r="GI419" s="445"/>
      <c r="GJ419" s="445"/>
      <c r="GK419" s="445"/>
      <c r="GL419" s="445"/>
      <c r="GM419" s="453"/>
      <c r="GN419" s="6">
        <v>0.2</v>
      </c>
      <c r="GO419" s="6">
        <v>0.375</v>
      </c>
      <c r="GP419" s="6">
        <v>0.6</v>
      </c>
      <c r="GQ419" s="6">
        <v>1.5</v>
      </c>
      <c r="GR419" s="6" t="s">
        <v>230</v>
      </c>
      <c r="GU419" t="s">
        <v>243</v>
      </c>
      <c r="GV419" t="s">
        <v>236</v>
      </c>
      <c r="GW419" t="s">
        <v>244</v>
      </c>
      <c r="GX419" t="s">
        <v>236</v>
      </c>
      <c r="GY419" t="s">
        <v>245</v>
      </c>
      <c r="HE419" t="s">
        <v>384</v>
      </c>
      <c r="HF419" t="s">
        <v>223</v>
      </c>
      <c r="HG419" t="s">
        <v>317</v>
      </c>
      <c r="HH419" t="s">
        <v>236</v>
      </c>
      <c r="HI419" t="s">
        <v>247</v>
      </c>
      <c r="HJ419" t="s">
        <v>223</v>
      </c>
      <c r="HK419" t="s">
        <v>266</v>
      </c>
      <c r="HO419" t="s">
        <v>231</v>
      </c>
      <c r="HP419" t="s">
        <v>223</v>
      </c>
      <c r="HQ419" t="s">
        <v>231</v>
      </c>
      <c r="HR419" t="s">
        <v>223</v>
      </c>
      <c r="HU419" t="s">
        <v>231</v>
      </c>
      <c r="HV419" t="s">
        <v>223</v>
      </c>
      <c r="HW419" t="s">
        <v>246</v>
      </c>
      <c r="HX419" t="s">
        <v>236</v>
      </c>
      <c r="IA419" t="s">
        <v>231</v>
      </c>
      <c r="IB419" t="s">
        <v>250</v>
      </c>
      <c r="IC419" s="447"/>
      <c r="ID419" s="447"/>
      <c r="IE419" s="447"/>
      <c r="IF419" s="447"/>
      <c r="IH419" t="s">
        <v>235</v>
      </c>
    </row>
    <row r="420" spans="1:242" x14ac:dyDescent="0.35">
      <c r="A420" s="310" t="s">
        <v>2338</v>
      </c>
      <c r="B420" t="s">
        <v>2339</v>
      </c>
      <c r="C420" s="310" t="s">
        <v>2340</v>
      </c>
      <c r="D420" s="316"/>
      <c r="F420" t="s">
        <v>2341</v>
      </c>
      <c r="I420" s="310" t="s">
        <v>2342</v>
      </c>
      <c r="M420" s="313"/>
      <c r="O420"/>
      <c r="P420" s="381"/>
      <c r="Q420"/>
      <c r="T420" s="8"/>
      <c r="U420"/>
      <c r="V420" s="313"/>
      <c r="W420"/>
      <c r="X420"/>
      <c r="Z420"/>
      <c r="AB420"/>
      <c r="AD420" s="8" t="s">
        <v>230</v>
      </c>
      <c r="AF420" s="8" t="s">
        <v>230</v>
      </c>
      <c r="AG420"/>
      <c r="AH420"/>
      <c r="AI420"/>
      <c r="AJ420" t="s">
        <v>221</v>
      </c>
      <c r="AK420">
        <v>0.2</v>
      </c>
      <c r="AL420">
        <v>0.3</v>
      </c>
      <c r="AM420" t="s">
        <v>221</v>
      </c>
      <c r="AN420" t="s">
        <v>225</v>
      </c>
      <c r="AO420" t="s">
        <v>221</v>
      </c>
      <c r="AP420" t="s">
        <v>225</v>
      </c>
      <c r="AQ420" t="s">
        <v>414</v>
      </c>
      <c r="AR420" t="s">
        <v>225</v>
      </c>
      <c r="AS420" t="s">
        <v>414</v>
      </c>
      <c r="AT420" t="s">
        <v>236</v>
      </c>
      <c r="AU420" t="s">
        <v>220</v>
      </c>
      <c r="AV420"/>
      <c r="AW420" s="313" t="s">
        <v>220</v>
      </c>
      <c r="AX420" t="s">
        <v>226</v>
      </c>
      <c r="AY420" s="313" t="s">
        <v>220</v>
      </c>
      <c r="AZ420" s="313">
        <v>0.10199999999999999</v>
      </c>
      <c r="BB420" s="313" t="s">
        <v>220</v>
      </c>
      <c r="BC420">
        <v>4.0800000000000003E-2</v>
      </c>
      <c r="BD420" t="s">
        <v>220</v>
      </c>
      <c r="BE420">
        <v>9.2899999999999996E-2</v>
      </c>
      <c r="BF420" s="2" t="s">
        <v>220</v>
      </c>
      <c r="BG420" s="2" t="s">
        <v>653</v>
      </c>
      <c r="BH420" s="2" t="s">
        <v>274</v>
      </c>
      <c r="BI420" s="2" t="s">
        <v>275</v>
      </c>
      <c r="BM420"/>
      <c r="BP420" s="8"/>
      <c r="BQ420" t="s">
        <v>230</v>
      </c>
      <c r="BR420" t="s">
        <v>230</v>
      </c>
      <c r="BU420" t="s">
        <v>317</v>
      </c>
      <c r="BV420" t="s">
        <v>225</v>
      </c>
      <c r="BW420" t="s">
        <v>293</v>
      </c>
      <c r="BX420" t="s">
        <v>458</v>
      </c>
      <c r="BY420" t="s">
        <v>220</v>
      </c>
      <c r="BZ420">
        <v>0.27300000000000002</v>
      </c>
      <c r="CA420" t="s">
        <v>372</v>
      </c>
      <c r="CF420" t="s">
        <v>220</v>
      </c>
      <c r="CG420">
        <v>0.14199999999999999</v>
      </c>
      <c r="CH420" t="s">
        <v>220</v>
      </c>
      <c r="CI420">
        <v>0.252</v>
      </c>
      <c r="CK420"/>
      <c r="CL420"/>
      <c r="CM420"/>
      <c r="CS420" s="8"/>
      <c r="CW420" t="s">
        <v>220</v>
      </c>
      <c r="CX420" t="s">
        <v>220</v>
      </c>
      <c r="CY420" t="s">
        <v>231</v>
      </c>
      <c r="CZ420" t="s">
        <v>220</v>
      </c>
      <c r="DA420" t="s">
        <v>227</v>
      </c>
      <c r="DB420" t="s">
        <v>220</v>
      </c>
      <c r="DC420"/>
      <c r="DD420"/>
      <c r="DE420"/>
      <c r="DF420"/>
      <c r="DG420"/>
      <c r="DH420" s="323"/>
      <c r="DI420" s="323"/>
      <c r="DJ420" s="323"/>
      <c r="DL420" t="s">
        <v>257</v>
      </c>
      <c r="DM420" t="s">
        <v>220</v>
      </c>
      <c r="DN420" t="s">
        <v>227</v>
      </c>
      <c r="DO420" t="s">
        <v>257</v>
      </c>
      <c r="DP420" t="s">
        <v>227</v>
      </c>
      <c r="DS420" s="309">
        <v>155.96799999999999</v>
      </c>
      <c r="DU420" s="309">
        <v>733.23900000000003</v>
      </c>
      <c r="DW420"/>
      <c r="DX420" t="s">
        <v>235</v>
      </c>
      <c r="DY420"/>
      <c r="DZ420" t="s">
        <v>235</v>
      </c>
      <c r="EA420"/>
      <c r="EB420"/>
      <c r="ED420" s="410"/>
      <c r="EE420" s="1"/>
      <c r="EG420" s="410"/>
      <c r="EI420" s="410"/>
      <c r="EK420" s="1"/>
      <c r="EM420"/>
      <c r="EQ420" s="344"/>
      <c r="EU420" s="344"/>
      <c r="EW420" s="409"/>
      <c r="EY420" s="1"/>
      <c r="FA420">
        <v>95.14</v>
      </c>
      <c r="FB420" t="s">
        <v>236</v>
      </c>
      <c r="FC420" s="7">
        <v>770.72598241551964</v>
      </c>
      <c r="FD420" s="357" t="s">
        <v>236</v>
      </c>
      <c r="FE420" s="8">
        <v>1.8560941417034296</v>
      </c>
      <c r="FF420" t="s">
        <v>237</v>
      </c>
      <c r="FH420" s="9">
        <v>270.8943829859781</v>
      </c>
      <c r="FI420" s="9" t="s">
        <v>225</v>
      </c>
      <c r="FK420" t="s">
        <v>235</v>
      </c>
      <c r="FL420">
        <v>177</v>
      </c>
      <c r="FM420">
        <v>3.3014140864591162</v>
      </c>
      <c r="FN420" s="5" t="s">
        <v>237</v>
      </c>
      <c r="FP420" s="6">
        <v>0.16507070432295581</v>
      </c>
      <c r="FQ420" t="s">
        <v>277</v>
      </c>
      <c r="FS420" t="s">
        <v>240</v>
      </c>
      <c r="FT420" t="e">
        <f>FQ420=#REF!</f>
        <v>#REF!</v>
      </c>
      <c r="FU420" s="8">
        <v>2</v>
      </c>
      <c r="FV420" s="8">
        <v>10</v>
      </c>
      <c r="FW420" s="8">
        <v>10</v>
      </c>
      <c r="FX420" s="8">
        <v>10</v>
      </c>
      <c r="FY420" s="8">
        <v>1</v>
      </c>
      <c r="FZ420">
        <f t="shared" si="6"/>
        <v>2000</v>
      </c>
      <c r="GA420" s="7" t="s">
        <v>326</v>
      </c>
      <c r="GB420" s="7" t="s">
        <v>326</v>
      </c>
      <c r="GC420" s="6">
        <v>1.5</v>
      </c>
      <c r="GD420" s="348" t="s">
        <v>242</v>
      </c>
      <c r="GF420" s="6">
        <v>3.0934902361723828E-3</v>
      </c>
      <c r="GH420" s="7"/>
      <c r="GI420" s="441" t="s">
        <v>395</v>
      </c>
      <c r="GJ420" s="441" t="s">
        <v>395</v>
      </c>
      <c r="GK420" s="441" t="s">
        <v>395</v>
      </c>
      <c r="GL420" s="441" t="s">
        <v>395</v>
      </c>
      <c r="GM420" s="452" t="s">
        <v>552</v>
      </c>
      <c r="GN420" s="6">
        <v>0.01</v>
      </c>
      <c r="GO420" s="6">
        <v>1.8749999999999999E-2</v>
      </c>
      <c r="GP420" s="6">
        <v>0.03</v>
      </c>
      <c r="GQ420" s="6">
        <v>7.4999999999999997E-2</v>
      </c>
      <c r="GR420" s="6" t="s">
        <v>230</v>
      </c>
      <c r="GU420" t="s">
        <v>365</v>
      </c>
      <c r="GV420" t="s">
        <v>236</v>
      </c>
      <c r="GW420" t="s">
        <v>244</v>
      </c>
      <c r="GX420" t="s">
        <v>236</v>
      </c>
      <c r="GY420" t="s">
        <v>245</v>
      </c>
      <c r="HE420" t="s">
        <v>247</v>
      </c>
      <c r="HF420" t="s">
        <v>223</v>
      </c>
      <c r="HG420" t="s">
        <v>317</v>
      </c>
      <c r="HH420" t="s">
        <v>236</v>
      </c>
      <c r="HI420" t="s">
        <v>247</v>
      </c>
      <c r="HJ420" t="s">
        <v>225</v>
      </c>
      <c r="HK420" t="s">
        <v>266</v>
      </c>
      <c r="HO420" t="s">
        <v>231</v>
      </c>
      <c r="HP420" t="s">
        <v>223</v>
      </c>
      <c r="HQ420" t="s">
        <v>231</v>
      </c>
      <c r="HR420" t="s">
        <v>223</v>
      </c>
      <c r="HU420" t="s">
        <v>231</v>
      </c>
      <c r="HV420" t="s">
        <v>223</v>
      </c>
      <c r="HW420" t="s">
        <v>506</v>
      </c>
      <c r="HX420" t="s">
        <v>236</v>
      </c>
      <c r="IA420" t="s">
        <v>231</v>
      </c>
      <c r="IB420" t="s">
        <v>250</v>
      </c>
      <c r="IC420" t="s">
        <v>395</v>
      </c>
      <c r="ID420" t="s">
        <v>395</v>
      </c>
      <c r="IE420" t="s">
        <v>395</v>
      </c>
      <c r="IF420" t="s">
        <v>395</v>
      </c>
      <c r="IH420" t="s">
        <v>235</v>
      </c>
    </row>
    <row r="421" spans="1:242" x14ac:dyDescent="0.35">
      <c r="A421" s="310" t="s">
        <v>2343</v>
      </c>
      <c r="B421" t="s">
        <v>2344</v>
      </c>
      <c r="C421" s="310" t="s">
        <v>2345</v>
      </c>
      <c r="D421" s="316"/>
      <c r="F421" t="s">
        <v>2346</v>
      </c>
      <c r="I421" s="310" t="s">
        <v>2347</v>
      </c>
      <c r="M421" s="313"/>
      <c r="O421"/>
      <c r="P421" s="381"/>
      <c r="Q421"/>
      <c r="T421" s="8"/>
      <c r="U421"/>
      <c r="V421" s="313"/>
      <c r="W421"/>
      <c r="X421"/>
      <c r="Z421"/>
      <c r="AB421"/>
      <c r="AD421" s="8" t="s">
        <v>230</v>
      </c>
      <c r="AF421" s="8" t="s">
        <v>230</v>
      </c>
      <c r="AG421"/>
      <c r="AH421"/>
      <c r="AI421"/>
      <c r="AJ421" t="s">
        <v>221</v>
      </c>
      <c r="AK421">
        <v>0</v>
      </c>
      <c r="AL421">
        <v>0.82499999999999996</v>
      </c>
      <c r="AM421" t="s">
        <v>221</v>
      </c>
      <c r="AN421" t="s">
        <v>223</v>
      </c>
      <c r="AO421" t="s">
        <v>221</v>
      </c>
      <c r="AP421" t="s">
        <v>223</v>
      </c>
      <c r="AQ421" t="s">
        <v>221</v>
      </c>
      <c r="AR421" t="s">
        <v>223</v>
      </c>
      <c r="AS421" t="s">
        <v>221</v>
      </c>
      <c r="AT421" t="s">
        <v>225</v>
      </c>
      <c r="AU421" t="s">
        <v>220</v>
      </c>
      <c r="AV421"/>
      <c r="AW421" s="313" t="s">
        <v>220</v>
      </c>
      <c r="AX421" t="s">
        <v>226</v>
      </c>
      <c r="AY421" s="313" t="s">
        <v>220</v>
      </c>
      <c r="AZ421" s="313">
        <v>5.79E-2</v>
      </c>
      <c r="BB421" s="313" t="s">
        <v>220</v>
      </c>
      <c r="BC421">
        <v>2.9700000000000001E-2</v>
      </c>
      <c r="BD421" t="s">
        <v>220</v>
      </c>
      <c r="BE421">
        <v>9.2800000000000001E-3</v>
      </c>
      <c r="BF421" s="2" t="s">
        <v>220</v>
      </c>
      <c r="BG421" s="2" t="s">
        <v>273</v>
      </c>
      <c r="BH421" s="2" t="s">
        <v>274</v>
      </c>
      <c r="BI421" s="2" t="s">
        <v>275</v>
      </c>
      <c r="BM421"/>
      <c r="BP421" s="8"/>
      <c r="BQ421" t="s">
        <v>230</v>
      </c>
      <c r="BR421" t="s">
        <v>230</v>
      </c>
      <c r="BU421" t="s">
        <v>231</v>
      </c>
      <c r="BV421" t="s">
        <v>223</v>
      </c>
      <c r="BW421" t="s">
        <v>232</v>
      </c>
      <c r="BX421" t="s">
        <v>284</v>
      </c>
      <c r="BY421" t="s">
        <v>220</v>
      </c>
      <c r="BZ421">
        <v>0.23100000000000001</v>
      </c>
      <c r="CA421" t="s">
        <v>372</v>
      </c>
      <c r="CF421" t="s">
        <v>220</v>
      </c>
      <c r="CG421">
        <v>4.4200000000000003E-2</v>
      </c>
      <c r="CH421" t="s">
        <v>220</v>
      </c>
      <c r="CI421">
        <v>6.4799999999999996E-2</v>
      </c>
      <c r="CK421"/>
      <c r="CL421"/>
      <c r="CM421"/>
      <c r="CS421" s="8"/>
      <c r="CW421" t="s">
        <v>220</v>
      </c>
      <c r="CX421" t="s">
        <v>220</v>
      </c>
      <c r="CY421" t="s">
        <v>231</v>
      </c>
      <c r="CZ421" t="s">
        <v>220</v>
      </c>
      <c r="DA421" t="s">
        <v>220</v>
      </c>
      <c r="DB421" t="s">
        <v>220</v>
      </c>
      <c r="DC421"/>
      <c r="DD421"/>
      <c r="DE421"/>
      <c r="DF421"/>
      <c r="DG421"/>
      <c r="DH421" s="323"/>
      <c r="DI421" s="323"/>
      <c r="DJ421" s="323"/>
      <c r="DL421" t="s">
        <v>257</v>
      </c>
      <c r="DM421" t="s">
        <v>220</v>
      </c>
      <c r="DN421" t="s">
        <v>257</v>
      </c>
      <c r="DO421" t="s">
        <v>220</v>
      </c>
      <c r="DP421" t="s">
        <v>257</v>
      </c>
      <c r="DS421" s="338">
        <v>169.75399999999999</v>
      </c>
      <c r="DT421" s="8" t="s">
        <v>394</v>
      </c>
      <c r="DU421" s="309">
        <v>361.78800000000001</v>
      </c>
      <c r="DW421">
        <v>856</v>
      </c>
      <c r="DX421" t="s">
        <v>238</v>
      </c>
      <c r="DY421">
        <v>1390</v>
      </c>
      <c r="DZ421" t="s">
        <v>238</v>
      </c>
      <c r="EA421"/>
      <c r="EB421"/>
      <c r="ED421" s="410"/>
      <c r="EE421" s="1"/>
      <c r="EG421" s="410"/>
      <c r="EI421" s="410"/>
      <c r="EK421" s="1"/>
      <c r="EM421"/>
      <c r="EQ421" s="344"/>
      <c r="EU421" s="344"/>
      <c r="EW421" s="409"/>
      <c r="EY421" s="1"/>
      <c r="FA421">
        <v>433.72</v>
      </c>
      <c r="FB421" t="s">
        <v>225</v>
      </c>
      <c r="FC421" s="7">
        <v>748.85890752164414</v>
      </c>
      <c r="FD421" s="357" t="s">
        <v>225</v>
      </c>
      <c r="FE421" s="8">
        <v>43.132040069941645</v>
      </c>
      <c r="FF421" t="s">
        <v>237</v>
      </c>
      <c r="FH421" s="9">
        <v>933.89919274143062</v>
      </c>
      <c r="FI421" s="9" t="s">
        <v>225</v>
      </c>
      <c r="FJ421">
        <v>3860</v>
      </c>
      <c r="FK421" t="s">
        <v>267</v>
      </c>
      <c r="FL421">
        <v>2410</v>
      </c>
      <c r="FM421">
        <v>292.75208713694434</v>
      </c>
      <c r="FN421" s="5" t="s">
        <v>237</v>
      </c>
      <c r="FP421" s="6">
        <v>216.86</v>
      </c>
      <c r="FQ421" t="s">
        <v>275</v>
      </c>
      <c r="FS421" t="s">
        <v>240</v>
      </c>
      <c r="FT421" t="e">
        <f>FQ421=#REF!</f>
        <v>#REF!</v>
      </c>
      <c r="FU421" s="8">
        <v>2</v>
      </c>
      <c r="FV421" s="8">
        <v>10</v>
      </c>
      <c r="FW421" s="8">
        <v>10</v>
      </c>
      <c r="FX421" s="8">
        <v>1</v>
      </c>
      <c r="FY421" s="8">
        <v>3</v>
      </c>
      <c r="FZ421">
        <f t="shared" si="6"/>
        <v>600</v>
      </c>
      <c r="GA421" s="7" t="s">
        <v>241</v>
      </c>
      <c r="GB421" s="7" t="s">
        <v>241</v>
      </c>
      <c r="GC421" s="6">
        <v>30</v>
      </c>
      <c r="GD421" s="348" t="s">
        <v>242</v>
      </c>
      <c r="GF421" s="6">
        <v>0.72286666666666677</v>
      </c>
      <c r="GH421" s="7"/>
      <c r="GI421" s="441"/>
      <c r="GJ421" s="441"/>
      <c r="GK421" s="441"/>
      <c r="GL421" s="441"/>
      <c r="GM421" s="454"/>
      <c r="GN421" s="441"/>
      <c r="GO421" s="441"/>
      <c r="GP421" s="441"/>
      <c r="GQ421" s="441"/>
      <c r="GR421" s="441"/>
      <c r="GS421" s="441"/>
      <c r="GT421" s="441"/>
      <c r="GU421" s="441"/>
      <c r="GV421" s="441"/>
      <c r="GW421" s="441"/>
      <c r="GX421" s="441"/>
      <c r="GY421" s="441"/>
      <c r="GZ421" s="441"/>
      <c r="HA421" s="441"/>
      <c r="HB421" s="441"/>
      <c r="HC421" s="441"/>
      <c r="HD421" s="441"/>
      <c r="HE421" s="441"/>
      <c r="HF421" s="441"/>
      <c r="HG421" s="441"/>
      <c r="HH421" s="441"/>
      <c r="HI421" s="441"/>
      <c r="HJ421" s="441"/>
      <c r="HK421" s="441"/>
      <c r="HL421" s="441"/>
      <c r="HM421" s="441"/>
      <c r="HN421" s="441"/>
      <c r="HO421" s="441"/>
      <c r="HP421" s="441"/>
      <c r="HQ421" s="441"/>
      <c r="HR421" s="441"/>
      <c r="HS421" s="441"/>
      <c r="HT421" s="441"/>
      <c r="HU421" s="441"/>
      <c r="HV421" s="441"/>
      <c r="HW421" s="441"/>
      <c r="HX421" s="441"/>
      <c r="HY421" s="441"/>
      <c r="HZ421" s="441"/>
      <c r="IA421" s="441"/>
      <c r="IB421" s="441"/>
      <c r="IC421" s="441"/>
      <c r="ID421" s="441"/>
      <c r="IE421" s="441"/>
      <c r="IF421" s="441"/>
      <c r="IH421" t="s">
        <v>235</v>
      </c>
    </row>
    <row r="422" spans="1:242" x14ac:dyDescent="0.35">
      <c r="A422" s="310" t="s">
        <v>2348</v>
      </c>
      <c r="B422" t="s">
        <v>2349</v>
      </c>
      <c r="C422" s="310" t="s">
        <v>2350</v>
      </c>
      <c r="D422" s="316"/>
      <c r="F422" t="s">
        <v>2351</v>
      </c>
      <c r="I422" s="310" t="s">
        <v>2352</v>
      </c>
      <c r="M422" s="313"/>
      <c r="O422" t="s">
        <v>221</v>
      </c>
      <c r="P422" s="381"/>
      <c r="Q422" t="s">
        <v>221</v>
      </c>
      <c r="T422" s="8"/>
      <c r="U422" t="s">
        <v>221</v>
      </c>
      <c r="V422" s="313"/>
      <c r="W422" t="s">
        <v>301</v>
      </c>
      <c r="X422"/>
      <c r="Z422"/>
      <c r="AB422"/>
      <c r="AD422" s="8" t="s">
        <v>230</v>
      </c>
      <c r="AF422" s="8" t="s">
        <v>230</v>
      </c>
      <c r="AG422"/>
      <c r="AH422"/>
      <c r="AI422"/>
      <c r="AJ422" t="s">
        <v>221</v>
      </c>
      <c r="AK422">
        <v>0</v>
      </c>
      <c r="AL422">
        <v>1</v>
      </c>
      <c r="AM422" t="s">
        <v>221</v>
      </c>
      <c r="AN422" t="s">
        <v>249</v>
      </c>
      <c r="AO422" t="s">
        <v>221</v>
      </c>
      <c r="AP422"/>
      <c r="AQ422" t="s">
        <v>221</v>
      </c>
      <c r="AR422" t="s">
        <v>223</v>
      </c>
      <c r="AS422" t="s">
        <v>221</v>
      </c>
      <c r="AT422"/>
      <c r="AU422" t="s">
        <v>220</v>
      </c>
      <c r="AV422"/>
      <c r="AW422" s="313" t="s">
        <v>220</v>
      </c>
      <c r="AX422" t="s">
        <v>226</v>
      </c>
      <c r="AY422" s="313" t="s">
        <v>220</v>
      </c>
      <c r="AZ422" s="313">
        <v>2.3900000000000001E-2</v>
      </c>
      <c r="BB422" s="313" t="s">
        <v>220</v>
      </c>
      <c r="BC422">
        <v>1.9E-2</v>
      </c>
      <c r="BD422" t="s">
        <v>220</v>
      </c>
      <c r="BE422">
        <v>1.0500000000000001E-2</v>
      </c>
      <c r="BF422" s="2" t="s">
        <v>220</v>
      </c>
      <c r="BH422" s="2" t="s">
        <v>228</v>
      </c>
      <c r="BI422" s="2" t="s">
        <v>2353</v>
      </c>
      <c r="BM422"/>
      <c r="BP422" s="8"/>
      <c r="BQ422" t="s">
        <v>230</v>
      </c>
      <c r="BR422" t="s">
        <v>230</v>
      </c>
      <c r="BU422" t="s">
        <v>231</v>
      </c>
      <c r="BV422" t="s">
        <v>225</v>
      </c>
      <c r="BW422" t="s">
        <v>232</v>
      </c>
      <c r="BX422" t="s">
        <v>284</v>
      </c>
      <c r="BY422" t="s">
        <v>220</v>
      </c>
      <c r="BZ422">
        <v>0.16300000000000001</v>
      </c>
      <c r="CA422" t="s">
        <v>234</v>
      </c>
      <c r="CF422" t="s">
        <v>220</v>
      </c>
      <c r="CG422">
        <v>4.4499999999999998E-2</v>
      </c>
      <c r="CH422" t="s">
        <v>220</v>
      </c>
      <c r="CI422">
        <v>6.8999999999999999E-3</v>
      </c>
      <c r="CK422"/>
      <c r="CL422"/>
      <c r="CM422"/>
      <c r="CS422" s="8"/>
      <c r="CW422" t="s">
        <v>220</v>
      </c>
      <c r="CX422" t="s">
        <v>220</v>
      </c>
      <c r="CY422" t="s">
        <v>231</v>
      </c>
      <c r="CZ422" t="s">
        <v>220</v>
      </c>
      <c r="DA422" t="s">
        <v>220</v>
      </c>
      <c r="DB422" t="s">
        <v>220</v>
      </c>
      <c r="DC422"/>
      <c r="DD422"/>
      <c r="DE422"/>
      <c r="DF422"/>
      <c r="DG422"/>
      <c r="DH422" s="323"/>
      <c r="DI422" s="323"/>
      <c r="DJ422" s="323"/>
      <c r="DL422" t="s">
        <v>257</v>
      </c>
      <c r="DM422" t="s">
        <v>220</v>
      </c>
      <c r="DN422" t="s">
        <v>257</v>
      </c>
      <c r="DO422" t="s">
        <v>220</v>
      </c>
      <c r="DP422" t="s">
        <v>257</v>
      </c>
      <c r="DS422" s="309">
        <v>536.65200000000004</v>
      </c>
      <c r="DU422" s="309">
        <v>743.48199999999997</v>
      </c>
      <c r="DW422">
        <v>1360</v>
      </c>
      <c r="DX422" t="s">
        <v>238</v>
      </c>
      <c r="DY422">
        <v>1550</v>
      </c>
      <c r="DZ422" t="s">
        <v>238</v>
      </c>
      <c r="EA422"/>
      <c r="EB422"/>
      <c r="ED422" s="410"/>
      <c r="EE422" s="1"/>
      <c r="EG422" s="410"/>
      <c r="EI422" s="410"/>
      <c r="EK422" s="1"/>
      <c r="EM422"/>
      <c r="EQ422" s="344"/>
      <c r="EU422" s="344"/>
      <c r="EW422" s="409"/>
      <c r="EY422" s="1"/>
      <c r="FA422">
        <v>235.32</v>
      </c>
      <c r="FB422" t="s">
        <v>225</v>
      </c>
      <c r="FC422" s="7">
        <v>688.81088265268068</v>
      </c>
      <c r="FD422" s="357" t="s">
        <v>225</v>
      </c>
      <c r="FE422" s="8">
        <v>18.612298112679394</v>
      </c>
      <c r="FF422" t="s">
        <v>237</v>
      </c>
      <c r="FH422" s="9">
        <v>597.31029481213727</v>
      </c>
      <c r="FI422" s="9" t="s">
        <v>225</v>
      </c>
      <c r="FJ422">
        <v>264</v>
      </c>
      <c r="FK422" t="s">
        <v>238</v>
      </c>
      <c r="FL422">
        <v>280</v>
      </c>
      <c r="FM422">
        <v>79.396251726985696</v>
      </c>
      <c r="FN422" s="5" t="s">
        <v>237</v>
      </c>
      <c r="FP422" s="6">
        <v>3.9698125863492848</v>
      </c>
      <c r="FQ422" t="s">
        <v>277</v>
      </c>
      <c r="FS422" t="s">
        <v>240</v>
      </c>
      <c r="FT422" t="e">
        <f>FQ422=#REF!</f>
        <v>#REF!</v>
      </c>
      <c r="FU422" s="8">
        <v>2</v>
      </c>
      <c r="FV422" s="8">
        <v>10</v>
      </c>
      <c r="FW422" s="8">
        <v>10</v>
      </c>
      <c r="FX422" s="8">
        <v>10</v>
      </c>
      <c r="FY422" s="8">
        <v>3</v>
      </c>
      <c r="FZ422">
        <f t="shared" si="6"/>
        <v>6000</v>
      </c>
      <c r="GA422" s="7" t="s">
        <v>241</v>
      </c>
      <c r="GB422" s="7" t="s">
        <v>241</v>
      </c>
      <c r="GC422" s="6">
        <v>30</v>
      </c>
      <c r="GD422" s="348" t="s">
        <v>242</v>
      </c>
      <c r="GF422" s="6">
        <v>3.102049685446566E-2</v>
      </c>
      <c r="GH422" s="7"/>
      <c r="GI422" s="441"/>
      <c r="GJ422" s="441"/>
      <c r="GK422" s="441"/>
      <c r="GL422" s="441"/>
      <c r="GM422" s="454"/>
      <c r="GN422" s="441"/>
      <c r="GO422" s="441"/>
      <c r="GP422" s="441"/>
      <c r="GQ422" s="441"/>
      <c r="GR422" s="441"/>
      <c r="GS422" s="441"/>
      <c r="GT422" s="441"/>
      <c r="GU422" s="441"/>
      <c r="GV422" s="441"/>
      <c r="GW422" s="441"/>
      <c r="GX422" s="441"/>
      <c r="GY422" s="441"/>
      <c r="GZ422" s="441"/>
      <c r="HA422" s="441"/>
      <c r="HB422" s="441"/>
      <c r="HC422" s="441"/>
      <c r="HD422" s="441"/>
      <c r="HE422" s="441"/>
      <c r="HF422" s="441"/>
      <c r="HG422" s="441"/>
      <c r="HH422" s="441"/>
      <c r="HI422" s="441"/>
      <c r="HJ422" s="441"/>
      <c r="HK422" s="441"/>
      <c r="HL422" s="441"/>
      <c r="HM422" s="441"/>
      <c r="HN422" s="441"/>
      <c r="HO422" s="441"/>
      <c r="HP422" s="441"/>
      <c r="HQ422" s="441"/>
      <c r="HR422" s="441"/>
      <c r="HS422" s="441"/>
      <c r="HT422" s="441"/>
      <c r="HU422" s="441"/>
      <c r="HV422" s="441"/>
      <c r="HW422" s="441"/>
      <c r="HX422" s="441"/>
      <c r="HY422" s="441"/>
      <c r="HZ422" s="441"/>
      <c r="IA422" s="441"/>
      <c r="IB422" s="441"/>
      <c r="IC422" s="441"/>
      <c r="ID422" s="441"/>
      <c r="IE422" s="441"/>
      <c r="IF422" s="441"/>
      <c r="IH422" t="s">
        <v>235</v>
      </c>
    </row>
    <row r="423" spans="1:242" x14ac:dyDescent="0.35">
      <c r="A423" s="310" t="s">
        <v>2354</v>
      </c>
      <c r="B423" t="s">
        <v>2355</v>
      </c>
      <c r="C423" s="310" t="s">
        <v>2356</v>
      </c>
      <c r="D423" s="316"/>
      <c r="F423" t="s">
        <v>2351</v>
      </c>
      <c r="I423" s="310" t="s">
        <v>2357</v>
      </c>
      <c r="M423" s="313" t="s">
        <v>2358</v>
      </c>
      <c r="O423" t="s">
        <v>221</v>
      </c>
      <c r="P423" s="382"/>
      <c r="Q423" t="s">
        <v>221</v>
      </c>
      <c r="U423" t="s">
        <v>221</v>
      </c>
      <c r="V423" s="313"/>
      <c r="W423" t="s">
        <v>301</v>
      </c>
      <c r="X423"/>
      <c r="Z423"/>
      <c r="AB423"/>
      <c r="AD423" s="8" t="s">
        <v>230</v>
      </c>
      <c r="AF423" s="8" t="s">
        <v>222</v>
      </c>
      <c r="AG423"/>
      <c r="AH423"/>
      <c r="AI423"/>
      <c r="AJ423" t="s">
        <v>221</v>
      </c>
      <c r="AK423">
        <v>0</v>
      </c>
      <c r="AL423">
        <v>1</v>
      </c>
      <c r="AM423" t="s">
        <v>221</v>
      </c>
      <c r="AN423" t="s">
        <v>249</v>
      </c>
      <c r="AO423" t="s">
        <v>221</v>
      </c>
      <c r="AP423"/>
      <c r="AQ423" t="s">
        <v>221</v>
      </c>
      <c r="AR423" t="s">
        <v>223</v>
      </c>
      <c r="AS423" t="s">
        <v>221</v>
      </c>
      <c r="AT423"/>
      <c r="AU423" t="s">
        <v>220</v>
      </c>
      <c r="AV423"/>
      <c r="AW423" s="313" t="s">
        <v>220</v>
      </c>
      <c r="AX423" s="313" t="s">
        <v>226</v>
      </c>
      <c r="AY423" s="313" t="s">
        <v>220</v>
      </c>
      <c r="AZ423" s="313">
        <v>2.3900000000000001E-2</v>
      </c>
      <c r="BB423" s="313" t="s">
        <v>220</v>
      </c>
      <c r="BC423"/>
      <c r="BD423" t="s">
        <v>220</v>
      </c>
      <c r="BE423"/>
      <c r="BF423" s="2" t="s">
        <v>220</v>
      </c>
      <c r="BH423" s="2" t="s">
        <v>228</v>
      </c>
      <c r="BI423" s="2" t="s">
        <v>336</v>
      </c>
      <c r="BM423"/>
      <c r="BP423" s="8"/>
      <c r="BQ423" t="s">
        <v>230</v>
      </c>
      <c r="BR423" t="s">
        <v>230</v>
      </c>
      <c r="BU423" t="s">
        <v>231</v>
      </c>
      <c r="BV423" t="s">
        <v>225</v>
      </c>
      <c r="BW423" t="s">
        <v>232</v>
      </c>
      <c r="BX423" t="s">
        <v>284</v>
      </c>
      <c r="BY423"/>
      <c r="CA423" t="s">
        <v>234</v>
      </c>
      <c r="CK423"/>
      <c r="CL423"/>
      <c r="CM423"/>
      <c r="CS423" s="8"/>
      <c r="CY423" t="s">
        <v>231</v>
      </c>
      <c r="DC423"/>
      <c r="DD423"/>
      <c r="DE423"/>
      <c r="DF423"/>
      <c r="DG423"/>
      <c r="DH423" s="323"/>
      <c r="DI423" s="323"/>
      <c r="DJ423" s="323"/>
      <c r="DL423"/>
      <c r="DM423"/>
      <c r="DN423"/>
      <c r="DO423"/>
      <c r="DP423"/>
      <c r="DS423" s="309">
        <v>536.65200000000004</v>
      </c>
      <c r="DU423" s="309">
        <v>743.48199999999997</v>
      </c>
      <c r="DW423">
        <v>1360</v>
      </c>
      <c r="DX423" t="s">
        <v>238</v>
      </c>
      <c r="DY423">
        <v>1550</v>
      </c>
      <c r="DZ423" t="s">
        <v>238</v>
      </c>
      <c r="EA423"/>
      <c r="EB423"/>
      <c r="ED423" s="410">
        <v>450</v>
      </c>
      <c r="EE423" s="1"/>
      <c r="EF423" s="8" t="s">
        <v>259</v>
      </c>
      <c r="EG423" s="410"/>
      <c r="EI423" s="410"/>
      <c r="EK423" s="1"/>
      <c r="EM423"/>
      <c r="EQ423" s="344"/>
      <c r="EU423" s="344"/>
      <c r="EW423" s="409"/>
      <c r="EY423" s="1"/>
      <c r="FA423">
        <v>235.32</v>
      </c>
      <c r="FB423" t="s">
        <v>225</v>
      </c>
      <c r="FC423" s="7">
        <v>688.81088265268068</v>
      </c>
      <c r="FD423" s="357" t="s">
        <v>225</v>
      </c>
      <c r="FE423" s="8">
        <v>18.612298112679394</v>
      </c>
      <c r="FF423" t="s">
        <v>237</v>
      </c>
      <c r="FH423" s="9">
        <v>597.31029481213727</v>
      </c>
      <c r="FI423" s="9" t="s">
        <v>225</v>
      </c>
      <c r="FJ423">
        <v>264</v>
      </c>
      <c r="FK423" t="s">
        <v>238</v>
      </c>
      <c r="FL423">
        <v>280</v>
      </c>
      <c r="FM423">
        <v>79.396251726985696</v>
      </c>
      <c r="FN423" s="5" t="s">
        <v>237</v>
      </c>
      <c r="FP423" s="6">
        <v>225</v>
      </c>
      <c r="FQ423" t="s">
        <v>382</v>
      </c>
      <c r="FS423" t="s">
        <v>261</v>
      </c>
      <c r="FT423" t="e">
        <f>FQ423=#REF!</f>
        <v>#REF!</v>
      </c>
      <c r="FU423" s="8">
        <v>2</v>
      </c>
      <c r="FV423" s="8">
        <v>10</v>
      </c>
      <c r="FW423" s="8">
        <v>10</v>
      </c>
      <c r="FX423" s="8">
        <v>1</v>
      </c>
      <c r="FY423" s="8">
        <v>3</v>
      </c>
      <c r="FZ423">
        <f t="shared" si="6"/>
        <v>600</v>
      </c>
      <c r="GA423" s="7" t="s">
        <v>241</v>
      </c>
      <c r="GB423" s="7" t="s">
        <v>241</v>
      </c>
      <c r="GC423" s="6">
        <v>30</v>
      </c>
      <c r="GD423" s="348" t="s">
        <v>242</v>
      </c>
      <c r="GF423" s="6">
        <v>3.102049685446566E-2</v>
      </c>
      <c r="GH423" s="7"/>
      <c r="GI423" s="441"/>
      <c r="GJ423" s="441"/>
      <c r="GK423" s="441"/>
      <c r="GL423" s="441"/>
      <c r="GM423" s="454"/>
      <c r="GN423" s="441"/>
      <c r="GO423" s="441"/>
      <c r="GP423" s="441"/>
      <c r="GQ423" s="441"/>
      <c r="GR423" s="441"/>
      <c r="GS423" s="441"/>
      <c r="GT423" s="441"/>
      <c r="GU423" s="441"/>
      <c r="GV423" s="441"/>
      <c r="GW423" s="441"/>
      <c r="GX423" s="441"/>
      <c r="GY423" s="441"/>
      <c r="GZ423" s="441"/>
      <c r="HA423" s="441"/>
      <c r="HB423" s="441"/>
      <c r="HC423" s="441"/>
      <c r="HD423" s="441"/>
      <c r="HE423" s="441"/>
      <c r="HF423" s="441"/>
      <c r="HG423" s="441"/>
      <c r="HH423" s="441"/>
      <c r="HI423" s="441"/>
      <c r="HJ423" s="441"/>
      <c r="HK423" s="441"/>
      <c r="HL423" s="441"/>
      <c r="HM423" s="441"/>
      <c r="HN423" s="441"/>
      <c r="HO423" s="441"/>
      <c r="HP423" s="441"/>
      <c r="HQ423" s="441"/>
      <c r="HR423" s="441"/>
      <c r="HS423" s="441"/>
      <c r="HT423" s="441"/>
      <c r="HU423" s="441"/>
      <c r="HV423" s="441"/>
      <c r="HW423" s="441"/>
      <c r="HX423" s="441"/>
      <c r="HY423" s="441"/>
      <c r="HZ423" s="441"/>
      <c r="IA423" s="441"/>
      <c r="IB423" s="441"/>
      <c r="IC423" s="441"/>
      <c r="ID423" s="441"/>
      <c r="IE423" s="441"/>
      <c r="IF423" s="441"/>
      <c r="IH423" t="s">
        <v>235</v>
      </c>
    </row>
    <row r="424" spans="1:242" x14ac:dyDescent="0.35">
      <c r="A424" s="310" t="s">
        <v>2359</v>
      </c>
      <c r="B424" t="s">
        <v>2360</v>
      </c>
      <c r="C424" s="310" t="s">
        <v>2361</v>
      </c>
      <c r="D424" s="316"/>
      <c r="F424" t="s">
        <v>2362</v>
      </c>
      <c r="I424" s="310" t="s">
        <v>2363</v>
      </c>
      <c r="M424" s="313"/>
      <c r="O424"/>
      <c r="P424" s="381"/>
      <c r="Q424"/>
      <c r="T424" s="8"/>
      <c r="U424"/>
      <c r="V424" s="313"/>
      <c r="W424"/>
      <c r="X424"/>
      <c r="Z424"/>
      <c r="AB424"/>
      <c r="AD424" s="8" t="s">
        <v>230</v>
      </c>
      <c r="AF424" s="8" t="s">
        <v>230</v>
      </c>
      <c r="AG424"/>
      <c r="AH424"/>
      <c r="AI424"/>
      <c r="AJ424" t="s">
        <v>221</v>
      </c>
      <c r="AK424">
        <v>0</v>
      </c>
      <c r="AL424">
        <v>0.72499999999999998</v>
      </c>
      <c r="AM424" t="s">
        <v>221</v>
      </c>
      <c r="AN424" t="s">
        <v>223</v>
      </c>
      <c r="AO424" t="s">
        <v>221</v>
      </c>
      <c r="AP424" t="s">
        <v>223</v>
      </c>
      <c r="AQ424" t="s">
        <v>221</v>
      </c>
      <c r="AR424" t="s">
        <v>236</v>
      </c>
      <c r="AS424" t="s">
        <v>221</v>
      </c>
      <c r="AT424" t="s">
        <v>223</v>
      </c>
      <c r="AU424" t="s">
        <v>220</v>
      </c>
      <c r="AV424"/>
      <c r="AW424" s="313" t="s">
        <v>220</v>
      </c>
      <c r="AX424" t="s">
        <v>226</v>
      </c>
      <c r="AY424" s="313" t="s">
        <v>220</v>
      </c>
      <c r="AZ424" s="313">
        <v>3.78E-2</v>
      </c>
      <c r="BB424" s="313" t="s">
        <v>220</v>
      </c>
      <c r="BC424">
        <v>1.61E-2</v>
      </c>
      <c r="BD424" t="s">
        <v>220</v>
      </c>
      <c r="BE424">
        <v>6.2899999999999996E-3</v>
      </c>
      <c r="BF424" s="2" t="s">
        <v>220</v>
      </c>
      <c r="BG424" s="2" t="s">
        <v>273</v>
      </c>
      <c r="BH424" s="2" t="s">
        <v>274</v>
      </c>
      <c r="BI424" s="2" t="s">
        <v>275</v>
      </c>
      <c r="BM424"/>
      <c r="BP424" s="8"/>
      <c r="BQ424" t="s">
        <v>230</v>
      </c>
      <c r="BR424" t="s">
        <v>230</v>
      </c>
      <c r="BU424" t="s">
        <v>231</v>
      </c>
      <c r="BV424" t="s">
        <v>223</v>
      </c>
      <c r="BW424" t="s">
        <v>232</v>
      </c>
      <c r="BX424" t="s">
        <v>2364</v>
      </c>
      <c r="BY424" t="s">
        <v>220</v>
      </c>
      <c r="BZ424">
        <v>3.9899999999999998E-2</v>
      </c>
      <c r="CA424" t="s">
        <v>234</v>
      </c>
      <c r="CF424" t="s">
        <v>220</v>
      </c>
      <c r="CG424">
        <v>6.11E-3</v>
      </c>
      <c r="CH424" t="s">
        <v>220</v>
      </c>
      <c r="CI424">
        <v>2.1299999999999999E-2</v>
      </c>
      <c r="CK424"/>
      <c r="CL424"/>
      <c r="CM424"/>
      <c r="CS424" s="8"/>
      <c r="CW424" t="s">
        <v>220</v>
      </c>
      <c r="CX424" t="s">
        <v>220</v>
      </c>
      <c r="CY424" t="s">
        <v>231</v>
      </c>
      <c r="CZ424" t="s">
        <v>227</v>
      </c>
      <c r="DA424" t="s">
        <v>227</v>
      </c>
      <c r="DB424" t="s">
        <v>227</v>
      </c>
      <c r="DC424"/>
      <c r="DD424"/>
      <c r="DE424"/>
      <c r="DF424"/>
      <c r="DG424"/>
      <c r="DH424" s="323"/>
      <c r="DI424" s="323"/>
      <c r="DJ424" s="323"/>
      <c r="DL424" t="s">
        <v>220</v>
      </c>
      <c r="DM424" t="s">
        <v>220</v>
      </c>
      <c r="DN424" t="s">
        <v>227</v>
      </c>
      <c r="DO424" t="s">
        <v>257</v>
      </c>
      <c r="DP424" t="s">
        <v>257</v>
      </c>
      <c r="DS424" s="338">
        <v>245.91800000000001</v>
      </c>
      <c r="DT424" s="8" t="s">
        <v>394</v>
      </c>
      <c r="DU424" s="309">
        <v>485.50200000000001</v>
      </c>
      <c r="DW424"/>
      <c r="DX424" t="s">
        <v>235</v>
      </c>
      <c r="DY424">
        <v>5350</v>
      </c>
      <c r="DZ424" t="s">
        <v>238</v>
      </c>
      <c r="EA424"/>
      <c r="EB424"/>
      <c r="ED424" s="410"/>
      <c r="EE424" s="1"/>
      <c r="EG424" s="410"/>
      <c r="EI424" s="410"/>
      <c r="EK424" s="1"/>
      <c r="EM424"/>
      <c r="EQ424" s="344"/>
      <c r="EU424" s="344"/>
      <c r="EW424" s="409"/>
      <c r="EY424" s="1"/>
      <c r="FA424">
        <v>25.31</v>
      </c>
      <c r="FB424" t="s">
        <v>236</v>
      </c>
      <c r="FC424" s="7">
        <v>606.73632958850567</v>
      </c>
      <c r="FD424" s="357" t="s">
        <v>225</v>
      </c>
      <c r="FE424" s="8">
        <v>31.426788298792285</v>
      </c>
      <c r="FF424" t="s">
        <v>237</v>
      </c>
      <c r="FH424" s="9">
        <v>797.81096335366669</v>
      </c>
      <c r="FI424" s="9" t="s">
        <v>225</v>
      </c>
      <c r="FJ424">
        <v>591</v>
      </c>
      <c r="FK424" t="s">
        <v>238</v>
      </c>
      <c r="FL424">
        <v>127</v>
      </c>
      <c r="FM424">
        <v>165.7295686477207</v>
      </c>
      <c r="FN424" s="5" t="s">
        <v>237</v>
      </c>
      <c r="FP424" s="6">
        <v>8.2864784323860352</v>
      </c>
      <c r="FQ424" t="s">
        <v>277</v>
      </c>
      <c r="FS424" t="s">
        <v>240</v>
      </c>
      <c r="FT424" t="e">
        <f>FQ424=#REF!</f>
        <v>#REF!</v>
      </c>
      <c r="FU424" s="8">
        <v>2</v>
      </c>
      <c r="FV424" s="8">
        <v>10</v>
      </c>
      <c r="FW424" s="8">
        <v>10</v>
      </c>
      <c r="FX424" s="8">
        <v>10</v>
      </c>
      <c r="FY424" s="8">
        <v>3</v>
      </c>
      <c r="FZ424">
        <f t="shared" si="6"/>
        <v>6000</v>
      </c>
      <c r="GA424" s="7" t="s">
        <v>326</v>
      </c>
      <c r="GB424" s="7" t="s">
        <v>326</v>
      </c>
      <c r="GC424" s="6">
        <v>1.5</v>
      </c>
      <c r="GD424" s="348" t="s">
        <v>242</v>
      </c>
      <c r="GF424" s="6">
        <v>4.2333333333333334E-2</v>
      </c>
      <c r="GH424" s="7"/>
      <c r="GI424" s="441">
        <v>0.184</v>
      </c>
      <c r="GJ424" s="441">
        <v>0.34499999999999997</v>
      </c>
      <c r="GK424" s="441">
        <v>0.55200000000000005</v>
      </c>
      <c r="GL424" s="441">
        <v>1.381</v>
      </c>
      <c r="GM424" s="452" t="s">
        <v>262</v>
      </c>
      <c r="GN424" s="6">
        <v>0.01</v>
      </c>
      <c r="GO424" s="6">
        <v>1.8749999999999999E-2</v>
      </c>
      <c r="GP424" s="6">
        <v>0.03</v>
      </c>
      <c r="GQ424" s="6">
        <v>7.4999999999999997E-2</v>
      </c>
      <c r="GR424" s="6" t="s">
        <v>230</v>
      </c>
      <c r="GU424" t="s">
        <v>365</v>
      </c>
      <c r="GV424" t="s">
        <v>236</v>
      </c>
      <c r="GW424" t="s">
        <v>244</v>
      </c>
      <c r="GX424" t="s">
        <v>236</v>
      </c>
      <c r="GY424" t="s">
        <v>245</v>
      </c>
      <c r="HE424" t="s">
        <v>247</v>
      </c>
      <c r="HF424" t="s">
        <v>223</v>
      </c>
      <c r="HG424" t="s">
        <v>317</v>
      </c>
      <c r="HH424" t="s">
        <v>236</v>
      </c>
      <c r="HI424" t="s">
        <v>247</v>
      </c>
      <c r="HJ424" t="s">
        <v>225</v>
      </c>
      <c r="HK424" t="s">
        <v>248</v>
      </c>
      <c r="HO424" t="s">
        <v>231</v>
      </c>
      <c r="HP424" t="s">
        <v>223</v>
      </c>
      <c r="HQ424" t="s">
        <v>231</v>
      </c>
      <c r="HR424" t="s">
        <v>223</v>
      </c>
      <c r="HU424" t="s">
        <v>231</v>
      </c>
      <c r="HV424" t="s">
        <v>225</v>
      </c>
      <c r="HW424" t="s">
        <v>506</v>
      </c>
      <c r="HX424" t="s">
        <v>236</v>
      </c>
      <c r="IA424" t="s">
        <v>231</v>
      </c>
      <c r="IB424" t="s">
        <v>250</v>
      </c>
      <c r="IC424">
        <v>0.184</v>
      </c>
      <c r="ID424">
        <v>0.34499999999999997</v>
      </c>
      <c r="IE424">
        <v>0.55200000000000005</v>
      </c>
      <c r="IF424">
        <v>1.381</v>
      </c>
      <c r="IH424" t="s">
        <v>267</v>
      </c>
    </row>
    <row r="425" spans="1:242" x14ac:dyDescent="0.35">
      <c r="A425" s="310" t="s">
        <v>2365</v>
      </c>
      <c r="B425" t="s">
        <v>2366</v>
      </c>
      <c r="C425" s="310" t="s">
        <v>2367</v>
      </c>
      <c r="D425" s="316"/>
      <c r="F425" t="s">
        <v>2368</v>
      </c>
      <c r="I425" s="310" t="s">
        <v>2369</v>
      </c>
      <c r="M425" s="313"/>
      <c r="O425"/>
      <c r="P425" s="381"/>
      <c r="Q425"/>
      <c r="T425" s="8"/>
      <c r="U425"/>
      <c r="V425" s="313"/>
      <c r="W425"/>
      <c r="X425"/>
      <c r="Z425"/>
      <c r="AB425"/>
      <c r="AD425" s="8" t="s">
        <v>230</v>
      </c>
      <c r="AF425" s="8" t="s">
        <v>230</v>
      </c>
      <c r="AG425"/>
      <c r="AH425"/>
      <c r="AI425"/>
      <c r="AJ425" t="s">
        <v>221</v>
      </c>
      <c r="AK425">
        <v>0</v>
      </c>
      <c r="AL425">
        <v>0.9</v>
      </c>
      <c r="AM425" t="s">
        <v>221</v>
      </c>
      <c r="AN425" t="s">
        <v>223</v>
      </c>
      <c r="AO425" t="s">
        <v>221</v>
      </c>
      <c r="AP425" t="s">
        <v>223</v>
      </c>
      <c r="AQ425" t="s">
        <v>221</v>
      </c>
      <c r="AR425" t="s">
        <v>223</v>
      </c>
      <c r="AS425" t="s">
        <v>221</v>
      </c>
      <c r="AT425" t="s">
        <v>223</v>
      </c>
      <c r="AU425" t="s">
        <v>220</v>
      </c>
      <c r="AV425"/>
      <c r="AW425" s="313" t="s">
        <v>220</v>
      </c>
      <c r="AX425" t="s">
        <v>226</v>
      </c>
      <c r="AY425" s="313" t="s">
        <v>220</v>
      </c>
      <c r="AZ425" s="313">
        <v>2.1700000000000001E-2</v>
      </c>
      <c r="BB425" s="313" t="s">
        <v>220</v>
      </c>
      <c r="BC425">
        <v>1.49E-2</v>
      </c>
      <c r="BD425" t="s">
        <v>220</v>
      </c>
      <c r="BE425">
        <v>1.17E-2</v>
      </c>
      <c r="BF425" s="2" t="s">
        <v>220</v>
      </c>
      <c r="BG425" s="2" t="s">
        <v>273</v>
      </c>
      <c r="BH425" s="2" t="s">
        <v>274</v>
      </c>
      <c r="BI425" s="2" t="s">
        <v>275</v>
      </c>
      <c r="BM425"/>
      <c r="BP425" s="8"/>
      <c r="BQ425" t="s">
        <v>230</v>
      </c>
      <c r="BR425" t="s">
        <v>230</v>
      </c>
      <c r="BU425" t="s">
        <v>231</v>
      </c>
      <c r="BV425" t="s">
        <v>223</v>
      </c>
      <c r="BW425" t="s">
        <v>232</v>
      </c>
      <c r="BX425" t="s">
        <v>284</v>
      </c>
      <c r="BY425" t="s">
        <v>220</v>
      </c>
      <c r="BZ425">
        <v>0.14000000000000001</v>
      </c>
      <c r="CA425" t="s">
        <v>234</v>
      </c>
      <c r="CF425" t="s">
        <v>220</v>
      </c>
      <c r="CG425">
        <v>3.5999999999999997E-2</v>
      </c>
      <c r="CH425" t="s">
        <v>220</v>
      </c>
      <c r="CI425">
        <v>1.7000000000000001E-2</v>
      </c>
      <c r="CK425"/>
      <c r="CL425"/>
      <c r="CM425"/>
      <c r="CS425" s="8"/>
      <c r="CW425" t="s">
        <v>220</v>
      </c>
      <c r="CX425" t="s">
        <v>220</v>
      </c>
      <c r="CY425" t="s">
        <v>231</v>
      </c>
      <c r="CZ425" t="s">
        <v>220</v>
      </c>
      <c r="DA425" t="s">
        <v>220</v>
      </c>
      <c r="DB425" t="s">
        <v>220</v>
      </c>
      <c r="DC425"/>
      <c r="DD425"/>
      <c r="DE425"/>
      <c r="DF425"/>
      <c r="DG425"/>
      <c r="DH425" s="323"/>
      <c r="DI425" s="323"/>
      <c r="DJ425" s="323"/>
      <c r="DL425" t="s">
        <v>220</v>
      </c>
      <c r="DM425" t="s">
        <v>220</v>
      </c>
      <c r="DN425" t="s">
        <v>257</v>
      </c>
      <c r="DO425" t="s">
        <v>220</v>
      </c>
      <c r="DP425" t="s">
        <v>257</v>
      </c>
      <c r="DS425" s="338">
        <v>1633.0840000000001</v>
      </c>
      <c r="DT425" s="8" t="s">
        <v>394</v>
      </c>
      <c r="DU425" s="309">
        <v>814.14800000000002</v>
      </c>
      <c r="DW425">
        <v>127</v>
      </c>
      <c r="DX425" t="s">
        <v>238</v>
      </c>
      <c r="DY425">
        <v>1290</v>
      </c>
      <c r="DZ425" t="s">
        <v>238</v>
      </c>
      <c r="EA425"/>
      <c r="EB425"/>
      <c r="ED425" s="410"/>
      <c r="EE425" s="1"/>
      <c r="EG425" s="410"/>
      <c r="EI425" s="410"/>
      <c r="EK425" s="1"/>
      <c r="EM425"/>
      <c r="EQ425" s="344"/>
      <c r="EU425" s="344"/>
      <c r="EW425" s="409"/>
      <c r="EY425" s="1"/>
      <c r="FA425">
        <v>321.33</v>
      </c>
      <c r="FB425" t="s">
        <v>225</v>
      </c>
      <c r="FC425" s="7">
        <v>1641.7234439771219</v>
      </c>
      <c r="FD425" s="357" t="s">
        <v>225</v>
      </c>
      <c r="FE425" s="8">
        <v>18.749945080674191</v>
      </c>
      <c r="FF425" t="s">
        <v>237</v>
      </c>
      <c r="FH425" s="9">
        <v>1630.4218992825649</v>
      </c>
      <c r="FI425" s="9" t="s">
        <v>225</v>
      </c>
      <c r="FJ425">
        <v>394</v>
      </c>
      <c r="FK425" t="s">
        <v>238</v>
      </c>
      <c r="FL425">
        <v>324</v>
      </c>
      <c r="FM425">
        <v>156.13490379696506</v>
      </c>
      <c r="FN425" s="5" t="s">
        <v>237</v>
      </c>
      <c r="FP425" s="6">
        <v>32.4</v>
      </c>
      <c r="FQ425" t="s">
        <v>239</v>
      </c>
      <c r="FS425" t="s">
        <v>240</v>
      </c>
      <c r="FT425" t="e">
        <f>FQ425=#REF!</f>
        <v>#REF!</v>
      </c>
      <c r="FU425" s="8">
        <v>1</v>
      </c>
      <c r="FV425" s="8">
        <v>10</v>
      </c>
      <c r="FW425" s="8">
        <v>10</v>
      </c>
      <c r="FX425" s="8">
        <v>10</v>
      </c>
      <c r="FY425" s="8">
        <v>3</v>
      </c>
      <c r="FZ425">
        <f t="shared" si="6"/>
        <v>3000</v>
      </c>
      <c r="GA425" s="7" t="s">
        <v>241</v>
      </c>
      <c r="GB425" s="7" t="s">
        <v>241</v>
      </c>
      <c r="GC425" s="6">
        <v>30</v>
      </c>
      <c r="GD425" s="348" t="s">
        <v>242</v>
      </c>
      <c r="GF425" s="6">
        <v>0.10799999999999998</v>
      </c>
      <c r="GH425" s="7"/>
      <c r="GI425" s="441"/>
      <c r="GJ425" s="441"/>
      <c r="GK425" s="441"/>
      <c r="GL425" s="441"/>
      <c r="GM425" s="454"/>
      <c r="GN425" s="441"/>
      <c r="GO425" s="441"/>
      <c r="GP425" s="441"/>
      <c r="GQ425" s="441"/>
      <c r="GR425" s="441"/>
      <c r="GS425" s="441"/>
      <c r="GT425" s="441"/>
      <c r="GU425" s="441"/>
      <c r="GV425" s="441"/>
      <c r="GW425" s="441"/>
      <c r="GX425" s="441"/>
      <c r="GY425" s="441"/>
      <c r="GZ425" s="441"/>
      <c r="HA425" s="441"/>
      <c r="HB425" s="441"/>
      <c r="HC425" s="441"/>
      <c r="HD425" s="441"/>
      <c r="HE425" s="441"/>
      <c r="HF425" s="441"/>
      <c r="HG425" s="441"/>
      <c r="HH425" s="441"/>
      <c r="HI425" s="441"/>
      <c r="HJ425" s="441"/>
      <c r="HK425" s="441"/>
      <c r="HL425" s="441"/>
      <c r="HM425" s="441"/>
      <c r="HN425" s="441"/>
      <c r="HO425" s="441"/>
      <c r="HP425" s="441"/>
      <c r="HQ425" s="441"/>
      <c r="HR425" s="441"/>
      <c r="HS425" s="441"/>
      <c r="HT425" s="441"/>
      <c r="HU425" s="441"/>
      <c r="HV425" s="441"/>
      <c r="HW425" s="441"/>
      <c r="HX425" s="441"/>
      <c r="HY425" s="441"/>
      <c r="HZ425" s="441"/>
      <c r="IA425" s="441"/>
      <c r="IB425" s="441"/>
      <c r="IC425" s="441"/>
      <c r="ID425" s="441"/>
      <c r="IE425" s="441"/>
      <c r="IF425" s="441"/>
      <c r="IH425" t="s">
        <v>235</v>
      </c>
    </row>
    <row r="426" spans="1:242" hidden="1" x14ac:dyDescent="0.35">
      <c r="A426" s="310" t="s">
        <v>2370</v>
      </c>
      <c r="B426" t="s">
        <v>2371</v>
      </c>
      <c r="C426" s="310" t="s">
        <v>2372</v>
      </c>
      <c r="D426" s="316"/>
      <c r="F426" t="s">
        <v>2373</v>
      </c>
      <c r="I426" s="310" t="s">
        <v>2374</v>
      </c>
      <c r="M426" s="313"/>
      <c r="O426"/>
      <c r="P426" s="381"/>
      <c r="Q426"/>
      <c r="T426" s="8"/>
      <c r="U426"/>
      <c r="V426" s="313"/>
      <c r="W426" t="s">
        <v>301</v>
      </c>
      <c r="X426"/>
      <c r="Z426"/>
      <c r="AB426"/>
      <c r="AD426" s="8" t="s">
        <v>230</v>
      </c>
      <c r="AF426" s="8" t="s">
        <v>230</v>
      </c>
      <c r="AG426"/>
      <c r="AH426"/>
      <c r="AI426"/>
      <c r="AJ426" t="s">
        <v>414</v>
      </c>
      <c r="AK426">
        <v>0.3</v>
      </c>
      <c r="AL426">
        <v>0.2</v>
      </c>
      <c r="AM426" t="s">
        <v>221</v>
      </c>
      <c r="AN426" t="s">
        <v>225</v>
      </c>
      <c r="AO426" t="s">
        <v>414</v>
      </c>
      <c r="AP426" t="s">
        <v>225</v>
      </c>
      <c r="AQ426" t="s">
        <v>221</v>
      </c>
      <c r="AR426" t="s">
        <v>236</v>
      </c>
      <c r="AS426" t="s">
        <v>414</v>
      </c>
      <c r="AT426" t="s">
        <v>225</v>
      </c>
      <c r="AU426" t="s">
        <v>220</v>
      </c>
      <c r="AV426"/>
      <c r="AW426" s="313" t="s">
        <v>220</v>
      </c>
      <c r="AX426" t="s">
        <v>226</v>
      </c>
      <c r="AY426" s="313" t="s">
        <v>220</v>
      </c>
      <c r="AZ426" s="313">
        <v>7.3400000000000002E-3</v>
      </c>
      <c r="BB426" s="313" t="s">
        <v>227</v>
      </c>
      <c r="BC426">
        <v>3.0400000000000002E-3</v>
      </c>
      <c r="BD426" t="s">
        <v>227</v>
      </c>
      <c r="BE426">
        <v>0</v>
      </c>
      <c r="BF426" s="2" t="s">
        <v>257</v>
      </c>
      <c r="BG426" s="2" t="s">
        <v>230</v>
      </c>
      <c r="BH426" s="2" t="s">
        <v>274</v>
      </c>
      <c r="BI426" s="2" t="s">
        <v>275</v>
      </c>
      <c r="BM426"/>
      <c r="BP426" s="8"/>
      <c r="BQ426" t="s">
        <v>230</v>
      </c>
      <c r="BR426" t="s">
        <v>230</v>
      </c>
      <c r="BU426" t="s">
        <v>317</v>
      </c>
      <c r="BV426" t="s">
        <v>225</v>
      </c>
      <c r="BW426" t="s">
        <v>232</v>
      </c>
      <c r="BX426" t="s">
        <v>500</v>
      </c>
      <c r="BY426" t="s">
        <v>227</v>
      </c>
      <c r="BZ426">
        <v>1.4500000000000001E-2</v>
      </c>
      <c r="CA426" t="s">
        <v>372</v>
      </c>
      <c r="CF426" t="s">
        <v>227</v>
      </c>
      <c r="CG426">
        <v>1.74E-3</v>
      </c>
      <c r="CH426" t="s">
        <v>227</v>
      </c>
      <c r="CI426">
        <v>1.6100000000000001E-3</v>
      </c>
      <c r="CK426"/>
      <c r="CL426"/>
      <c r="CM426"/>
      <c r="CS426" s="8"/>
      <c r="CW426" t="s">
        <v>227</v>
      </c>
      <c r="CX426" t="s">
        <v>227</v>
      </c>
      <c r="CY426" t="s">
        <v>231</v>
      </c>
      <c r="CZ426" t="s">
        <v>227</v>
      </c>
      <c r="DA426" t="s">
        <v>227</v>
      </c>
      <c r="DB426" t="s">
        <v>227</v>
      </c>
      <c r="DC426"/>
      <c r="DD426"/>
      <c r="DE426"/>
      <c r="DF426"/>
      <c r="DG426"/>
      <c r="DH426" s="323"/>
      <c r="DI426" s="323"/>
      <c r="DJ426" s="323"/>
      <c r="DL426" t="s">
        <v>227</v>
      </c>
      <c r="DM426" t="s">
        <v>227</v>
      </c>
      <c r="DN426" t="s">
        <v>227</v>
      </c>
      <c r="DO426" t="s">
        <v>227</v>
      </c>
      <c r="DP426" t="s">
        <v>227</v>
      </c>
      <c r="DS426" s="338">
        <v>428.94600000000003</v>
      </c>
      <c r="DT426" s="8" t="s">
        <v>394</v>
      </c>
      <c r="DU426" s="338">
        <v>778.16499999999996</v>
      </c>
      <c r="DV426" s="8" t="s">
        <v>394</v>
      </c>
      <c r="DW426"/>
      <c r="DX426" t="s">
        <v>235</v>
      </c>
      <c r="DY426"/>
      <c r="DZ426" t="s">
        <v>235</v>
      </c>
      <c r="EA426"/>
      <c r="EB426"/>
      <c r="ED426" s="410"/>
      <c r="EE426" s="1"/>
      <c r="EG426" s="410"/>
      <c r="EI426" s="410"/>
      <c r="EK426" s="1"/>
      <c r="EM426"/>
      <c r="EQ426" s="344"/>
      <c r="EU426" s="344"/>
      <c r="EW426" s="409"/>
      <c r="EY426" s="1"/>
      <c r="FA426">
        <v>27.17</v>
      </c>
      <c r="FB426" t="s">
        <v>236</v>
      </c>
      <c r="FC426" s="7">
        <v>8523.1474150836966</v>
      </c>
      <c r="FD426" s="357" t="s">
        <v>236</v>
      </c>
      <c r="FE426" s="8">
        <v>5.0373253278550179</v>
      </c>
      <c r="FF426" t="s">
        <v>237</v>
      </c>
      <c r="FH426" s="9">
        <v>497.96635416448589</v>
      </c>
      <c r="FI426" s="9" t="s">
        <v>236</v>
      </c>
      <c r="FJ426">
        <v>5300</v>
      </c>
      <c r="FK426" t="s">
        <v>238</v>
      </c>
      <c r="FL426">
        <v>29.3</v>
      </c>
      <c r="FM426">
        <v>101.18124058555891</v>
      </c>
      <c r="FN426" s="419" t="s">
        <v>237</v>
      </c>
      <c r="FV426" s="8"/>
      <c r="FW426" s="8"/>
      <c r="FX426" s="8"/>
      <c r="GC426" s="7">
        <v>2.5000000000000001E-3</v>
      </c>
      <c r="GH426" s="7"/>
      <c r="GI426" s="441" t="s">
        <v>395</v>
      </c>
      <c r="GJ426" s="441" t="s">
        <v>395</v>
      </c>
      <c r="GK426" s="441" t="s">
        <v>395</v>
      </c>
      <c r="GL426" s="441" t="s">
        <v>395</v>
      </c>
      <c r="GM426" s="452" t="s">
        <v>230</v>
      </c>
      <c r="GN426" s="6" t="s">
        <v>395</v>
      </c>
      <c r="GO426" s="6" t="s">
        <v>395</v>
      </c>
      <c r="GP426" s="6" t="s">
        <v>395</v>
      </c>
      <c r="GQ426" s="6" t="s">
        <v>395</v>
      </c>
      <c r="GR426" s="6" t="s">
        <v>230</v>
      </c>
      <c r="GU426" t="s">
        <v>365</v>
      </c>
      <c r="GV426" t="s">
        <v>236</v>
      </c>
      <c r="GW426" t="s">
        <v>244</v>
      </c>
      <c r="GX426" t="s">
        <v>236</v>
      </c>
      <c r="GY426" t="s">
        <v>245</v>
      </c>
      <c r="HE426" t="s">
        <v>247</v>
      </c>
      <c r="HF426" t="s">
        <v>225</v>
      </c>
      <c r="HG426" t="s">
        <v>231</v>
      </c>
      <c r="HH426" t="s">
        <v>236</v>
      </c>
      <c r="HI426" t="s">
        <v>1435</v>
      </c>
      <c r="HJ426" t="s">
        <v>236</v>
      </c>
      <c r="HK426" t="s">
        <v>568</v>
      </c>
      <c r="HO426" t="s">
        <v>231</v>
      </c>
      <c r="HP426" t="s">
        <v>223</v>
      </c>
      <c r="HQ426" t="s">
        <v>231</v>
      </c>
      <c r="HR426" t="s">
        <v>223</v>
      </c>
      <c r="HU426" t="s">
        <v>231</v>
      </c>
      <c r="HV426" t="s">
        <v>223</v>
      </c>
      <c r="HW426" t="s">
        <v>563</v>
      </c>
      <c r="HX426" t="s">
        <v>236</v>
      </c>
      <c r="IA426" t="s">
        <v>231</v>
      </c>
      <c r="IB426" t="s">
        <v>250</v>
      </c>
      <c r="IC426" t="s">
        <v>395</v>
      </c>
      <c r="ID426" t="s">
        <v>395</v>
      </c>
      <c r="IE426" t="s">
        <v>395</v>
      </c>
      <c r="IF426" t="s">
        <v>395</v>
      </c>
      <c r="IH426" t="s">
        <v>235</v>
      </c>
    </row>
    <row r="427" spans="1:242" x14ac:dyDescent="0.35">
      <c r="A427" s="310" t="s">
        <v>2375</v>
      </c>
      <c r="B427" t="s">
        <v>2376</v>
      </c>
      <c r="C427" s="310" t="s">
        <v>2377</v>
      </c>
      <c r="D427" s="316"/>
      <c r="F427" t="s">
        <v>2378</v>
      </c>
      <c r="I427" s="310" t="s">
        <v>2379</v>
      </c>
      <c r="M427" s="317" t="s">
        <v>2380</v>
      </c>
      <c r="O427" t="s">
        <v>221</v>
      </c>
      <c r="P427" s="385"/>
      <c r="Q427" t="s">
        <v>221</v>
      </c>
      <c r="T427" s="317"/>
      <c r="U427" t="s">
        <v>221</v>
      </c>
      <c r="V427" s="313"/>
      <c r="W427"/>
      <c r="X427"/>
      <c r="Z427"/>
      <c r="AB427"/>
      <c r="AD427" s="8" t="s">
        <v>230</v>
      </c>
      <c r="AF427" s="8" t="s">
        <v>230</v>
      </c>
      <c r="AG427"/>
      <c r="AH427"/>
      <c r="AI427"/>
      <c r="AJ427" t="s">
        <v>221</v>
      </c>
      <c r="AK427">
        <v>0</v>
      </c>
      <c r="AL427">
        <v>1</v>
      </c>
      <c r="AM427" t="s">
        <v>221</v>
      </c>
      <c r="AN427" t="s">
        <v>249</v>
      </c>
      <c r="AO427" t="s">
        <v>221</v>
      </c>
      <c r="AP427"/>
      <c r="AQ427" t="s">
        <v>221</v>
      </c>
      <c r="AR427" t="s">
        <v>223</v>
      </c>
      <c r="AS427" t="s">
        <v>221</v>
      </c>
      <c r="AT427"/>
      <c r="AU427" t="s">
        <v>220</v>
      </c>
      <c r="AV427"/>
      <c r="AW427" s="313" t="s">
        <v>220</v>
      </c>
      <c r="AX427" t="s">
        <v>226</v>
      </c>
      <c r="AY427" s="313" t="s">
        <v>220</v>
      </c>
      <c r="AZ427" s="313">
        <v>2.3900000000000001E-2</v>
      </c>
      <c r="BB427" s="313" t="s">
        <v>220</v>
      </c>
      <c r="BC427">
        <v>1.89E-2</v>
      </c>
      <c r="BD427" t="s">
        <v>220</v>
      </c>
      <c r="BE427">
        <v>1.0699999999999999E-2</v>
      </c>
      <c r="BF427" s="2" t="s">
        <v>220</v>
      </c>
      <c r="BH427" s="2" t="s">
        <v>228</v>
      </c>
      <c r="BI427" s="2" t="s">
        <v>2353</v>
      </c>
      <c r="BM427"/>
      <c r="BP427" s="8"/>
      <c r="BQ427" t="s">
        <v>230</v>
      </c>
      <c r="BR427" t="s">
        <v>230</v>
      </c>
      <c r="BU427" t="s">
        <v>231</v>
      </c>
      <c r="BV427" t="s">
        <v>225</v>
      </c>
      <c r="BW427" t="s">
        <v>232</v>
      </c>
      <c r="BX427" t="s">
        <v>284</v>
      </c>
      <c r="BY427" t="s">
        <v>220</v>
      </c>
      <c r="BZ427">
        <v>0.16500000000000001</v>
      </c>
      <c r="CA427" t="s">
        <v>234</v>
      </c>
      <c r="CC427" t="s">
        <v>220</v>
      </c>
      <c r="CD427" t="s">
        <v>220</v>
      </c>
      <c r="CF427" t="s">
        <v>220</v>
      </c>
      <c r="CG427">
        <v>4.6199999999999998E-2</v>
      </c>
      <c r="CH427" t="s">
        <v>220</v>
      </c>
      <c r="CI427">
        <v>7.1500000000000001E-3</v>
      </c>
      <c r="CK427"/>
      <c r="CL427"/>
      <c r="CM427"/>
      <c r="CS427" s="8"/>
      <c r="CW427" t="s">
        <v>220</v>
      </c>
      <c r="CX427" t="s">
        <v>220</v>
      </c>
      <c r="CY427" t="s">
        <v>231</v>
      </c>
      <c r="CZ427" t="s">
        <v>220</v>
      </c>
      <c r="DA427" t="s">
        <v>220</v>
      </c>
      <c r="DB427" t="s">
        <v>220</v>
      </c>
      <c r="DC427"/>
      <c r="DD427"/>
      <c r="DE427"/>
      <c r="DF427"/>
      <c r="DG427"/>
      <c r="DH427" s="323"/>
      <c r="DI427" s="323"/>
      <c r="DJ427" s="323"/>
      <c r="DL427" t="s">
        <v>257</v>
      </c>
      <c r="DM427" t="s">
        <v>220</v>
      </c>
      <c r="DN427" t="s">
        <v>257</v>
      </c>
      <c r="DO427" t="s">
        <v>257</v>
      </c>
      <c r="DP427" t="s">
        <v>257</v>
      </c>
      <c r="DS427" s="309">
        <v>411.214</v>
      </c>
      <c r="DU427" s="309">
        <v>761.80499999999995</v>
      </c>
      <c r="DW427">
        <v>1610</v>
      </c>
      <c r="DX427" t="s">
        <v>238</v>
      </c>
      <c r="DY427">
        <v>7460</v>
      </c>
      <c r="DZ427" t="s">
        <v>238</v>
      </c>
      <c r="EA427"/>
      <c r="EB427"/>
      <c r="ED427" s="410"/>
      <c r="EE427" s="1"/>
      <c r="EG427" s="410"/>
      <c r="EI427" s="410"/>
      <c r="EK427" s="1"/>
      <c r="EM427"/>
      <c r="EQ427" s="344"/>
      <c r="EU427" s="344"/>
      <c r="EW427" s="409"/>
      <c r="EY427" s="1"/>
      <c r="FA427">
        <v>235.32</v>
      </c>
      <c r="FB427" t="s">
        <v>225</v>
      </c>
      <c r="FC427" s="7">
        <v>724.26917173369543</v>
      </c>
      <c r="FD427" s="357" t="s">
        <v>225</v>
      </c>
      <c r="FE427" s="8">
        <v>12.770267659777518</v>
      </c>
      <c r="FF427" t="s">
        <v>237</v>
      </c>
      <c r="FH427" s="9">
        <v>493.28737449465007</v>
      </c>
      <c r="FI427" s="9" t="s">
        <v>225</v>
      </c>
      <c r="FJ427">
        <v>216</v>
      </c>
      <c r="FK427" t="s">
        <v>238</v>
      </c>
      <c r="FL427">
        <v>349</v>
      </c>
      <c r="FM427">
        <v>38.61890894489899</v>
      </c>
      <c r="FN427" s="5" t="s">
        <v>237</v>
      </c>
      <c r="FP427" s="6">
        <v>1.9309454472449494</v>
      </c>
      <c r="FQ427" t="s">
        <v>277</v>
      </c>
      <c r="FS427" t="s">
        <v>240</v>
      </c>
      <c r="FT427" t="e">
        <f>FQ427=#REF!</f>
        <v>#REF!</v>
      </c>
      <c r="FU427" s="8">
        <v>2</v>
      </c>
      <c r="FV427" s="8">
        <v>10</v>
      </c>
      <c r="FW427" s="8">
        <v>10</v>
      </c>
      <c r="FX427" s="8">
        <v>10</v>
      </c>
      <c r="FY427" s="8">
        <v>3</v>
      </c>
      <c r="FZ427">
        <f t="shared" si="6"/>
        <v>6000</v>
      </c>
      <c r="GA427" s="7" t="s">
        <v>241</v>
      </c>
      <c r="GB427" s="7" t="s">
        <v>241</v>
      </c>
      <c r="GC427" s="6">
        <v>30</v>
      </c>
      <c r="GD427" s="348" t="s">
        <v>242</v>
      </c>
      <c r="GF427" s="6">
        <v>2.128377943296253E-2</v>
      </c>
      <c r="GH427" s="7"/>
      <c r="GI427" s="441"/>
      <c r="GJ427" s="441"/>
      <c r="GK427" s="441"/>
      <c r="GL427" s="441"/>
      <c r="GM427" s="454"/>
      <c r="GN427" s="441"/>
      <c r="GO427" s="441"/>
      <c r="GP427" s="441"/>
      <c r="GQ427" s="441"/>
      <c r="GR427" s="441"/>
      <c r="GS427" s="441"/>
      <c r="GT427" s="441"/>
      <c r="GU427" s="441"/>
      <c r="GV427" s="441"/>
      <c r="GW427" s="441"/>
      <c r="GX427" s="441"/>
      <c r="GY427" s="441"/>
      <c r="GZ427" s="441"/>
      <c r="HA427" s="441"/>
      <c r="HB427" s="441"/>
      <c r="HC427" s="441"/>
      <c r="HD427" s="441"/>
      <c r="HE427" s="441"/>
      <c r="HF427" s="441"/>
      <c r="HG427" s="441"/>
      <c r="HH427" s="441"/>
      <c r="HI427" s="441"/>
      <c r="HJ427" s="441"/>
      <c r="HK427" s="441"/>
      <c r="HL427" s="441"/>
      <c r="HM427" s="441"/>
      <c r="HN427" s="441"/>
      <c r="HO427" s="441"/>
      <c r="HP427" s="441"/>
      <c r="HQ427" s="441"/>
      <c r="HR427" s="441"/>
      <c r="HS427" s="441"/>
      <c r="HT427" s="441"/>
      <c r="HU427" s="441"/>
      <c r="HV427" s="441"/>
      <c r="HW427" s="441"/>
      <c r="HX427" s="441"/>
      <c r="HY427" s="441"/>
      <c r="HZ427" s="441"/>
      <c r="IA427" s="441"/>
      <c r="IB427" s="441"/>
      <c r="IC427" s="441"/>
      <c r="ID427" s="441"/>
      <c r="IE427" s="441"/>
      <c r="IF427" s="441"/>
      <c r="IH427" t="s">
        <v>235</v>
      </c>
    </row>
    <row r="428" spans="1:242" x14ac:dyDescent="0.35">
      <c r="A428" s="310" t="s">
        <v>2381</v>
      </c>
      <c r="B428" t="s">
        <v>2382</v>
      </c>
      <c r="C428" s="310" t="s">
        <v>2383</v>
      </c>
      <c r="D428" s="316"/>
      <c r="F428" t="s">
        <v>2384</v>
      </c>
      <c r="I428" s="310" t="s">
        <v>2385</v>
      </c>
      <c r="M428" s="317" t="s">
        <v>352</v>
      </c>
      <c r="O428"/>
      <c r="P428" s="385"/>
      <c r="Q428"/>
      <c r="T428" s="317"/>
      <c r="U428"/>
      <c r="V428" s="313"/>
      <c r="W428" t="s">
        <v>301</v>
      </c>
      <c r="X428"/>
      <c r="Z428"/>
      <c r="AB428"/>
      <c r="AD428" s="8" t="s">
        <v>230</v>
      </c>
      <c r="AF428" s="8" t="s">
        <v>230</v>
      </c>
      <c r="AG428"/>
      <c r="AH428"/>
      <c r="AI428"/>
      <c r="AJ428" t="s">
        <v>221</v>
      </c>
      <c r="AK428">
        <v>0</v>
      </c>
      <c r="AL428">
        <v>0.82499999999999996</v>
      </c>
      <c r="AM428" t="s">
        <v>221</v>
      </c>
      <c r="AN428" t="s">
        <v>223</v>
      </c>
      <c r="AO428" t="s">
        <v>221</v>
      </c>
      <c r="AP428" t="s">
        <v>223</v>
      </c>
      <c r="AQ428" t="s">
        <v>221</v>
      </c>
      <c r="AR428" t="s">
        <v>223</v>
      </c>
      <c r="AS428" t="s">
        <v>221</v>
      </c>
      <c r="AT428" t="s">
        <v>225</v>
      </c>
      <c r="AU428" t="s">
        <v>220</v>
      </c>
      <c r="AV428"/>
      <c r="AW428" s="313" t="s">
        <v>220</v>
      </c>
      <c r="AX428" t="s">
        <v>226</v>
      </c>
      <c r="AY428" s="313" t="s">
        <v>220</v>
      </c>
      <c r="AZ428" s="313">
        <v>5.0999999999999997E-2</v>
      </c>
      <c r="BB428" s="313" t="s">
        <v>220</v>
      </c>
      <c r="BC428">
        <v>2.0400000000000001E-2</v>
      </c>
      <c r="BD428" t="s">
        <v>220</v>
      </c>
      <c r="BE428">
        <v>3.4000000000000002E-2</v>
      </c>
      <c r="BF428" s="2" t="s">
        <v>220</v>
      </c>
      <c r="BG428" s="2" t="s">
        <v>273</v>
      </c>
      <c r="BH428" s="2" t="s">
        <v>274</v>
      </c>
      <c r="BI428" s="2" t="s">
        <v>275</v>
      </c>
      <c r="BM428"/>
      <c r="BP428" s="8"/>
      <c r="BQ428" t="s">
        <v>230</v>
      </c>
      <c r="BR428" t="s">
        <v>230</v>
      </c>
      <c r="BU428" t="s">
        <v>231</v>
      </c>
      <c r="BV428" t="s">
        <v>223</v>
      </c>
      <c r="BW428" t="s">
        <v>232</v>
      </c>
      <c r="BX428" t="s">
        <v>284</v>
      </c>
      <c r="BY428" t="s">
        <v>220</v>
      </c>
      <c r="BZ428">
        <v>0.24399999999999999</v>
      </c>
      <c r="CA428" t="s">
        <v>234</v>
      </c>
      <c r="CF428" t="s">
        <v>220</v>
      </c>
      <c r="CG428">
        <v>2.5899999999999999E-2</v>
      </c>
      <c r="CH428" t="s">
        <v>220</v>
      </c>
      <c r="CI428">
        <v>2.2200000000000001E-2</v>
      </c>
      <c r="CK428"/>
      <c r="CL428"/>
      <c r="CM428"/>
      <c r="CS428" s="8"/>
      <c r="CW428" t="s">
        <v>220</v>
      </c>
      <c r="CX428" t="s">
        <v>220</v>
      </c>
      <c r="CY428" t="s">
        <v>231</v>
      </c>
      <c r="CZ428" t="s">
        <v>220</v>
      </c>
      <c r="DA428" t="s">
        <v>220</v>
      </c>
      <c r="DB428" t="s">
        <v>227</v>
      </c>
      <c r="DC428"/>
      <c r="DD428"/>
      <c r="DE428"/>
      <c r="DF428"/>
      <c r="DG428"/>
      <c r="DH428" s="323"/>
      <c r="DI428" s="323"/>
      <c r="DJ428" s="323"/>
      <c r="DL428" t="s">
        <v>257</v>
      </c>
      <c r="DM428" t="s">
        <v>220</v>
      </c>
      <c r="DN428" t="s">
        <v>257</v>
      </c>
      <c r="DO428" t="s">
        <v>257</v>
      </c>
      <c r="DP428" t="s">
        <v>257</v>
      </c>
      <c r="DS428" s="309">
        <v>345.07900000000001</v>
      </c>
      <c r="DU428" s="309">
        <v>532.55999999999995</v>
      </c>
      <c r="DW428">
        <v>223</v>
      </c>
      <c r="DX428" t="s">
        <v>238</v>
      </c>
      <c r="DY428">
        <v>1500</v>
      </c>
      <c r="DZ428" t="s">
        <v>238</v>
      </c>
      <c r="EA428"/>
      <c r="EB428"/>
      <c r="ED428" s="410"/>
      <c r="EE428" s="1"/>
      <c r="EG428" s="410"/>
      <c r="EI428" s="410"/>
      <c r="EK428" s="1"/>
      <c r="EM428"/>
      <c r="EQ428" s="344"/>
      <c r="EU428" s="344"/>
      <c r="EW428" s="409"/>
      <c r="EY428" s="1"/>
      <c r="FA428">
        <v>119.22</v>
      </c>
      <c r="FB428" t="s">
        <v>225</v>
      </c>
      <c r="FC428" s="7">
        <v>465.47890070461693</v>
      </c>
      <c r="FD428" s="357" t="s">
        <v>236</v>
      </c>
      <c r="FE428" s="8">
        <v>23.762930619276247</v>
      </c>
      <c r="FF428" t="s">
        <v>237</v>
      </c>
      <c r="FH428" s="9">
        <v>333.73365130514878</v>
      </c>
      <c r="FI428" s="9" t="s">
        <v>225</v>
      </c>
      <c r="FJ428">
        <v>187</v>
      </c>
      <c r="FK428" t="s">
        <v>238</v>
      </c>
      <c r="FL428">
        <v>167</v>
      </c>
      <c r="FM428">
        <v>95.213822302140372</v>
      </c>
      <c r="FN428" s="5" t="s">
        <v>237</v>
      </c>
      <c r="FP428" s="6">
        <v>4.7606911151070186</v>
      </c>
      <c r="FQ428" t="s">
        <v>277</v>
      </c>
      <c r="FS428" t="s">
        <v>240</v>
      </c>
      <c r="FT428" t="e">
        <f>FQ428=#REF!</f>
        <v>#REF!</v>
      </c>
      <c r="FU428" s="8">
        <v>2</v>
      </c>
      <c r="FV428" s="8">
        <v>10</v>
      </c>
      <c r="FW428" s="8">
        <v>10</v>
      </c>
      <c r="FX428" s="8">
        <v>10</v>
      </c>
      <c r="FY428" s="8">
        <v>3</v>
      </c>
      <c r="FZ428">
        <f t="shared" si="6"/>
        <v>6000</v>
      </c>
      <c r="GA428" s="7" t="s">
        <v>241</v>
      </c>
      <c r="GB428" s="7" t="s">
        <v>241</v>
      </c>
      <c r="GC428" s="6">
        <v>30</v>
      </c>
      <c r="GD428" s="348" t="s">
        <v>242</v>
      </c>
      <c r="GF428" s="6">
        <v>3.9604884365460412E-2</v>
      </c>
      <c r="GH428" s="7"/>
      <c r="GI428" s="445"/>
      <c r="GJ428" s="445"/>
      <c r="GK428" s="445"/>
      <c r="GL428" s="445"/>
      <c r="GM428" s="453"/>
      <c r="GN428" s="6">
        <v>0.2</v>
      </c>
      <c r="GO428" s="6">
        <v>0.375</v>
      </c>
      <c r="GP428" s="6">
        <v>0.6</v>
      </c>
      <c r="GQ428" s="6">
        <v>1.5</v>
      </c>
      <c r="GR428" s="6" t="s">
        <v>230</v>
      </c>
      <c r="GU428" t="s">
        <v>243</v>
      </c>
      <c r="GV428" t="s">
        <v>223</v>
      </c>
      <c r="GW428" t="s">
        <v>244</v>
      </c>
      <c r="GX428" t="s">
        <v>236</v>
      </c>
      <c r="GY428" t="s">
        <v>245</v>
      </c>
      <c r="HE428" t="s">
        <v>247</v>
      </c>
      <c r="HF428" t="s">
        <v>223</v>
      </c>
      <c r="HG428" t="s">
        <v>317</v>
      </c>
      <c r="HH428" t="s">
        <v>225</v>
      </c>
      <c r="HI428" t="s">
        <v>247</v>
      </c>
      <c r="HJ428" t="s">
        <v>223</v>
      </c>
      <c r="HK428" t="s">
        <v>266</v>
      </c>
      <c r="HL428" t="s">
        <v>231</v>
      </c>
      <c r="HM428" t="s">
        <v>231</v>
      </c>
      <c r="HO428" t="s">
        <v>231</v>
      </c>
      <c r="HP428" t="s">
        <v>249</v>
      </c>
      <c r="HQ428" t="s">
        <v>231</v>
      </c>
      <c r="HR428" t="s">
        <v>249</v>
      </c>
      <c r="HU428" t="s">
        <v>231</v>
      </c>
      <c r="HV428" t="s">
        <v>223</v>
      </c>
      <c r="HW428" t="s">
        <v>563</v>
      </c>
      <c r="HX428" t="s">
        <v>223</v>
      </c>
      <c r="IA428" t="s">
        <v>231</v>
      </c>
      <c r="IB428" t="s">
        <v>250</v>
      </c>
      <c r="IC428" s="447"/>
      <c r="ID428" s="447"/>
      <c r="IE428" s="447"/>
      <c r="IF428" s="447"/>
      <c r="IH428" t="s">
        <v>235</v>
      </c>
    </row>
    <row r="429" spans="1:242" ht="15" thickBot="1" x14ac:dyDescent="0.4">
      <c r="A429" s="310" t="s">
        <v>2386</v>
      </c>
      <c r="B429" t="s">
        <v>2387</v>
      </c>
      <c r="C429" s="310" t="s">
        <v>2388</v>
      </c>
      <c r="D429" s="316"/>
      <c r="F429" t="s">
        <v>2389</v>
      </c>
      <c r="I429" s="310" t="s">
        <v>2390</v>
      </c>
      <c r="M429" s="313"/>
      <c r="O429"/>
      <c r="P429" s="386"/>
      <c r="Q429"/>
      <c r="T429" s="389"/>
      <c r="U429"/>
      <c r="V429" s="313"/>
      <c r="W429"/>
      <c r="X429"/>
      <c r="Z429"/>
      <c r="AB429"/>
      <c r="AD429" s="8" t="s">
        <v>230</v>
      </c>
      <c r="AF429" s="8" t="s">
        <v>230</v>
      </c>
      <c r="AG429"/>
      <c r="AH429"/>
      <c r="AI429"/>
      <c r="AJ429" t="s">
        <v>221</v>
      </c>
      <c r="AK429">
        <v>0</v>
      </c>
      <c r="AL429">
        <v>0.6</v>
      </c>
      <c r="AM429" t="s">
        <v>221</v>
      </c>
      <c r="AN429" s="341" t="s">
        <v>225</v>
      </c>
      <c r="AO429" t="s">
        <v>221</v>
      </c>
      <c r="AP429" t="s">
        <v>225</v>
      </c>
      <c r="AQ429" t="s">
        <v>221</v>
      </c>
      <c r="AR429" t="s">
        <v>225</v>
      </c>
      <c r="AS429" t="s">
        <v>221</v>
      </c>
      <c r="AT429" t="s">
        <v>225</v>
      </c>
      <c r="AU429" t="s">
        <v>220</v>
      </c>
      <c r="AV429"/>
      <c r="AW429" s="313" t="s">
        <v>220</v>
      </c>
      <c r="AX429" t="s">
        <v>226</v>
      </c>
      <c r="AY429" s="313" t="s">
        <v>220</v>
      </c>
      <c r="AZ429" s="313">
        <v>3.8699999999999998E-2</v>
      </c>
      <c r="BB429" s="313" t="s">
        <v>220</v>
      </c>
      <c r="BC429">
        <v>1.26E-2</v>
      </c>
      <c r="BD429" t="s">
        <v>220</v>
      </c>
      <c r="BE429">
        <v>5.1799999999999997E-3</v>
      </c>
      <c r="BF429" s="2" t="s">
        <v>220</v>
      </c>
      <c r="BG429" s="2" t="s">
        <v>273</v>
      </c>
      <c r="BH429" s="2" t="s">
        <v>274</v>
      </c>
      <c r="BI429" s="2" t="s">
        <v>275</v>
      </c>
      <c r="BM429"/>
      <c r="BP429" s="8"/>
      <c r="BQ429" t="s">
        <v>230</v>
      </c>
      <c r="BR429" t="s">
        <v>230</v>
      </c>
      <c r="BU429" t="s">
        <v>231</v>
      </c>
      <c r="BV429" t="s">
        <v>225</v>
      </c>
      <c r="BW429" t="s">
        <v>232</v>
      </c>
      <c r="BX429" t="s">
        <v>284</v>
      </c>
      <c r="BY429" t="s">
        <v>257</v>
      </c>
      <c r="BZ429">
        <v>0.51300000000000001</v>
      </c>
      <c r="CA429" t="s">
        <v>234</v>
      </c>
      <c r="CF429" t="s">
        <v>220</v>
      </c>
      <c r="CG429">
        <v>0</v>
      </c>
      <c r="CH429" t="s">
        <v>220</v>
      </c>
      <c r="CI429">
        <v>1.7799999999999999E-3</v>
      </c>
      <c r="CK429"/>
      <c r="CL429"/>
      <c r="CM429"/>
      <c r="CW429" t="s">
        <v>220</v>
      </c>
      <c r="CX429" t="s">
        <v>220</v>
      </c>
      <c r="CY429" t="s">
        <v>231</v>
      </c>
      <c r="CZ429" t="s">
        <v>220</v>
      </c>
      <c r="DA429" t="s">
        <v>220</v>
      </c>
      <c r="DB429" t="s">
        <v>220</v>
      </c>
      <c r="DC429"/>
      <c r="DD429"/>
      <c r="DE429"/>
      <c r="DF429"/>
      <c r="DG429"/>
      <c r="DH429" s="323"/>
      <c r="DI429" s="323"/>
      <c r="DJ429" s="323"/>
      <c r="DL429" t="s">
        <v>220</v>
      </c>
      <c r="DM429" t="s">
        <v>220</v>
      </c>
      <c r="DN429" t="s">
        <v>257</v>
      </c>
      <c r="DO429" t="s">
        <v>220</v>
      </c>
      <c r="DP429" t="s">
        <v>220</v>
      </c>
      <c r="DS429" s="339">
        <v>1195.673</v>
      </c>
      <c r="DT429" s="8" t="s">
        <v>394</v>
      </c>
      <c r="DU429" s="339">
        <v>909.08199999999999</v>
      </c>
      <c r="DV429" s="8" t="s">
        <v>394</v>
      </c>
      <c r="DW429" s="341">
        <v>10.3</v>
      </c>
      <c r="DX429" t="s">
        <v>238</v>
      </c>
      <c r="DY429" s="341">
        <v>1.26</v>
      </c>
      <c r="DZ429" t="s">
        <v>238</v>
      </c>
      <c r="EA429"/>
      <c r="EB429"/>
      <c r="ED429" s="407"/>
      <c r="EE429" s="408"/>
      <c r="EG429" s="407"/>
      <c r="EI429" s="407"/>
      <c r="EK429" s="345"/>
      <c r="EM429"/>
      <c r="EQ429" s="347"/>
      <c r="EU429" s="347"/>
      <c r="EW429" s="406"/>
      <c r="EY429" s="405"/>
      <c r="FA429">
        <v>65.94</v>
      </c>
      <c r="FB429" t="s">
        <v>225</v>
      </c>
      <c r="FC429" s="7">
        <v>628.63708841305015</v>
      </c>
      <c r="FD429" s="358" t="s">
        <v>225</v>
      </c>
      <c r="FE429" s="8">
        <v>2.3801262821949866E-2</v>
      </c>
      <c r="FF429" t="s">
        <v>337</v>
      </c>
      <c r="FH429" s="9">
        <v>39.373135370085059</v>
      </c>
      <c r="FI429" s="9" t="s">
        <v>225</v>
      </c>
      <c r="FK429" t="s">
        <v>235</v>
      </c>
      <c r="FL429">
        <v>9.2799999999999994</v>
      </c>
      <c r="FM429">
        <v>0.55885610555394427</v>
      </c>
      <c r="FN429" s="5" t="s">
        <v>337</v>
      </c>
      <c r="FP429" s="6">
        <v>0.92799999999999994</v>
      </c>
      <c r="FQ429" t="s">
        <v>239</v>
      </c>
      <c r="FS429" t="s">
        <v>240</v>
      </c>
      <c r="FT429" t="e">
        <f>FQ429=#REF!</f>
        <v>#REF!</v>
      </c>
      <c r="FU429" s="8">
        <v>1</v>
      </c>
      <c r="FV429" s="8">
        <v>10</v>
      </c>
      <c r="FW429" s="8">
        <v>10</v>
      </c>
      <c r="FX429" s="8">
        <v>10</v>
      </c>
      <c r="FY429" s="8">
        <v>3</v>
      </c>
      <c r="FZ429">
        <f t="shared" si="6"/>
        <v>3000</v>
      </c>
      <c r="GA429" s="7" t="s">
        <v>326</v>
      </c>
      <c r="GB429" s="7" t="s">
        <v>326</v>
      </c>
      <c r="GC429" s="6">
        <v>1.5</v>
      </c>
      <c r="GD429" s="348" t="s">
        <v>1514</v>
      </c>
      <c r="GF429" s="6">
        <v>3.0933333333333329E-3</v>
      </c>
      <c r="GH429" s="7"/>
      <c r="GI429" s="441" t="s">
        <v>395</v>
      </c>
      <c r="GJ429" s="441" t="s">
        <v>395</v>
      </c>
      <c r="GK429" s="441" t="s">
        <v>395</v>
      </c>
      <c r="GL429" s="441" t="s">
        <v>395</v>
      </c>
      <c r="GM429" s="452" t="s">
        <v>529</v>
      </c>
      <c r="GN429" s="6" t="s">
        <v>395</v>
      </c>
      <c r="GO429" s="6" t="s">
        <v>395</v>
      </c>
      <c r="GP429" s="6" t="s">
        <v>395</v>
      </c>
      <c r="GQ429" s="6" t="s">
        <v>395</v>
      </c>
      <c r="GR429" s="6" t="s">
        <v>396</v>
      </c>
      <c r="GU429" t="s">
        <v>365</v>
      </c>
      <c r="GV429" t="s">
        <v>236</v>
      </c>
      <c r="GW429" t="s">
        <v>244</v>
      </c>
      <c r="GX429" t="s">
        <v>236</v>
      </c>
      <c r="GY429" t="s">
        <v>245</v>
      </c>
      <c r="HE429" t="s">
        <v>384</v>
      </c>
      <c r="HF429" t="s">
        <v>236</v>
      </c>
      <c r="HG429" t="s">
        <v>231</v>
      </c>
      <c r="HH429" t="s">
        <v>223</v>
      </c>
      <c r="HI429" t="s">
        <v>1435</v>
      </c>
      <c r="HJ429" t="s">
        <v>223</v>
      </c>
      <c r="HK429" t="s">
        <v>248</v>
      </c>
      <c r="HO429" t="s">
        <v>231</v>
      </c>
      <c r="HP429" t="s">
        <v>223</v>
      </c>
      <c r="HQ429" t="s">
        <v>231</v>
      </c>
      <c r="HR429" t="s">
        <v>223</v>
      </c>
      <c r="HU429" t="s">
        <v>231</v>
      </c>
      <c r="HV429" t="s">
        <v>236</v>
      </c>
      <c r="HW429" t="s">
        <v>563</v>
      </c>
      <c r="HX429" t="s">
        <v>236</v>
      </c>
      <c r="IA429" t="s">
        <v>231</v>
      </c>
      <c r="IB429" t="s">
        <v>250</v>
      </c>
      <c r="IC429" t="s">
        <v>395</v>
      </c>
      <c r="ID429" t="s">
        <v>395</v>
      </c>
      <c r="IE429" t="s">
        <v>395</v>
      </c>
      <c r="IF429" t="s">
        <v>395</v>
      </c>
      <c r="IH429" t="s">
        <v>235</v>
      </c>
    </row>
    <row r="430" spans="1:242" ht="159.5" x14ac:dyDescent="0.35">
      <c r="A430" s="310" t="s">
        <v>537</v>
      </c>
      <c r="C430" t="s">
        <v>2391</v>
      </c>
      <c r="H430" t="s">
        <v>2392</v>
      </c>
      <c r="I430" s="114" t="s">
        <v>2393</v>
      </c>
      <c r="AG430"/>
      <c r="AH430"/>
      <c r="AI430"/>
      <c r="BF430" s="2" t="s">
        <v>220</v>
      </c>
      <c r="GA430" s="7" t="s">
        <v>241</v>
      </c>
      <c r="GB430" s="7" t="s">
        <v>241</v>
      </c>
      <c r="GH430" s="7"/>
      <c r="GI430" s="441"/>
      <c r="GJ430" s="441"/>
      <c r="GK430" s="441"/>
      <c r="GL430" s="441"/>
      <c r="GM430" s="461" t="s">
        <v>790</v>
      </c>
      <c r="GN430">
        <v>0.2</v>
      </c>
      <c r="GO430">
        <v>0.375</v>
      </c>
      <c r="GP430">
        <v>0.6</v>
      </c>
      <c r="GQ430">
        <v>1.5</v>
      </c>
      <c r="GR430" s="461" t="s">
        <v>790</v>
      </c>
      <c r="IB430" t="s">
        <v>250</v>
      </c>
      <c r="IG430" s="459" t="s">
        <v>451</v>
      </c>
      <c r="IH430" t="s">
        <v>235</v>
      </c>
    </row>
    <row r="431" spans="1:242" ht="159.5" x14ac:dyDescent="0.35">
      <c r="A431" s="310" t="s">
        <v>537</v>
      </c>
      <c r="C431" t="s">
        <v>2394</v>
      </c>
      <c r="H431" t="s">
        <v>2395</v>
      </c>
      <c r="I431" s="114" t="s">
        <v>2396</v>
      </c>
      <c r="BF431" s="2" t="s">
        <v>220</v>
      </c>
      <c r="GA431" s="7" t="s">
        <v>326</v>
      </c>
      <c r="GB431" s="7" t="s">
        <v>326</v>
      </c>
      <c r="GM431" s="461" t="s">
        <v>790</v>
      </c>
      <c r="GN431">
        <v>0.01</v>
      </c>
      <c r="GO431">
        <v>1.8749999999999999E-2</v>
      </c>
      <c r="GP431">
        <v>0.03</v>
      </c>
      <c r="GQ431">
        <v>7.4999999999999997E-2</v>
      </c>
      <c r="GR431" s="461" t="s">
        <v>790</v>
      </c>
      <c r="IG431" s="459" t="s">
        <v>451</v>
      </c>
      <c r="IH431" t="s">
        <v>235</v>
      </c>
    </row>
    <row r="432" spans="1:242" ht="159.5" x14ac:dyDescent="0.35">
      <c r="A432" t="s">
        <v>2397</v>
      </c>
      <c r="C432" t="s">
        <v>2398</v>
      </c>
      <c r="H432" t="s">
        <v>2399</v>
      </c>
      <c r="I432" s="114" t="s">
        <v>2400</v>
      </c>
      <c r="BF432" s="2" t="s">
        <v>220</v>
      </c>
      <c r="GA432" s="7" t="s">
        <v>241</v>
      </c>
      <c r="GB432" s="7" t="s">
        <v>241</v>
      </c>
      <c r="GM432" s="461" t="s">
        <v>790</v>
      </c>
      <c r="GN432">
        <v>0.2</v>
      </c>
      <c r="GO432">
        <v>0.375</v>
      </c>
      <c r="GP432">
        <v>0.6</v>
      </c>
      <c r="GQ432">
        <v>1.5</v>
      </c>
      <c r="GR432" s="461" t="s">
        <v>790</v>
      </c>
      <c r="IG432" s="459" t="s">
        <v>451</v>
      </c>
      <c r="IH432" t="s">
        <v>235</v>
      </c>
    </row>
    <row r="433" spans="1:242" ht="159.5" x14ac:dyDescent="0.35">
      <c r="A433" t="s">
        <v>1248</v>
      </c>
      <c r="C433" t="s">
        <v>2401</v>
      </c>
      <c r="H433" t="s">
        <v>2402</v>
      </c>
      <c r="I433" s="114" t="s">
        <v>2403</v>
      </c>
      <c r="BF433" s="2" t="s">
        <v>220</v>
      </c>
      <c r="GA433" s="7" t="s">
        <v>326</v>
      </c>
      <c r="GB433" s="7" t="s">
        <v>326</v>
      </c>
      <c r="GM433" s="461" t="s">
        <v>790</v>
      </c>
      <c r="GN433">
        <v>0.01</v>
      </c>
      <c r="GO433">
        <v>1.8749999999999999E-2</v>
      </c>
      <c r="GP433">
        <v>0.03</v>
      </c>
      <c r="GQ433">
        <v>7.4999999999999997E-2</v>
      </c>
      <c r="GR433" s="461" t="s">
        <v>790</v>
      </c>
      <c r="IG433" s="459" t="s">
        <v>451</v>
      </c>
      <c r="IH433" t="s">
        <v>235</v>
      </c>
    </row>
    <row r="434" spans="1:242" ht="159.5" x14ac:dyDescent="0.35">
      <c r="A434" s="310" t="s">
        <v>537</v>
      </c>
      <c r="C434" t="s">
        <v>2404</v>
      </c>
      <c r="H434" t="s">
        <v>2405</v>
      </c>
      <c r="I434" s="114" t="s">
        <v>2406</v>
      </c>
      <c r="BF434" s="2" t="s">
        <v>220</v>
      </c>
      <c r="GA434" s="7" t="s">
        <v>326</v>
      </c>
      <c r="GB434" s="7" t="s">
        <v>326</v>
      </c>
      <c r="GM434" s="461" t="s">
        <v>790</v>
      </c>
      <c r="GN434">
        <v>0.01</v>
      </c>
      <c r="GO434">
        <v>1.8749999999999999E-2</v>
      </c>
      <c r="GP434">
        <v>0.03</v>
      </c>
      <c r="GQ434">
        <v>7.4999999999999997E-2</v>
      </c>
      <c r="GR434" s="461" t="s">
        <v>790</v>
      </c>
      <c r="IG434" s="459" t="s">
        <v>451</v>
      </c>
      <c r="IH434" t="s">
        <v>235</v>
      </c>
    </row>
    <row r="435" spans="1:242" ht="159.5" x14ac:dyDescent="0.35">
      <c r="A435" s="310" t="s">
        <v>537</v>
      </c>
      <c r="B435" t="s">
        <v>2407</v>
      </c>
      <c r="C435" t="s">
        <v>2408</v>
      </c>
      <c r="H435" t="s">
        <v>2409</v>
      </c>
      <c r="I435" s="443" t="s">
        <v>2410</v>
      </c>
      <c r="BF435" s="2" t="s">
        <v>220</v>
      </c>
      <c r="GA435" s="7" t="s">
        <v>326</v>
      </c>
      <c r="GB435" s="7" t="s">
        <v>326</v>
      </c>
      <c r="GM435" s="461" t="s">
        <v>790</v>
      </c>
      <c r="GN435">
        <v>0.01</v>
      </c>
      <c r="GO435">
        <v>1.8749999999999999E-2</v>
      </c>
      <c r="GP435">
        <v>0.03</v>
      </c>
      <c r="GQ435">
        <v>7.4999999999999997E-2</v>
      </c>
      <c r="GR435" s="461" t="s">
        <v>790</v>
      </c>
      <c r="IG435" s="459" t="s">
        <v>451</v>
      </c>
      <c r="IH435" t="s">
        <v>235</v>
      </c>
    </row>
    <row r="436" spans="1:242" ht="159.5" x14ac:dyDescent="0.35">
      <c r="A436" s="310" t="s">
        <v>537</v>
      </c>
      <c r="B436" t="s">
        <v>2411</v>
      </c>
      <c r="C436" t="s">
        <v>2412</v>
      </c>
      <c r="H436" t="s">
        <v>2413</v>
      </c>
      <c r="I436" s="114" t="s">
        <v>2414</v>
      </c>
      <c r="BF436" s="2" t="s">
        <v>220</v>
      </c>
      <c r="GA436" s="7" t="s">
        <v>241</v>
      </c>
      <c r="GB436" s="7" t="s">
        <v>241</v>
      </c>
      <c r="GM436" s="461" t="s">
        <v>790</v>
      </c>
      <c r="GN436">
        <v>0.2</v>
      </c>
      <c r="GO436">
        <v>0.375</v>
      </c>
      <c r="GP436">
        <v>0.6</v>
      </c>
      <c r="GQ436">
        <v>1.5</v>
      </c>
      <c r="GR436" s="461" t="s">
        <v>790</v>
      </c>
      <c r="IG436" s="459" t="s">
        <v>451</v>
      </c>
      <c r="IH436" t="s">
        <v>235</v>
      </c>
    </row>
    <row r="437" spans="1:242" ht="159.5" x14ac:dyDescent="0.35">
      <c r="A437" s="310" t="s">
        <v>537</v>
      </c>
      <c r="C437" t="s">
        <v>2415</v>
      </c>
      <c r="H437" t="s">
        <v>2416</v>
      </c>
      <c r="I437" s="114" t="s">
        <v>2417</v>
      </c>
      <c r="BF437" s="2" t="s">
        <v>220</v>
      </c>
      <c r="GA437" s="7" t="s">
        <v>326</v>
      </c>
      <c r="GB437" s="7" t="s">
        <v>326</v>
      </c>
      <c r="GM437" s="461" t="s">
        <v>790</v>
      </c>
      <c r="GN437">
        <v>0.01</v>
      </c>
      <c r="GO437">
        <v>1.8749999999999999E-2</v>
      </c>
      <c r="GP437">
        <v>0.03</v>
      </c>
      <c r="GQ437">
        <v>7.4999999999999997E-2</v>
      </c>
      <c r="GR437" s="461" t="s">
        <v>790</v>
      </c>
      <c r="IG437" s="459" t="s">
        <v>451</v>
      </c>
      <c r="IH437" t="s">
        <v>235</v>
      </c>
    </row>
    <row r="438" spans="1:242" ht="159.5" x14ac:dyDescent="0.35">
      <c r="A438" t="s">
        <v>2418</v>
      </c>
      <c r="C438" t="s">
        <v>2419</v>
      </c>
      <c r="H438" t="s">
        <v>2420</v>
      </c>
      <c r="I438" s="114" t="s">
        <v>2421</v>
      </c>
      <c r="BF438" s="2" t="s">
        <v>220</v>
      </c>
      <c r="GA438" s="7" t="s">
        <v>241</v>
      </c>
      <c r="GB438" s="7" t="s">
        <v>241</v>
      </c>
      <c r="GM438" s="461" t="s">
        <v>790</v>
      </c>
      <c r="GN438">
        <v>0.2</v>
      </c>
      <c r="GO438">
        <v>0.375</v>
      </c>
      <c r="GP438">
        <v>0.6</v>
      </c>
      <c r="GQ438">
        <v>1.5</v>
      </c>
      <c r="GR438" s="461" t="s">
        <v>790</v>
      </c>
      <c r="IG438" s="459" t="s">
        <v>451</v>
      </c>
      <c r="IH438" t="s">
        <v>235</v>
      </c>
    </row>
    <row r="439" spans="1:242" ht="159.5" x14ac:dyDescent="0.35">
      <c r="A439" s="310" t="s">
        <v>537</v>
      </c>
      <c r="C439" t="s">
        <v>2422</v>
      </c>
      <c r="H439" t="s">
        <v>2423</v>
      </c>
      <c r="I439" s="114" t="s">
        <v>2424</v>
      </c>
      <c r="BF439" s="2" t="s">
        <v>220</v>
      </c>
      <c r="GA439" s="7" t="s">
        <v>241</v>
      </c>
      <c r="GB439" s="7" t="s">
        <v>241</v>
      </c>
      <c r="GM439" s="461" t="s">
        <v>790</v>
      </c>
      <c r="GN439">
        <v>0.2</v>
      </c>
      <c r="GO439">
        <v>0.375</v>
      </c>
      <c r="GP439">
        <v>0.6</v>
      </c>
      <c r="GQ439">
        <v>1.5</v>
      </c>
      <c r="GR439" s="461" t="s">
        <v>790</v>
      </c>
      <c r="IG439" s="459" t="s">
        <v>451</v>
      </c>
      <c r="IH439" t="s">
        <v>235</v>
      </c>
    </row>
    <row r="440" spans="1:242" ht="159.5" x14ac:dyDescent="0.35">
      <c r="A440" s="310" t="s">
        <v>537</v>
      </c>
      <c r="C440" t="s">
        <v>2425</v>
      </c>
      <c r="H440" t="s">
        <v>2426</v>
      </c>
      <c r="I440" s="114" t="s">
        <v>2427</v>
      </c>
      <c r="BF440" s="2" t="s">
        <v>220</v>
      </c>
      <c r="GA440" s="7" t="s">
        <v>326</v>
      </c>
      <c r="GB440" s="7" t="s">
        <v>326</v>
      </c>
      <c r="GM440" s="461" t="s">
        <v>790</v>
      </c>
      <c r="GN440">
        <v>0.01</v>
      </c>
      <c r="GO440">
        <v>1.8749999999999999E-2</v>
      </c>
      <c r="GP440">
        <v>0.03</v>
      </c>
      <c r="GQ440">
        <v>7.4999999999999997E-2</v>
      </c>
      <c r="GR440" s="461" t="s">
        <v>790</v>
      </c>
      <c r="IG440" s="459" t="s">
        <v>451</v>
      </c>
      <c r="IH440" t="s">
        <v>235</v>
      </c>
    </row>
    <row r="441" spans="1:242" ht="159.5" x14ac:dyDescent="0.35">
      <c r="A441" t="s">
        <v>2428</v>
      </c>
      <c r="C441" t="s">
        <v>2429</v>
      </c>
      <c r="H441" t="s">
        <v>2430</v>
      </c>
      <c r="I441" s="114" t="s">
        <v>2431</v>
      </c>
      <c r="BF441" s="2" t="s">
        <v>220</v>
      </c>
      <c r="GA441" s="7" t="s">
        <v>241</v>
      </c>
      <c r="GB441" s="7" t="s">
        <v>241</v>
      </c>
      <c r="GM441" s="461" t="s">
        <v>790</v>
      </c>
      <c r="GN441">
        <v>0.2</v>
      </c>
      <c r="GO441">
        <v>0.375</v>
      </c>
      <c r="GP441">
        <v>0.6</v>
      </c>
      <c r="GQ441">
        <v>1.5</v>
      </c>
      <c r="GR441" s="461" t="s">
        <v>790</v>
      </c>
      <c r="IG441" s="459" t="s">
        <v>451</v>
      </c>
      <c r="IH441" t="s">
        <v>235</v>
      </c>
    </row>
    <row r="442" spans="1:242" ht="159.5" x14ac:dyDescent="0.35">
      <c r="A442" t="s">
        <v>2432</v>
      </c>
      <c r="C442" t="s">
        <v>2433</v>
      </c>
      <c r="H442" t="s">
        <v>2434</v>
      </c>
      <c r="I442" s="114" t="s">
        <v>2435</v>
      </c>
      <c r="BF442" s="2" t="s">
        <v>220</v>
      </c>
      <c r="GA442" s="7" t="s">
        <v>241</v>
      </c>
      <c r="GB442" s="7" t="s">
        <v>241</v>
      </c>
      <c r="GM442" s="461" t="s">
        <v>790</v>
      </c>
      <c r="GN442">
        <v>0.2</v>
      </c>
      <c r="GO442">
        <v>0.375</v>
      </c>
      <c r="GP442">
        <v>0.6</v>
      </c>
      <c r="GQ442">
        <v>1.5</v>
      </c>
      <c r="GR442" s="461" t="s">
        <v>790</v>
      </c>
      <c r="IG442" s="459" t="s">
        <v>451</v>
      </c>
      <c r="IH442" t="s">
        <v>235</v>
      </c>
    </row>
    <row r="443" spans="1:242" ht="159.5" x14ac:dyDescent="0.35">
      <c r="A443" t="s">
        <v>2436</v>
      </c>
      <c r="C443" t="s">
        <v>2437</v>
      </c>
      <c r="H443" t="s">
        <v>2438</v>
      </c>
      <c r="I443" s="114" t="s">
        <v>2439</v>
      </c>
      <c r="BF443" s="2" t="s">
        <v>220</v>
      </c>
      <c r="GA443" s="7" t="s">
        <v>326</v>
      </c>
      <c r="GB443" s="7" t="s">
        <v>326</v>
      </c>
      <c r="GM443" s="461" t="s">
        <v>790</v>
      </c>
      <c r="GN443">
        <v>0.01</v>
      </c>
      <c r="GO443">
        <v>1.8749999999999999E-2</v>
      </c>
      <c r="GP443">
        <v>0.03</v>
      </c>
      <c r="GQ443">
        <v>7.4999999999999997E-2</v>
      </c>
      <c r="GR443" s="461" t="s">
        <v>790</v>
      </c>
      <c r="IG443" s="459" t="s">
        <v>451</v>
      </c>
      <c r="IH443" t="s">
        <v>235</v>
      </c>
    </row>
    <row r="444" spans="1:242" x14ac:dyDescent="0.35">
      <c r="A444" t="s">
        <v>2440</v>
      </c>
      <c r="C444" s="443" t="s">
        <v>2441</v>
      </c>
      <c r="I444" t="s">
        <v>2442</v>
      </c>
      <c r="BF444" s="2" t="s">
        <v>220</v>
      </c>
      <c r="GA444" s="7" t="s">
        <v>326</v>
      </c>
      <c r="GB444" s="7" t="s">
        <v>326</v>
      </c>
      <c r="GI444" s="6">
        <v>0.27</v>
      </c>
      <c r="GJ444" s="6">
        <v>0.5</v>
      </c>
      <c r="GK444" s="6">
        <v>0.8</v>
      </c>
      <c r="GL444" s="6">
        <v>2</v>
      </c>
      <c r="GN444"/>
      <c r="GO444"/>
      <c r="GP444"/>
      <c r="GQ444"/>
      <c r="IC444">
        <v>0.27</v>
      </c>
      <c r="ID444">
        <v>0.5</v>
      </c>
      <c r="IE444">
        <v>0.8</v>
      </c>
      <c r="IF444">
        <v>2</v>
      </c>
      <c r="IH444" t="s">
        <v>267</v>
      </c>
    </row>
    <row r="445" spans="1:242" ht="159.5" x14ac:dyDescent="0.35">
      <c r="A445" s="310" t="s">
        <v>1248</v>
      </c>
      <c r="C445" t="s">
        <v>2401</v>
      </c>
      <c r="I445" s="114" t="s">
        <v>2443</v>
      </c>
      <c r="BF445" s="2" t="s">
        <v>220</v>
      </c>
      <c r="GA445" s="7" t="s">
        <v>326</v>
      </c>
      <c r="GB445" s="7" t="s">
        <v>326</v>
      </c>
      <c r="GM445" s="461" t="s">
        <v>790</v>
      </c>
      <c r="GN445">
        <v>0.01</v>
      </c>
      <c r="GO445">
        <v>1.8749999999999999E-2</v>
      </c>
      <c r="GP445">
        <v>0.03</v>
      </c>
      <c r="GQ445">
        <v>7.4999999999999997E-2</v>
      </c>
      <c r="GR445" s="461" t="s">
        <v>790</v>
      </c>
      <c r="IG445" s="459" t="s">
        <v>451</v>
      </c>
      <c r="IH445" t="s">
        <v>235</v>
      </c>
    </row>
    <row r="446" spans="1:242" ht="159.5" x14ac:dyDescent="0.35">
      <c r="A446" t="s">
        <v>2444</v>
      </c>
      <c r="C446" t="s">
        <v>2445</v>
      </c>
      <c r="I446" s="114" t="s">
        <v>2446</v>
      </c>
      <c r="BF446" s="2" t="s">
        <v>220</v>
      </c>
      <c r="GA446" s="7" t="s">
        <v>326</v>
      </c>
      <c r="GB446" s="7" t="s">
        <v>326</v>
      </c>
      <c r="GM446" s="461" t="s">
        <v>790</v>
      </c>
      <c r="GN446">
        <v>0.01</v>
      </c>
      <c r="GO446">
        <v>1.8749999999999999E-2</v>
      </c>
      <c r="GP446">
        <v>0.03</v>
      </c>
      <c r="GQ446">
        <v>7.4999999999999997E-2</v>
      </c>
      <c r="GR446" s="461" t="s">
        <v>790</v>
      </c>
      <c r="IG446" s="459" t="s">
        <v>451</v>
      </c>
      <c r="IH446" t="s">
        <v>235</v>
      </c>
    </row>
    <row r="447" spans="1:242" x14ac:dyDescent="0.35">
      <c r="A447" t="s">
        <v>2447</v>
      </c>
      <c r="I447" s="114" t="s">
        <v>2448</v>
      </c>
      <c r="BF447" s="2" t="s">
        <v>220</v>
      </c>
      <c r="GI447" s="6">
        <v>33.33</v>
      </c>
      <c r="IC447">
        <v>33.33</v>
      </c>
      <c r="IH447" t="s">
        <v>267</v>
      </c>
    </row>
    <row r="448" spans="1:242" x14ac:dyDescent="0.35">
      <c r="A448" t="s">
        <v>2449</v>
      </c>
      <c r="I448" s="114" t="s">
        <v>2450</v>
      </c>
      <c r="BF448" s="2" t="s">
        <v>220</v>
      </c>
      <c r="GI448" s="6">
        <v>0.67</v>
      </c>
      <c r="IC448">
        <v>0.67</v>
      </c>
      <c r="IH448" t="s">
        <v>267</v>
      </c>
    </row>
    <row r="449" spans="1:242" x14ac:dyDescent="0.35">
      <c r="A449" t="s">
        <v>2451</v>
      </c>
      <c r="I449" s="114" t="s">
        <v>2452</v>
      </c>
      <c r="BF449" s="2" t="s">
        <v>220</v>
      </c>
      <c r="GI449" s="6">
        <v>1.1299999999999999</v>
      </c>
      <c r="IC449">
        <v>1.1299999999999999</v>
      </c>
      <c r="IH449" t="s">
        <v>267</v>
      </c>
    </row>
    <row r="450" spans="1:242" x14ac:dyDescent="0.35">
      <c r="A450" t="s">
        <v>2453</v>
      </c>
      <c r="I450" s="114" t="s">
        <v>2454</v>
      </c>
      <c r="BF450" s="2" t="s">
        <v>220</v>
      </c>
      <c r="GI450" s="6">
        <v>1.1299999999999999</v>
      </c>
      <c r="IC450">
        <v>1.1299999999999999</v>
      </c>
      <c r="IH450" t="s">
        <v>267</v>
      </c>
    </row>
    <row r="451" spans="1:242" hidden="1" x14ac:dyDescent="0.35">
      <c r="A451" s="443" t="s">
        <v>2455</v>
      </c>
      <c r="I451" s="443" t="s">
        <v>2456</v>
      </c>
      <c r="L451" s="444" t="s">
        <v>2457</v>
      </c>
      <c r="IH451" t="s">
        <v>235</v>
      </c>
    </row>
    <row r="452" spans="1:242" ht="72.5" hidden="1" x14ac:dyDescent="0.35">
      <c r="A452" s="443" t="s">
        <v>2458</v>
      </c>
      <c r="C452" s="443" t="s">
        <v>2459</v>
      </c>
      <c r="I452" s="443" t="s">
        <v>2460</v>
      </c>
      <c r="GM452" s="460" t="s">
        <v>305</v>
      </c>
      <c r="GR452" s="460" t="s">
        <v>305</v>
      </c>
      <c r="IH452" t="s">
        <v>235</v>
      </c>
    </row>
    <row r="453" spans="1:242" ht="72.5" hidden="1" x14ac:dyDescent="0.35">
      <c r="A453" s="443" t="s">
        <v>2461</v>
      </c>
      <c r="C453" s="443" t="s">
        <v>2462</v>
      </c>
      <c r="I453" s="443" t="s">
        <v>2463</v>
      </c>
      <c r="GM453" s="460" t="s">
        <v>305</v>
      </c>
      <c r="GR453" s="460" t="s">
        <v>305</v>
      </c>
      <c r="IH453" t="s">
        <v>235</v>
      </c>
    </row>
    <row r="454" spans="1:242" ht="72.5" hidden="1" x14ac:dyDescent="0.35">
      <c r="A454" s="443" t="s">
        <v>2464</v>
      </c>
      <c r="C454" s="443" t="s">
        <v>1537</v>
      </c>
      <c r="I454" s="443" t="s">
        <v>2465</v>
      </c>
      <c r="GM454" s="460" t="s">
        <v>305</v>
      </c>
      <c r="GR454" s="460" t="s">
        <v>305</v>
      </c>
      <c r="IH454" t="s">
        <v>235</v>
      </c>
    </row>
    <row r="455" spans="1:242" ht="72.5" hidden="1" x14ac:dyDescent="0.35">
      <c r="A455" s="443" t="s">
        <v>1118</v>
      </c>
      <c r="C455" s="443" t="s">
        <v>1120</v>
      </c>
      <c r="I455" s="443" t="s">
        <v>1122</v>
      </c>
      <c r="GM455" s="460" t="s">
        <v>2033</v>
      </c>
      <c r="GR455" s="460" t="s">
        <v>2033</v>
      </c>
      <c r="IH455" t="s">
        <v>235</v>
      </c>
    </row>
    <row r="456" spans="1:242" ht="72.5" hidden="1" x14ac:dyDescent="0.35">
      <c r="A456" s="443" t="s">
        <v>2466</v>
      </c>
      <c r="C456" s="443" t="s">
        <v>2467</v>
      </c>
      <c r="I456" s="443" t="s">
        <v>2468</v>
      </c>
      <c r="GM456" s="460" t="s">
        <v>2033</v>
      </c>
      <c r="GR456" s="460" t="s">
        <v>2033</v>
      </c>
      <c r="IH456" t="s">
        <v>235</v>
      </c>
    </row>
    <row r="457" spans="1:242" ht="72.5" hidden="1" x14ac:dyDescent="0.35">
      <c r="A457" s="443" t="s">
        <v>2469</v>
      </c>
      <c r="C457" s="443" t="s">
        <v>2470</v>
      </c>
      <c r="I457" s="443" t="s">
        <v>2471</v>
      </c>
      <c r="GM457" s="460" t="s">
        <v>2033</v>
      </c>
      <c r="GR457" s="460" t="s">
        <v>2033</v>
      </c>
      <c r="IH457" t="s">
        <v>235</v>
      </c>
    </row>
    <row r="458" spans="1:242" ht="72.5" hidden="1" x14ac:dyDescent="0.35">
      <c r="A458" s="443" t="s">
        <v>2027</v>
      </c>
      <c r="C458" s="443" t="s">
        <v>2029</v>
      </c>
      <c r="I458" s="443" t="s">
        <v>2031</v>
      </c>
      <c r="GM458" s="460" t="s">
        <v>2033</v>
      </c>
      <c r="GR458" s="460" t="s">
        <v>2033</v>
      </c>
      <c r="IH458" t="s">
        <v>235</v>
      </c>
    </row>
    <row r="459" spans="1:242" ht="72.5" hidden="1" x14ac:dyDescent="0.35">
      <c r="A459" s="443" t="s">
        <v>2472</v>
      </c>
      <c r="C459" s="443" t="s">
        <v>2473</v>
      </c>
      <c r="I459" s="443" t="s">
        <v>2474</v>
      </c>
      <c r="GM459" s="460" t="s">
        <v>2033</v>
      </c>
      <c r="GR459" s="460" t="s">
        <v>2033</v>
      </c>
      <c r="IH459" t="s">
        <v>235</v>
      </c>
    </row>
    <row r="460" spans="1:242" ht="72.5" hidden="1" x14ac:dyDescent="0.35">
      <c r="A460" s="443" t="s">
        <v>2475</v>
      </c>
      <c r="C460" s="443" t="s">
        <v>2476</v>
      </c>
      <c r="I460" s="443" t="s">
        <v>2477</v>
      </c>
      <c r="GM460" s="460" t="s">
        <v>2033</v>
      </c>
      <c r="GR460" s="460" t="s">
        <v>2033</v>
      </c>
      <c r="IH460" t="s">
        <v>235</v>
      </c>
    </row>
    <row r="461" spans="1:242" ht="72.5" hidden="1" x14ac:dyDescent="0.35">
      <c r="A461" s="443" t="s">
        <v>1524</v>
      </c>
      <c r="C461" s="443" t="s">
        <v>1526</v>
      </c>
      <c r="I461" s="443" t="s">
        <v>1528</v>
      </c>
      <c r="GM461" s="460" t="s">
        <v>2033</v>
      </c>
      <c r="GR461" s="460" t="s">
        <v>2033</v>
      </c>
      <c r="IH461" t="s">
        <v>235</v>
      </c>
    </row>
    <row r="462" spans="1:242" ht="72.5" hidden="1" x14ac:dyDescent="0.35">
      <c r="A462" s="443" t="s">
        <v>2478</v>
      </c>
      <c r="C462" s="443" t="s">
        <v>2479</v>
      </c>
      <c r="I462" s="443" t="s">
        <v>2480</v>
      </c>
      <c r="GM462" s="460" t="s">
        <v>2033</v>
      </c>
      <c r="GR462" s="460" t="s">
        <v>2033</v>
      </c>
      <c r="IH462" t="s">
        <v>235</v>
      </c>
    </row>
    <row r="463" spans="1:242" ht="72.5" hidden="1" x14ac:dyDescent="0.35">
      <c r="A463" s="443" t="s">
        <v>445</v>
      </c>
      <c r="C463" s="443" t="s">
        <v>2481</v>
      </c>
      <c r="I463" s="443" t="s">
        <v>449</v>
      </c>
      <c r="GM463" s="460" t="s">
        <v>2033</v>
      </c>
      <c r="GR463" s="460" t="s">
        <v>2033</v>
      </c>
      <c r="IH463" t="s">
        <v>235</v>
      </c>
    </row>
    <row r="464" spans="1:242" ht="72.5" hidden="1" x14ac:dyDescent="0.35">
      <c r="A464" s="443" t="s">
        <v>2482</v>
      </c>
      <c r="C464" s="443" t="s">
        <v>2483</v>
      </c>
      <c r="I464" s="443" t="s">
        <v>2484</v>
      </c>
      <c r="GM464" s="460" t="s">
        <v>2033</v>
      </c>
      <c r="GR464" s="460" t="s">
        <v>2033</v>
      </c>
      <c r="IH464" t="s">
        <v>235</v>
      </c>
    </row>
    <row r="465" spans="1:242" ht="72.5" hidden="1" x14ac:dyDescent="0.35">
      <c r="A465" s="443" t="s">
        <v>2485</v>
      </c>
      <c r="C465" s="443" t="s">
        <v>2486</v>
      </c>
      <c r="I465" s="443" t="s">
        <v>2487</v>
      </c>
      <c r="GM465" s="460" t="s">
        <v>2033</v>
      </c>
      <c r="GR465" s="460" t="s">
        <v>2033</v>
      </c>
      <c r="IH465" t="s">
        <v>235</v>
      </c>
    </row>
  </sheetData>
  <autoFilter ref="A5:IK465" xr:uid="{7CAC6A38-A141-414C-A669-D3C9FB8BF8F7}">
    <filterColumn colId="57">
      <filters>
        <filter val="Negative"/>
      </filters>
    </filterColumn>
  </autoFilter>
  <mergeCells count="79">
    <mergeCell ref="CT2:CU2"/>
    <mergeCell ref="GI4:GM4"/>
    <mergeCell ref="AD4:AI4"/>
    <mergeCell ref="EQ4:ET4"/>
    <mergeCell ref="DF4:DK4"/>
    <mergeCell ref="DS4:DZ4"/>
    <mergeCell ref="DQ4:DR4"/>
    <mergeCell ref="EA4:EC4"/>
    <mergeCell ref="DL4:DN4"/>
    <mergeCell ref="DO4:DP4"/>
    <mergeCell ref="EM4:EP4"/>
    <mergeCell ref="CZ4:DB4"/>
    <mergeCell ref="BU3:CB3"/>
    <mergeCell ref="CC3:CE3"/>
    <mergeCell ref="CF3:CI3"/>
    <mergeCell ref="BK3:BT3"/>
    <mergeCell ref="HE4:HK4"/>
    <mergeCell ref="FP4:FT4"/>
    <mergeCell ref="FU4:FZ4"/>
    <mergeCell ref="GZ4:HD4"/>
    <mergeCell ref="GA3:GB3"/>
    <mergeCell ref="GS3:GT3"/>
    <mergeCell ref="GC3:GD3"/>
    <mergeCell ref="GI3:GM3"/>
    <mergeCell ref="GN3:GR3"/>
    <mergeCell ref="HE3:HK3"/>
    <mergeCell ref="FP3:FT3"/>
    <mergeCell ref="GZ3:HD3"/>
    <mergeCell ref="FU3:FZ3"/>
    <mergeCell ref="GU3:GY3"/>
    <mergeCell ref="DL3:DP3"/>
    <mergeCell ref="EA3:EL3"/>
    <mergeCell ref="CW3:DB3"/>
    <mergeCell ref="GU4:GY4"/>
    <mergeCell ref="GE3:GH3"/>
    <mergeCell ref="BK4:BN4"/>
    <mergeCell ref="BO4:BT4"/>
    <mergeCell ref="DC4:DE4"/>
    <mergeCell ref="BU4:BV4"/>
    <mergeCell ref="BW4:CB4"/>
    <mergeCell ref="CF4:CI4"/>
    <mergeCell ref="CJ4:CO4"/>
    <mergeCell ref="CC4:CE4"/>
    <mergeCell ref="HL3:HN3"/>
    <mergeCell ref="CW4:CY4"/>
    <mergeCell ref="FH4:FO4"/>
    <mergeCell ref="CP4:CV4"/>
    <mergeCell ref="FA3:FG3"/>
    <mergeCell ref="GS4:GT4"/>
    <mergeCell ref="CJ3:CV3"/>
    <mergeCell ref="EU4:EZ4"/>
    <mergeCell ref="FC4:FG4"/>
    <mergeCell ref="ED4:EF4"/>
    <mergeCell ref="EG4:EL4"/>
    <mergeCell ref="FH3:FO3"/>
    <mergeCell ref="DC3:DK3"/>
    <mergeCell ref="DQ3:DR3"/>
    <mergeCell ref="DS3:DZ3"/>
    <mergeCell ref="EM3:EZ3"/>
    <mergeCell ref="J3:L3"/>
    <mergeCell ref="A3:I3"/>
    <mergeCell ref="BF3:BJ3"/>
    <mergeCell ref="M4:N4"/>
    <mergeCell ref="O4:V4"/>
    <mergeCell ref="W4:AC4"/>
    <mergeCell ref="AJ4:AT4"/>
    <mergeCell ref="AU4:BA4"/>
    <mergeCell ref="A4:I4"/>
    <mergeCell ref="O3:AG3"/>
    <mergeCell ref="AJ3:BE3"/>
    <mergeCell ref="M3:N3"/>
    <mergeCell ref="BB4:BE4"/>
    <mergeCell ref="IA3:IB3"/>
    <mergeCell ref="IA4:IB4"/>
    <mergeCell ref="HS3:HT3"/>
    <mergeCell ref="HO3:HR3"/>
    <mergeCell ref="HO4:HR4"/>
    <mergeCell ref="HU3:HX3"/>
    <mergeCell ref="HY3:HZ3"/>
  </mergeCells>
  <phoneticPr fontId="7" type="noConversion"/>
  <conditionalFormatting sqref="O3:P4 O6:O429 O430:P1048576">
    <cfRule type="containsText" dxfId="30" priority="7" operator="containsText" text="POS">
      <formula>NOT(ISERROR(SEARCH("POS",O3)))</formula>
    </cfRule>
  </conditionalFormatting>
  <conditionalFormatting sqref="AJ4">
    <cfRule type="containsText" dxfId="28" priority="5" operator="containsText" text="POS">
      <formula>NOT(ISERROR(SEARCH("POS",AJ4)))</formula>
    </cfRule>
  </conditionalFormatting>
  <conditionalFormatting sqref="AJ3:AL3">
    <cfRule type="containsText" dxfId="26" priority="2" operator="containsText" text="POS">
      <formula>NOT(ISERROR(SEARCH("POS",AJ3)))</formula>
    </cfRule>
  </conditionalFormatting>
  <conditionalFormatting sqref="BU1:BU2 BT6:BT1048576 CV6:CV1048576">
    <cfRule type="containsText" dxfId="25" priority="8" operator="containsText" text="x">
      <formula>NOT(ISERROR(SEARCH("x",BT1)))</formula>
    </cfRule>
  </conditionalFormatting>
  <conditionalFormatting sqref="CW1:CW2">
    <cfRule type="containsText" dxfId="24" priority="3" operator="containsText" text="x">
      <formula>NOT(ISERROR(SEARCH("x",CW1)))</formula>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beginsWith" priority="6" operator="beginsWith" id="{9CEFA813-AE38-4445-9FBB-036FA690A5A6}">
            <xm:f>LEFT(O3,LEN("-"))="-"</xm:f>
            <xm:f>"-"</xm:f>
            <x14:dxf>
              <fill>
                <patternFill patternType="lightHorizontal">
                  <bgColor theme="0" tint="-4.9989318521683403E-2"/>
                </patternFill>
              </fill>
            </x14:dxf>
          </x14:cfRule>
          <xm:sqref>O3:P4 O6:O429 O430:P1048576</xm:sqref>
        </x14:conditionalFormatting>
        <x14:conditionalFormatting xmlns:xm="http://schemas.microsoft.com/office/excel/2006/main">
          <x14:cfRule type="beginsWith" priority="4" operator="beginsWith" id="{B3FA4B08-F13C-4F56-9185-A77F0B6E6063}">
            <xm:f>LEFT(AJ4,LEN("-"))="-"</xm:f>
            <xm:f>"-"</xm:f>
            <x14:dxf>
              <fill>
                <patternFill patternType="lightHorizontal">
                  <bgColor theme="0" tint="-4.9989318521683403E-2"/>
                </patternFill>
              </fill>
            </x14:dxf>
          </x14:cfRule>
          <xm:sqref>AJ4</xm:sqref>
        </x14:conditionalFormatting>
        <x14:conditionalFormatting xmlns:xm="http://schemas.microsoft.com/office/excel/2006/main">
          <x14:cfRule type="beginsWith" priority="1" operator="beginsWith" id="{E4BD7096-5189-4D43-8DAA-7E73961781B1}">
            <xm:f>LEFT(AJ3,LEN("-"))="-"</xm:f>
            <xm:f>"-"</xm:f>
            <x14:dxf>
              <fill>
                <patternFill patternType="lightHorizontal">
                  <bgColor theme="0" tint="-4.9989318521683403E-2"/>
                </patternFill>
              </fill>
            </x14:dxf>
          </x14:cfRule>
          <xm:sqref>AJ3:AL3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F857D-DA83-463F-893F-F73C0E821F44}">
  <dimension ref="A1:IB5"/>
  <sheetViews>
    <sheetView topLeftCell="A2" workbookViewId="0">
      <selection activeCell="GJ4" sqref="GJ4"/>
    </sheetView>
  </sheetViews>
  <sheetFormatPr defaultRowHeight="14.5" x14ac:dyDescent="0.35"/>
  <cols>
    <col min="1" max="1" width="16.81640625" customWidth="1"/>
    <col min="2" max="2" width="11.453125" customWidth="1"/>
    <col min="3" max="3" width="18.1796875" customWidth="1"/>
    <col min="6" max="6" width="21.453125" customWidth="1"/>
    <col min="7" max="7" width="16.7265625" customWidth="1"/>
    <col min="8" max="8" width="17.81640625" customWidth="1"/>
    <col min="9" max="9" width="19.1796875" customWidth="1"/>
    <col min="11" max="11" width="15.1796875" customWidth="1"/>
    <col min="13" max="13" width="13.453125" customWidth="1"/>
    <col min="14" max="14" width="12.26953125" customWidth="1"/>
    <col min="23" max="23" width="22.1796875" customWidth="1"/>
    <col min="24" max="24" width="22.453125" customWidth="1"/>
    <col min="25" max="25" width="11.54296875" customWidth="1"/>
    <col min="26" max="26" width="21.54296875" customWidth="1"/>
    <col min="27" max="27" width="17.7265625" customWidth="1"/>
    <col min="28" max="28" width="21.1796875" customWidth="1"/>
    <col min="29" max="29" width="12.81640625" customWidth="1"/>
    <col min="36" max="36" width="10.81640625" customWidth="1"/>
    <col min="37" max="37" width="17.1796875" customWidth="1"/>
    <col min="38" max="38" width="20.81640625" customWidth="1"/>
    <col min="39" max="39" width="12.54296875" customWidth="1"/>
    <col min="40" max="40" width="10.7265625" customWidth="1"/>
    <col min="41" max="41" width="11.54296875" customWidth="1"/>
    <col min="42" max="42" width="11" customWidth="1"/>
    <col min="44" max="44" width="12.54296875" customWidth="1"/>
    <col min="47" max="47" width="13.54296875" customWidth="1"/>
    <col min="48" max="48" width="11.453125" customWidth="1"/>
    <col min="49" max="49" width="15.453125" customWidth="1"/>
    <col min="50" max="50" width="17.453125" customWidth="1"/>
    <col min="51" max="51" width="15.7265625" customWidth="1"/>
    <col min="52" max="52" width="30.54296875" customWidth="1"/>
    <col min="54" max="54" width="17.81640625" customWidth="1"/>
    <col min="55" max="55" width="15.54296875" customWidth="1"/>
    <col min="56" max="56" width="14.81640625" customWidth="1"/>
    <col min="57" max="57" width="17.54296875" customWidth="1"/>
    <col min="59" max="59" width="13.81640625" customWidth="1"/>
    <col min="60" max="60" width="15.1796875" customWidth="1"/>
    <col min="61" max="61" width="11.26953125" customWidth="1"/>
    <col min="64" max="64" width="12.54296875" customWidth="1"/>
    <col min="65" max="65" width="13.26953125" customWidth="1"/>
    <col min="70" max="70" width="14.54296875" customWidth="1"/>
    <col min="71" max="71" width="14" customWidth="1"/>
    <col min="73" max="73" width="16.453125" customWidth="1"/>
    <col min="75" max="75" width="11.453125" customWidth="1"/>
    <col min="76" max="76" width="16.26953125" customWidth="1"/>
    <col min="78" max="78" width="12.81640625" customWidth="1"/>
    <col min="79" max="79" width="17.54296875" customWidth="1"/>
    <col min="81" max="81" width="19.54296875" customWidth="1"/>
    <col min="82" max="82" width="18.1796875" customWidth="1"/>
    <col min="84" max="84" width="22.54296875" customWidth="1"/>
    <col min="85" max="85" width="25.453125" customWidth="1"/>
    <col min="86" max="86" width="21.54296875" customWidth="1"/>
    <col min="87" max="87" width="29" customWidth="1"/>
    <col min="88" max="88" width="12.54296875" customWidth="1"/>
    <col min="89" max="89" width="19.81640625" customWidth="1"/>
    <col min="90" max="90" width="21.1796875" customWidth="1"/>
    <col min="91" max="91" width="15.1796875" customWidth="1"/>
    <col min="92" max="92" width="11.54296875" customWidth="1"/>
    <col min="94" max="94" width="17.7265625" customWidth="1"/>
    <col min="95" max="95" width="17.54296875" customWidth="1"/>
    <col min="96" max="96" width="19.1796875" customWidth="1"/>
    <col min="99" max="99" width="14.26953125" customWidth="1"/>
    <col min="101" max="101" width="12.7265625" customWidth="1"/>
    <col min="102" max="102" width="12.81640625" customWidth="1"/>
    <col min="103" max="103" width="17" customWidth="1"/>
    <col min="104" max="104" width="18.81640625" customWidth="1"/>
    <col min="105" max="105" width="13.453125" customWidth="1"/>
    <col min="106" max="106" width="14.81640625" customWidth="1"/>
    <col min="107" max="107" width="13.26953125" customWidth="1"/>
    <col min="123" max="123" width="17.1796875" bestFit="1" customWidth="1"/>
    <col min="168" max="168" width="21.26953125" bestFit="1" customWidth="1"/>
    <col min="184" max="184" width="16.453125" customWidth="1"/>
    <col min="186" max="186" width="11.1796875" customWidth="1"/>
    <col min="187" max="187" width="11.54296875" customWidth="1"/>
    <col min="188" max="188" width="12.453125" customWidth="1"/>
    <col min="191" max="191" width="12" customWidth="1"/>
    <col min="192" max="192" width="11.54296875" customWidth="1"/>
    <col min="193" max="195" width="12.54296875" customWidth="1"/>
    <col min="196" max="196" width="13.81640625" customWidth="1"/>
    <col min="197" max="197" width="14.453125" customWidth="1"/>
    <col min="198" max="198" width="13.453125" customWidth="1"/>
    <col min="199" max="200" width="11.81640625" customWidth="1"/>
    <col min="201" max="201" width="15.7265625" customWidth="1"/>
    <col min="202" max="202" width="13.26953125" customWidth="1"/>
    <col min="203" max="203" width="14.453125" customWidth="1"/>
    <col min="205" max="205" width="12.81640625" customWidth="1"/>
    <col min="206" max="206" width="11.54296875" customWidth="1"/>
    <col min="207" max="207" width="16.26953125" customWidth="1"/>
    <col min="208" max="208" width="14.1796875" customWidth="1"/>
    <col min="209" max="209" width="15.81640625" customWidth="1"/>
    <col min="210" max="210" width="14.26953125" customWidth="1"/>
    <col min="213" max="213" width="18" customWidth="1"/>
    <col min="215" max="215" width="18.81640625" customWidth="1"/>
    <col min="216" max="216" width="11.1796875" customWidth="1"/>
    <col min="217" max="217" width="15.453125" customWidth="1"/>
    <col min="218" max="218" width="10.81640625" customWidth="1"/>
    <col min="219" max="219" width="17.7265625" customWidth="1"/>
    <col min="220" max="221" width="12.1796875" customWidth="1"/>
    <col min="223" max="223" width="12.1796875" customWidth="1"/>
    <col min="224" max="224" width="9.54296875" customWidth="1"/>
    <col min="225" max="225" width="13.26953125" customWidth="1"/>
    <col min="226" max="226" width="11.1796875" customWidth="1"/>
    <col min="227" max="227" width="14.54296875" customWidth="1"/>
    <col min="228" max="228" width="16.81640625" customWidth="1"/>
    <col min="229" max="229" width="13.453125" customWidth="1"/>
    <col min="230" max="230" width="12.1796875" customWidth="1"/>
    <col min="231" max="231" width="13.453125" customWidth="1"/>
    <col min="232" max="232" width="11.26953125" customWidth="1"/>
    <col min="233" max="233" width="21.26953125" customWidth="1"/>
    <col min="234" max="234" width="19" customWidth="1"/>
    <col min="235" max="235" width="23.26953125" customWidth="1"/>
    <col min="236" max="236" width="13.7265625" customWidth="1"/>
  </cols>
  <sheetData>
    <row r="1" spans="1:236" s="37" customFormat="1" ht="46.5" customHeight="1" thickBot="1" x14ac:dyDescent="0.4">
      <c r="A1" s="499"/>
      <c r="B1" s="499"/>
      <c r="C1" s="499"/>
      <c r="D1" s="499"/>
      <c r="E1" s="499"/>
      <c r="F1" s="499"/>
      <c r="G1" s="499"/>
      <c r="H1" s="499"/>
      <c r="I1" s="500"/>
      <c r="J1" s="496" t="s">
        <v>15</v>
      </c>
      <c r="K1" s="497"/>
      <c r="L1" s="498"/>
      <c r="M1" s="496" t="s">
        <v>16</v>
      </c>
      <c r="N1" s="497"/>
      <c r="O1" s="517" t="s">
        <v>17</v>
      </c>
      <c r="P1" s="518"/>
      <c r="Q1" s="518"/>
      <c r="R1" s="518"/>
      <c r="S1" s="518"/>
      <c r="T1" s="518"/>
      <c r="U1" s="518"/>
      <c r="V1" s="518"/>
      <c r="W1" s="519"/>
      <c r="X1" s="519"/>
      <c r="Y1" s="519"/>
      <c r="Z1" s="519"/>
      <c r="AA1" s="519"/>
      <c r="AB1" s="519"/>
      <c r="AC1" s="519"/>
      <c r="AD1" s="518"/>
      <c r="AE1" s="518"/>
      <c r="AF1" s="518"/>
      <c r="AG1" s="518"/>
      <c r="AH1" s="518"/>
      <c r="AI1" s="518"/>
      <c r="AJ1" s="520" t="s">
        <v>18</v>
      </c>
      <c r="AK1" s="521"/>
      <c r="AL1" s="521"/>
      <c r="AM1" s="521"/>
      <c r="AN1" s="521"/>
      <c r="AO1" s="521"/>
      <c r="AP1" s="521"/>
      <c r="AQ1" s="521"/>
      <c r="AR1" s="521"/>
      <c r="AS1" s="521"/>
      <c r="AT1" s="521"/>
      <c r="AU1" s="521"/>
      <c r="AV1" s="521"/>
      <c r="AW1" s="521"/>
      <c r="AX1" s="521"/>
      <c r="AY1" s="521"/>
      <c r="AZ1" s="521"/>
      <c r="BA1" s="521"/>
      <c r="BB1" s="521"/>
      <c r="BC1" s="521"/>
      <c r="BD1" s="521"/>
      <c r="BE1" s="521"/>
      <c r="BF1" s="501" t="s">
        <v>19</v>
      </c>
      <c r="BG1" s="499"/>
      <c r="BH1" s="499"/>
      <c r="BI1" s="499"/>
      <c r="BJ1" s="502"/>
      <c r="BK1" s="628" t="s">
        <v>20</v>
      </c>
      <c r="BL1" s="628"/>
      <c r="BM1" s="628"/>
      <c r="BN1" s="628"/>
      <c r="BO1" s="628"/>
      <c r="BP1" s="628"/>
      <c r="BQ1" s="628"/>
      <c r="BR1" s="628"/>
      <c r="BS1" s="628"/>
      <c r="BT1" s="629"/>
      <c r="BU1" s="539" t="s">
        <v>21</v>
      </c>
      <c r="BV1" s="539"/>
      <c r="BW1" s="539"/>
      <c r="BX1" s="539"/>
      <c r="BY1" s="539"/>
      <c r="BZ1" s="539"/>
      <c r="CA1" s="539"/>
      <c r="CB1" s="539"/>
      <c r="CC1" s="625" t="s">
        <v>22</v>
      </c>
      <c r="CD1" s="626"/>
      <c r="CE1" s="627"/>
      <c r="CF1" s="625" t="s">
        <v>23</v>
      </c>
      <c r="CG1" s="626"/>
      <c r="CH1" s="626"/>
      <c r="CI1" s="627"/>
      <c r="CJ1" s="538" t="s">
        <v>24</v>
      </c>
      <c r="CK1" s="539"/>
      <c r="CL1" s="539"/>
      <c r="CM1" s="539"/>
      <c r="CN1" s="539"/>
      <c r="CO1" s="539"/>
      <c r="CP1" s="539"/>
      <c r="CQ1" s="539"/>
      <c r="CR1" s="539"/>
      <c r="CS1" s="539"/>
      <c r="CT1" s="539"/>
      <c r="CU1" s="539"/>
      <c r="CV1" s="540"/>
      <c r="CW1" s="569" t="s">
        <v>25</v>
      </c>
      <c r="CX1" s="570"/>
      <c r="CY1" s="570"/>
      <c r="CZ1" s="570"/>
      <c r="DA1" s="570"/>
      <c r="DB1" s="571"/>
      <c r="DC1" s="547" t="s">
        <v>26</v>
      </c>
      <c r="DD1" s="548"/>
      <c r="DE1" s="548"/>
      <c r="DF1" s="548"/>
      <c r="DG1" s="548"/>
      <c r="DH1" s="548"/>
      <c r="DI1" s="548"/>
      <c r="DJ1" s="548"/>
      <c r="DK1" s="549"/>
      <c r="DL1" s="547" t="s">
        <v>27</v>
      </c>
      <c r="DM1" s="548"/>
      <c r="DN1" s="548"/>
      <c r="DO1" s="564"/>
      <c r="DP1" s="565"/>
      <c r="DQ1" s="550" t="s">
        <v>28</v>
      </c>
      <c r="DR1" s="550"/>
      <c r="DS1" s="550" t="s">
        <v>29</v>
      </c>
      <c r="DT1" s="550"/>
      <c r="DU1" s="550"/>
      <c r="DV1" s="550"/>
      <c r="DW1" s="550"/>
      <c r="DX1" s="550"/>
      <c r="DY1" s="550"/>
      <c r="DZ1" s="550"/>
      <c r="EA1" s="566" t="s">
        <v>30</v>
      </c>
      <c r="EB1" s="567"/>
      <c r="EC1" s="567"/>
      <c r="ED1" s="567"/>
      <c r="EE1" s="567"/>
      <c r="EF1" s="567"/>
      <c r="EG1" s="567"/>
      <c r="EH1" s="567"/>
      <c r="EI1" s="567"/>
      <c r="EJ1" s="567"/>
      <c r="EK1" s="567"/>
      <c r="EL1" s="568"/>
      <c r="EM1" s="552" t="s">
        <v>31</v>
      </c>
      <c r="EN1" s="552"/>
      <c r="EO1" s="552"/>
      <c r="EP1" s="551"/>
      <c r="EQ1" s="551"/>
      <c r="ER1" s="551"/>
      <c r="ES1" s="551"/>
      <c r="ET1" s="551"/>
      <c r="EU1" s="552"/>
      <c r="EV1" s="552"/>
      <c r="EW1" s="552"/>
      <c r="EX1" s="552"/>
      <c r="EY1" s="552"/>
      <c r="EZ1" s="552"/>
      <c r="FA1" s="420"/>
      <c r="FB1" s="421"/>
      <c r="FC1" s="595" t="s">
        <v>32</v>
      </c>
      <c r="FD1" s="596"/>
      <c r="FE1" s="596"/>
      <c r="FF1" s="596"/>
      <c r="FG1" s="597"/>
      <c r="FH1" s="552" t="s">
        <v>33</v>
      </c>
      <c r="FI1" s="552"/>
      <c r="FJ1" s="552"/>
      <c r="FK1" s="634"/>
      <c r="FL1" s="552"/>
      <c r="FM1" s="343"/>
      <c r="FN1" s="343"/>
      <c r="FO1" s="343"/>
      <c r="FP1" s="595" t="s">
        <v>34</v>
      </c>
      <c r="FQ1" s="596"/>
      <c r="FR1" s="596"/>
      <c r="FS1" s="596"/>
      <c r="FT1" s="597"/>
      <c r="FU1" s="598" t="s">
        <v>35</v>
      </c>
      <c r="FV1" s="598"/>
      <c r="FW1" s="598"/>
      <c r="FX1" s="598"/>
      <c r="FY1" s="598"/>
      <c r="FZ1" s="598"/>
      <c r="GA1" s="585" t="s">
        <v>36</v>
      </c>
      <c r="GB1" s="585"/>
      <c r="GC1" s="349" t="s">
        <v>37</v>
      </c>
      <c r="GD1" s="379"/>
      <c r="GE1" s="573" t="s">
        <v>38</v>
      </c>
      <c r="GF1" s="574"/>
      <c r="GG1" s="574"/>
      <c r="GH1" s="575"/>
      <c r="GI1" s="633" t="s">
        <v>39</v>
      </c>
      <c r="GJ1" s="633"/>
      <c r="GK1" s="633"/>
      <c r="GL1" s="633"/>
      <c r="GM1" s="374"/>
      <c r="GN1" s="633" t="s">
        <v>40</v>
      </c>
      <c r="GO1" s="633"/>
      <c r="GP1" s="633"/>
      <c r="GQ1" s="633"/>
      <c r="GR1" s="374"/>
      <c r="GS1" s="586" t="s">
        <v>41</v>
      </c>
      <c r="GT1" s="586"/>
      <c r="GU1" s="586" t="s">
        <v>42</v>
      </c>
      <c r="GV1" s="586"/>
      <c r="GW1" s="586"/>
      <c r="GX1" s="586"/>
      <c r="GY1" s="586"/>
      <c r="GZ1" s="592" t="s">
        <v>43</v>
      </c>
      <c r="HA1" s="592"/>
      <c r="HB1" s="592"/>
      <c r="HC1" s="592"/>
      <c r="HD1" s="592"/>
      <c r="HE1" s="592" t="s">
        <v>44</v>
      </c>
      <c r="HF1" s="592"/>
      <c r="HG1" s="592"/>
      <c r="HH1" s="592"/>
      <c r="HI1" s="592"/>
      <c r="HJ1" s="593"/>
      <c r="HK1" s="594"/>
      <c r="HL1" s="490" t="s">
        <v>45</v>
      </c>
      <c r="HM1" s="491"/>
      <c r="HN1" s="491"/>
      <c r="HO1" s="491" t="s">
        <v>46</v>
      </c>
      <c r="HP1" s="491"/>
      <c r="HQ1" s="491"/>
      <c r="HR1" s="492"/>
      <c r="HS1" s="490" t="s">
        <v>47</v>
      </c>
      <c r="HT1" s="491"/>
      <c r="HU1" s="490" t="s">
        <v>48</v>
      </c>
      <c r="HV1" s="491"/>
      <c r="HW1" s="491"/>
      <c r="HX1" s="491"/>
      <c r="HY1" s="490" t="s">
        <v>49</v>
      </c>
      <c r="HZ1" s="492"/>
      <c r="IA1" s="487" t="s">
        <v>50</v>
      </c>
      <c r="IB1" s="487"/>
    </row>
    <row r="2" spans="1:236" ht="75.650000000000006" customHeight="1" thickBot="1" x14ac:dyDescent="0.4">
      <c r="A2" s="515"/>
      <c r="B2" s="515"/>
      <c r="C2" s="515"/>
      <c r="D2" s="515"/>
      <c r="E2" s="515"/>
      <c r="F2" s="515"/>
      <c r="G2" s="515"/>
      <c r="H2" s="515"/>
      <c r="I2" s="516"/>
      <c r="J2" s="102"/>
      <c r="K2" s="102"/>
      <c r="L2" s="103"/>
      <c r="M2" s="503" t="s">
        <v>51</v>
      </c>
      <c r="N2" s="504"/>
      <c r="O2" s="505" t="s">
        <v>52</v>
      </c>
      <c r="P2" s="505"/>
      <c r="Q2" s="505"/>
      <c r="R2" s="505"/>
      <c r="S2" s="505"/>
      <c r="T2" s="505"/>
      <c r="U2" s="505"/>
      <c r="V2" s="505"/>
      <c r="W2" s="506" t="s">
        <v>53</v>
      </c>
      <c r="X2" s="507"/>
      <c r="Y2" s="507"/>
      <c r="Z2" s="507"/>
      <c r="AA2" s="507"/>
      <c r="AB2" s="507"/>
      <c r="AC2" s="508"/>
      <c r="AD2" s="630" t="s">
        <v>54</v>
      </c>
      <c r="AE2" s="631"/>
      <c r="AF2" s="631"/>
      <c r="AG2" s="631"/>
      <c r="AH2" s="631"/>
      <c r="AI2" s="632"/>
      <c r="AJ2" s="509" t="s">
        <v>55</v>
      </c>
      <c r="AK2" s="510"/>
      <c r="AL2" s="510"/>
      <c r="AM2" s="510"/>
      <c r="AN2" s="510"/>
      <c r="AO2" s="510"/>
      <c r="AP2" s="510"/>
      <c r="AQ2" s="510"/>
      <c r="AR2" s="510"/>
      <c r="AS2" s="510"/>
      <c r="AT2" s="511"/>
      <c r="AU2" s="512" t="s">
        <v>56</v>
      </c>
      <c r="AV2" s="513"/>
      <c r="AW2" s="513"/>
      <c r="AX2" s="513"/>
      <c r="AY2" s="513"/>
      <c r="AZ2" s="513"/>
      <c r="BA2" s="514"/>
      <c r="BB2" s="522" t="s">
        <v>57</v>
      </c>
      <c r="BC2" s="523"/>
      <c r="BD2" s="523"/>
      <c r="BE2" s="524"/>
      <c r="BF2" s="89"/>
      <c r="BG2" s="89"/>
      <c r="BH2" s="89"/>
      <c r="BI2" s="89"/>
      <c r="BJ2" s="90"/>
      <c r="BK2" s="553" t="s">
        <v>58</v>
      </c>
      <c r="BL2" s="554"/>
      <c r="BM2" s="554"/>
      <c r="BN2" s="555"/>
      <c r="BO2" s="553" t="s">
        <v>59</v>
      </c>
      <c r="BP2" s="554"/>
      <c r="BQ2" s="554"/>
      <c r="BR2" s="554"/>
      <c r="BS2" s="554"/>
      <c r="BT2" s="555"/>
      <c r="BU2" s="557" t="s">
        <v>58</v>
      </c>
      <c r="BV2" s="558"/>
      <c r="BW2" s="530" t="s">
        <v>59</v>
      </c>
      <c r="BX2" s="531"/>
      <c r="BY2" s="531"/>
      <c r="BZ2" s="531"/>
      <c r="CA2" s="531"/>
      <c r="CB2" s="559"/>
      <c r="CC2" s="560" t="s">
        <v>60</v>
      </c>
      <c r="CD2" s="561"/>
      <c r="CE2" s="563"/>
      <c r="CF2" s="560" t="s">
        <v>60</v>
      </c>
      <c r="CG2" s="561"/>
      <c r="CH2" s="561"/>
      <c r="CI2" s="562"/>
      <c r="CJ2" s="557" t="s">
        <v>61</v>
      </c>
      <c r="CK2" s="558"/>
      <c r="CL2" s="558"/>
      <c r="CM2" s="558"/>
      <c r="CN2" s="558"/>
      <c r="CO2" s="558"/>
      <c r="CP2" s="530" t="s">
        <v>62</v>
      </c>
      <c r="CQ2" s="531"/>
      <c r="CR2" s="531"/>
      <c r="CS2" s="531"/>
      <c r="CT2" s="531"/>
      <c r="CU2" s="531"/>
      <c r="CV2" s="532"/>
      <c r="CW2" s="525" t="s">
        <v>61</v>
      </c>
      <c r="CX2" s="526"/>
      <c r="CY2" s="526"/>
      <c r="CZ2" s="622" t="s">
        <v>62</v>
      </c>
      <c r="DA2" s="623"/>
      <c r="DB2" s="624"/>
      <c r="DC2" s="556" t="s">
        <v>60</v>
      </c>
      <c r="DD2" s="556"/>
      <c r="DE2" s="556"/>
      <c r="DF2" s="556" t="s">
        <v>63</v>
      </c>
      <c r="DG2" s="556"/>
      <c r="DH2" s="556"/>
      <c r="DI2" s="556"/>
      <c r="DJ2" s="556"/>
      <c r="DK2" s="607"/>
      <c r="DL2" s="616" t="s">
        <v>60</v>
      </c>
      <c r="DM2" s="617"/>
      <c r="DN2" s="617"/>
      <c r="DO2" s="618" t="s">
        <v>63</v>
      </c>
      <c r="DP2" s="618"/>
      <c r="DQ2" s="611"/>
      <c r="DR2" s="612"/>
      <c r="DS2" s="608"/>
      <c r="DT2" s="609"/>
      <c r="DU2" s="609"/>
      <c r="DV2" s="609"/>
      <c r="DW2" s="609"/>
      <c r="DX2" s="609"/>
      <c r="DY2" s="609"/>
      <c r="DZ2" s="610"/>
      <c r="EA2" s="613" t="s">
        <v>64</v>
      </c>
      <c r="EB2" s="614"/>
      <c r="EC2" s="615"/>
      <c r="ED2" s="543" t="s">
        <v>65</v>
      </c>
      <c r="EE2" s="543"/>
      <c r="EF2" s="543"/>
      <c r="EG2" s="543" t="s">
        <v>66</v>
      </c>
      <c r="EH2" s="543"/>
      <c r="EI2" s="543"/>
      <c r="EJ2" s="543"/>
      <c r="EK2" s="543"/>
      <c r="EL2" s="543"/>
      <c r="EM2" s="635" t="s">
        <v>67</v>
      </c>
      <c r="EN2" s="635"/>
      <c r="EO2" s="635"/>
      <c r="EP2" s="423"/>
      <c r="EQ2" s="606" t="s">
        <v>65</v>
      </c>
      <c r="ER2" s="606"/>
      <c r="ES2" s="606"/>
      <c r="ET2" s="606"/>
      <c r="EU2" s="541" t="s">
        <v>66</v>
      </c>
      <c r="EV2" s="541"/>
      <c r="EW2" s="541"/>
      <c r="EX2" s="541"/>
      <c r="EY2" s="541"/>
      <c r="EZ2" s="541"/>
      <c r="FA2" s="422"/>
      <c r="FB2" s="422"/>
      <c r="FC2" s="542" t="s">
        <v>68</v>
      </c>
      <c r="FD2" s="542"/>
      <c r="FE2" s="542"/>
      <c r="FF2" s="542"/>
      <c r="FG2" s="542"/>
      <c r="FH2" s="527" t="s">
        <v>69</v>
      </c>
      <c r="FI2" s="528"/>
      <c r="FJ2" s="528"/>
      <c r="FK2" s="528"/>
      <c r="FL2" s="528"/>
      <c r="FM2" s="528"/>
      <c r="FN2" s="528"/>
      <c r="FO2" s="529"/>
      <c r="FP2" s="578"/>
      <c r="FQ2" s="579"/>
      <c r="FR2" s="579"/>
      <c r="FS2" s="579"/>
      <c r="FT2" s="580"/>
      <c r="FU2" s="581"/>
      <c r="FV2" s="582"/>
      <c r="FW2" s="582"/>
      <c r="FX2" s="582"/>
      <c r="FY2" s="582"/>
      <c r="FZ2" s="583"/>
      <c r="GA2" s="104"/>
      <c r="GB2" s="104"/>
      <c r="GC2" s="350"/>
      <c r="GD2" s="350"/>
      <c r="GE2" s="352"/>
      <c r="GF2" s="354"/>
      <c r="GG2" s="112"/>
      <c r="GH2" s="113"/>
      <c r="GI2" s="362"/>
      <c r="GJ2" s="363"/>
      <c r="GK2" s="363"/>
      <c r="GL2" s="364"/>
      <c r="GM2" s="363"/>
      <c r="GN2" s="363"/>
      <c r="GO2" s="363"/>
      <c r="GP2" s="363"/>
      <c r="GQ2" s="363"/>
      <c r="GR2" s="363"/>
      <c r="GS2" s="536"/>
      <c r="GT2" s="537"/>
      <c r="GU2" s="536"/>
      <c r="GV2" s="537"/>
      <c r="GW2" s="537"/>
      <c r="GX2" s="537"/>
      <c r="GY2" s="572"/>
      <c r="GZ2" s="584"/>
      <c r="HA2" s="584"/>
      <c r="HB2" s="584"/>
      <c r="HC2" s="584"/>
      <c r="HD2" s="584"/>
      <c r="HE2" s="576"/>
      <c r="HF2" s="577"/>
      <c r="HG2" s="577"/>
      <c r="HH2" s="577"/>
      <c r="HI2" s="577"/>
      <c r="HJ2" s="577"/>
      <c r="HK2" s="577"/>
      <c r="HL2" s="369"/>
      <c r="HM2" s="370"/>
      <c r="HN2" s="371"/>
      <c r="HO2" s="493"/>
      <c r="HP2" s="494"/>
      <c r="HQ2" s="494"/>
      <c r="HR2" s="495"/>
      <c r="HS2" s="372"/>
      <c r="HT2" s="401"/>
      <c r="HU2" s="373"/>
      <c r="HV2" s="373"/>
      <c r="HW2" s="416"/>
      <c r="HX2" s="372"/>
      <c r="HY2" s="402"/>
      <c r="HZ2" s="402"/>
      <c r="IA2" s="488"/>
      <c r="IB2" s="489"/>
    </row>
    <row r="3" spans="1:236" s="183" customFormat="1" ht="91.5" customHeight="1" thickBot="1" x14ac:dyDescent="0.4">
      <c r="A3" s="130" t="s">
        <v>70</v>
      </c>
      <c r="B3" s="131" t="s">
        <v>71</v>
      </c>
      <c r="C3" s="131" t="s">
        <v>72</v>
      </c>
      <c r="D3" s="131" t="s">
        <v>73</v>
      </c>
      <c r="E3" s="130" t="s">
        <v>74</v>
      </c>
      <c r="F3" s="132" t="s">
        <v>75</v>
      </c>
      <c r="G3" s="132" t="s">
        <v>76</v>
      </c>
      <c r="H3" s="132" t="s">
        <v>77</v>
      </c>
      <c r="I3" s="188" t="s">
        <v>78</v>
      </c>
      <c r="J3" s="133" t="s">
        <v>2488</v>
      </c>
      <c r="K3" s="131" t="s">
        <v>80</v>
      </c>
      <c r="L3" s="322" t="s">
        <v>81</v>
      </c>
      <c r="M3" s="134" t="s">
        <v>82</v>
      </c>
      <c r="N3" s="134" t="s">
        <v>83</v>
      </c>
      <c r="O3" s="195" t="s">
        <v>84</v>
      </c>
      <c r="P3" s="318" t="s">
        <v>85</v>
      </c>
      <c r="Q3" s="197" t="s">
        <v>86</v>
      </c>
      <c r="R3" s="196" t="s">
        <v>85</v>
      </c>
      <c r="S3" s="197" t="s">
        <v>87</v>
      </c>
      <c r="T3" s="319" t="s">
        <v>85</v>
      </c>
      <c r="U3" s="197" t="s">
        <v>88</v>
      </c>
      <c r="V3" s="320" t="s">
        <v>85</v>
      </c>
      <c r="W3" s="198" t="s">
        <v>89</v>
      </c>
      <c r="X3" s="199" t="s">
        <v>90</v>
      </c>
      <c r="Y3" s="200" t="s">
        <v>91</v>
      </c>
      <c r="Z3" s="201" t="s">
        <v>92</v>
      </c>
      <c r="AA3" s="202" t="s">
        <v>91</v>
      </c>
      <c r="AB3" s="197" t="s">
        <v>93</v>
      </c>
      <c r="AC3" s="203" t="s">
        <v>91</v>
      </c>
      <c r="AD3" s="204" t="s">
        <v>94</v>
      </c>
      <c r="AE3" s="205" t="s">
        <v>91</v>
      </c>
      <c r="AF3" s="205" t="s">
        <v>95</v>
      </c>
      <c r="AG3" s="206" t="s">
        <v>91</v>
      </c>
      <c r="AH3" s="207" t="s">
        <v>96</v>
      </c>
      <c r="AI3" s="206" t="s">
        <v>91</v>
      </c>
      <c r="AJ3" s="137" t="s">
        <v>97</v>
      </c>
      <c r="AK3" s="394" t="s">
        <v>98</v>
      </c>
      <c r="AL3" s="395" t="s">
        <v>99</v>
      </c>
      <c r="AM3" s="138" t="s">
        <v>84</v>
      </c>
      <c r="AN3" s="139" t="s">
        <v>91</v>
      </c>
      <c r="AO3" s="135" t="s">
        <v>100</v>
      </c>
      <c r="AP3" s="139" t="s">
        <v>91</v>
      </c>
      <c r="AQ3" s="135" t="s">
        <v>87</v>
      </c>
      <c r="AR3" s="139" t="s">
        <v>91</v>
      </c>
      <c r="AS3" s="140" t="s">
        <v>88</v>
      </c>
      <c r="AT3" s="139" t="s">
        <v>91</v>
      </c>
      <c r="AU3" s="141" t="s">
        <v>101</v>
      </c>
      <c r="AV3" s="142" t="s">
        <v>91</v>
      </c>
      <c r="AW3" s="143" t="s">
        <v>89</v>
      </c>
      <c r="AX3" s="143" t="s">
        <v>102</v>
      </c>
      <c r="AY3" s="129" t="s">
        <v>103</v>
      </c>
      <c r="AZ3" s="368" t="s">
        <v>104</v>
      </c>
      <c r="BA3" s="136" t="s">
        <v>91</v>
      </c>
      <c r="BB3" s="136" t="s">
        <v>105</v>
      </c>
      <c r="BC3" s="136" t="s">
        <v>106</v>
      </c>
      <c r="BD3" s="136" t="s">
        <v>93</v>
      </c>
      <c r="BE3" s="396" t="s">
        <v>107</v>
      </c>
      <c r="BF3" s="131" t="s">
        <v>108</v>
      </c>
      <c r="BG3" s="131" t="s">
        <v>109</v>
      </c>
      <c r="BH3" s="130" t="s">
        <v>110</v>
      </c>
      <c r="BI3" s="131" t="s">
        <v>111</v>
      </c>
      <c r="BJ3" s="144" t="s">
        <v>112</v>
      </c>
      <c r="BK3" s="321" t="s">
        <v>113</v>
      </c>
      <c r="BL3" s="146" t="s">
        <v>96</v>
      </c>
      <c r="BM3" s="147" t="s">
        <v>114</v>
      </c>
      <c r="BN3" s="149" t="s">
        <v>112</v>
      </c>
      <c r="BO3" s="150" t="s">
        <v>115</v>
      </c>
      <c r="BP3" s="150" t="s">
        <v>96</v>
      </c>
      <c r="BQ3" s="150" t="s">
        <v>116</v>
      </c>
      <c r="BR3" s="145" t="s">
        <v>117</v>
      </c>
      <c r="BS3" s="151" t="s">
        <v>118</v>
      </c>
      <c r="BT3" s="146" t="s">
        <v>112</v>
      </c>
      <c r="BU3" s="147" t="s">
        <v>119</v>
      </c>
      <c r="BV3" s="148" t="s">
        <v>91</v>
      </c>
      <c r="BW3" s="152" t="s">
        <v>120</v>
      </c>
      <c r="BX3" s="148" t="s">
        <v>121</v>
      </c>
      <c r="BY3" s="147" t="s">
        <v>122</v>
      </c>
      <c r="BZ3" s="148" t="s">
        <v>123</v>
      </c>
      <c r="CA3" s="154" t="s">
        <v>124</v>
      </c>
      <c r="CB3" s="155" t="s">
        <v>112</v>
      </c>
      <c r="CC3" s="156" t="s">
        <v>125</v>
      </c>
      <c r="CD3" s="157" t="s">
        <v>126</v>
      </c>
      <c r="CE3" s="158" t="s">
        <v>112</v>
      </c>
      <c r="CF3" s="157" t="s">
        <v>127</v>
      </c>
      <c r="CG3" s="157" t="s">
        <v>128</v>
      </c>
      <c r="CH3" s="157" t="s">
        <v>129</v>
      </c>
      <c r="CI3" s="159" t="s">
        <v>130</v>
      </c>
      <c r="CJ3" s="147" t="s">
        <v>113</v>
      </c>
      <c r="CK3" s="147" t="s">
        <v>131</v>
      </c>
      <c r="CL3" s="147" t="s">
        <v>132</v>
      </c>
      <c r="CM3" s="147" t="s">
        <v>133</v>
      </c>
      <c r="CN3" s="148" t="s">
        <v>96</v>
      </c>
      <c r="CO3" s="149" t="s">
        <v>112</v>
      </c>
      <c r="CP3" s="397" t="s">
        <v>134</v>
      </c>
      <c r="CQ3" s="397" t="s">
        <v>135</v>
      </c>
      <c r="CR3" s="397" t="s">
        <v>136</v>
      </c>
      <c r="CS3" s="160" t="s">
        <v>96</v>
      </c>
      <c r="CT3" s="161" t="s">
        <v>116</v>
      </c>
      <c r="CU3" s="161" t="s">
        <v>94</v>
      </c>
      <c r="CV3" s="161" t="s">
        <v>112</v>
      </c>
      <c r="CW3" s="162" t="s">
        <v>137</v>
      </c>
      <c r="CX3" s="147" t="s">
        <v>138</v>
      </c>
      <c r="CY3" s="147" t="s">
        <v>139</v>
      </c>
      <c r="CZ3" s="163" t="s">
        <v>140</v>
      </c>
      <c r="DA3" s="164" t="s">
        <v>135</v>
      </c>
      <c r="DB3" s="165" t="s">
        <v>141</v>
      </c>
      <c r="DC3" s="166" t="s">
        <v>142</v>
      </c>
      <c r="DD3" s="166" t="s">
        <v>143</v>
      </c>
      <c r="DE3" s="166" t="s">
        <v>144</v>
      </c>
      <c r="DF3" s="166" t="s">
        <v>145</v>
      </c>
      <c r="DG3" s="167" t="s">
        <v>146</v>
      </c>
      <c r="DH3" s="167" t="s">
        <v>147</v>
      </c>
      <c r="DI3" s="166" t="s">
        <v>148</v>
      </c>
      <c r="DJ3" s="166" t="s">
        <v>149</v>
      </c>
      <c r="DK3" s="168" t="s">
        <v>112</v>
      </c>
      <c r="DL3" s="169" t="s">
        <v>150</v>
      </c>
      <c r="DM3" s="166" t="s">
        <v>143</v>
      </c>
      <c r="DN3" s="166" t="s">
        <v>144</v>
      </c>
      <c r="DO3" s="170" t="s">
        <v>151</v>
      </c>
      <c r="DP3" s="171" t="s">
        <v>152</v>
      </c>
      <c r="DQ3" s="191" t="s">
        <v>153</v>
      </c>
      <c r="DR3" s="192" t="s">
        <v>154</v>
      </c>
      <c r="DS3" s="193" t="s">
        <v>155</v>
      </c>
      <c r="DT3" s="340" t="s">
        <v>156</v>
      </c>
      <c r="DU3" s="193" t="s">
        <v>157</v>
      </c>
      <c r="DV3" s="193" t="s">
        <v>158</v>
      </c>
      <c r="DW3" s="193" t="s">
        <v>159</v>
      </c>
      <c r="DX3" s="193" t="s">
        <v>158</v>
      </c>
      <c r="DY3" s="193" t="s">
        <v>160</v>
      </c>
      <c r="DZ3" s="193" t="s">
        <v>158</v>
      </c>
      <c r="EA3" s="210" t="s">
        <v>161</v>
      </c>
      <c r="EB3" s="210" t="s">
        <v>162</v>
      </c>
      <c r="EC3" s="210" t="s">
        <v>163</v>
      </c>
      <c r="ED3" s="210" t="s">
        <v>164</v>
      </c>
      <c r="EE3" s="210" t="s">
        <v>165</v>
      </c>
      <c r="EF3" s="210" t="s">
        <v>166</v>
      </c>
      <c r="EG3" s="210" t="s">
        <v>167</v>
      </c>
      <c r="EH3" s="210" t="s">
        <v>166</v>
      </c>
      <c r="EI3" s="210" t="s">
        <v>168</v>
      </c>
      <c r="EJ3" s="210" t="s">
        <v>166</v>
      </c>
      <c r="EK3" s="211" t="s">
        <v>169</v>
      </c>
      <c r="EL3" s="210" t="s">
        <v>166</v>
      </c>
      <c r="EM3" s="172" t="s">
        <v>170</v>
      </c>
      <c r="EN3" s="173" t="s">
        <v>171</v>
      </c>
      <c r="EO3" s="172" t="s">
        <v>172</v>
      </c>
      <c r="EP3" s="172" t="s">
        <v>163</v>
      </c>
      <c r="EQ3" s="172" t="s">
        <v>164</v>
      </c>
      <c r="ER3" s="172" t="s">
        <v>166</v>
      </c>
      <c r="ES3" s="172" t="s">
        <v>165</v>
      </c>
      <c r="ET3" s="172" t="s">
        <v>166</v>
      </c>
      <c r="EU3" s="172" t="s">
        <v>167</v>
      </c>
      <c r="EV3" s="172" t="s">
        <v>166</v>
      </c>
      <c r="EW3" s="172" t="s">
        <v>168</v>
      </c>
      <c r="EX3" s="172" t="s">
        <v>166</v>
      </c>
      <c r="EY3" s="173" t="s">
        <v>169</v>
      </c>
      <c r="EZ3" s="172" t="s">
        <v>166</v>
      </c>
      <c r="FA3" s="210" t="s">
        <v>161</v>
      </c>
      <c r="FB3" s="210" t="s">
        <v>91</v>
      </c>
      <c r="FC3" s="399" t="s">
        <v>162</v>
      </c>
      <c r="FD3" s="213" t="s">
        <v>91</v>
      </c>
      <c r="FE3" s="215" t="s">
        <v>173</v>
      </c>
      <c r="FF3" s="210" t="s">
        <v>158</v>
      </c>
      <c r="FG3" s="210" t="s">
        <v>91</v>
      </c>
      <c r="FH3" s="172" t="s">
        <v>170</v>
      </c>
      <c r="FI3" s="172" t="s">
        <v>91</v>
      </c>
      <c r="FJ3" s="174" t="s">
        <v>171</v>
      </c>
      <c r="FK3" s="172" t="s">
        <v>158</v>
      </c>
      <c r="FL3" s="172" t="s">
        <v>174</v>
      </c>
      <c r="FM3" s="342" t="s">
        <v>175</v>
      </c>
      <c r="FN3" s="342" t="s">
        <v>158</v>
      </c>
      <c r="FO3" s="342" t="s">
        <v>91</v>
      </c>
      <c r="FP3" s="366" t="s">
        <v>176</v>
      </c>
      <c r="FQ3" s="210" t="s">
        <v>111</v>
      </c>
      <c r="FR3" s="210" t="s">
        <v>177</v>
      </c>
      <c r="FS3" s="210" t="s">
        <v>110</v>
      </c>
      <c r="FT3" s="210" t="s">
        <v>112</v>
      </c>
      <c r="FU3" s="367" t="s">
        <v>178</v>
      </c>
      <c r="FV3" s="175" t="s">
        <v>179</v>
      </c>
      <c r="FW3" s="175" t="s">
        <v>180</v>
      </c>
      <c r="FX3" s="175" t="s">
        <v>181</v>
      </c>
      <c r="FY3" s="367" t="s">
        <v>182</v>
      </c>
      <c r="FZ3" s="175" t="s">
        <v>183</v>
      </c>
      <c r="GA3" s="176" t="s">
        <v>36</v>
      </c>
      <c r="GB3" s="176" t="s">
        <v>184</v>
      </c>
      <c r="GC3" s="351" t="s">
        <v>2489</v>
      </c>
      <c r="GD3" s="380" t="s">
        <v>2490</v>
      </c>
      <c r="GE3" s="353" t="s">
        <v>187</v>
      </c>
      <c r="GF3" s="355" t="s">
        <v>188</v>
      </c>
      <c r="GG3" s="177" t="s">
        <v>189</v>
      </c>
      <c r="GH3" s="177" t="s">
        <v>189</v>
      </c>
      <c r="GI3" s="378" t="s">
        <v>190</v>
      </c>
      <c r="GJ3" s="365" t="s">
        <v>191</v>
      </c>
      <c r="GK3" s="365" t="s">
        <v>192</v>
      </c>
      <c r="GL3" s="365" t="s">
        <v>193</v>
      </c>
      <c r="GM3" s="392" t="s">
        <v>2491</v>
      </c>
      <c r="GN3" s="365" t="s">
        <v>190</v>
      </c>
      <c r="GO3" s="365" t="s">
        <v>191</v>
      </c>
      <c r="GP3" s="365" t="s">
        <v>192</v>
      </c>
      <c r="GQ3" s="365" t="s">
        <v>193</v>
      </c>
      <c r="GR3" s="392" t="s">
        <v>2492</v>
      </c>
      <c r="GS3" s="178" t="s">
        <v>196</v>
      </c>
      <c r="GT3" s="400" t="s">
        <v>197</v>
      </c>
      <c r="GU3" s="178" t="s">
        <v>196</v>
      </c>
      <c r="GV3" s="178" t="s">
        <v>91</v>
      </c>
      <c r="GW3" s="400" t="s">
        <v>197</v>
      </c>
      <c r="GX3" s="178" t="s">
        <v>91</v>
      </c>
      <c r="GY3" s="178" t="s">
        <v>198</v>
      </c>
      <c r="GZ3" s="179" t="s">
        <v>199</v>
      </c>
      <c r="HA3" s="179" t="s">
        <v>200</v>
      </c>
      <c r="HB3" s="179" t="s">
        <v>201</v>
      </c>
      <c r="HC3" s="179" t="s">
        <v>202</v>
      </c>
      <c r="HD3" s="179" t="s">
        <v>203</v>
      </c>
      <c r="HE3" s="179" t="s">
        <v>199</v>
      </c>
      <c r="HF3" s="179" t="s">
        <v>91</v>
      </c>
      <c r="HG3" s="179" t="s">
        <v>200</v>
      </c>
      <c r="HH3" s="179" t="s">
        <v>91</v>
      </c>
      <c r="HI3" s="180" t="s">
        <v>201</v>
      </c>
      <c r="HJ3" s="181" t="s">
        <v>91</v>
      </c>
      <c r="HK3" s="180" t="s">
        <v>204</v>
      </c>
      <c r="HL3" s="128" t="s">
        <v>205</v>
      </c>
      <c r="HM3" s="128" t="s">
        <v>206</v>
      </c>
      <c r="HN3" s="128" t="s">
        <v>207</v>
      </c>
      <c r="HO3" s="127" t="s">
        <v>205</v>
      </c>
      <c r="HP3" s="127" t="s">
        <v>91</v>
      </c>
      <c r="HQ3" s="127" t="s">
        <v>206</v>
      </c>
      <c r="HR3" s="128" t="s">
        <v>91</v>
      </c>
      <c r="HS3" s="182" t="s">
        <v>208</v>
      </c>
      <c r="HT3" s="182" t="s">
        <v>209</v>
      </c>
      <c r="HU3" s="128" t="s">
        <v>208</v>
      </c>
      <c r="HV3" s="128" t="s">
        <v>91</v>
      </c>
      <c r="HW3" s="182" t="s">
        <v>209</v>
      </c>
      <c r="HX3" s="182" t="s">
        <v>91</v>
      </c>
      <c r="HY3" s="128" t="s">
        <v>210</v>
      </c>
      <c r="HZ3" s="126" t="s">
        <v>91</v>
      </c>
      <c r="IA3" s="128" t="s">
        <v>210</v>
      </c>
      <c r="IB3" s="126" t="s">
        <v>91</v>
      </c>
    </row>
    <row r="4" spans="1:236" ht="58" x14ac:dyDescent="0.35">
      <c r="A4" t="str">
        <f>[1]FINAL!$A$5</f>
        <v>CAS NUMBER</v>
      </c>
      <c r="B4" t="str">
        <f>[1]FINAL!$C$5</f>
        <v>Nestle ID</v>
      </c>
      <c r="C4" t="s">
        <v>2493</v>
      </c>
      <c r="F4" t="str">
        <f>[1]FINAL!$D$5</f>
        <v>SMILES</v>
      </c>
      <c r="I4" t="str">
        <f>[1]FINAL!$B$5</f>
        <v>CHEMICAL NAME</v>
      </c>
      <c r="K4" t="str">
        <f>[1]MUTA_Ames!$H$9</f>
        <v>SBL</v>
      </c>
      <c r="M4" t="str">
        <f>[1]MUTA_Ames!$AZ$9</f>
        <v>genotoxicity</v>
      </c>
      <c r="N4" t="s">
        <v>2494</v>
      </c>
      <c r="O4" t="str">
        <f>[1]MUTA_Ames!$BD$9</f>
        <v>CAESAR</v>
      </c>
      <c r="Q4" t="str">
        <f>[1]MUTA_Ames!$BE$9</f>
        <v>SarPy</v>
      </c>
      <c r="S4" t="str">
        <f>[1]MUTA_Ames!$BF$9</f>
        <v>ISS</v>
      </c>
      <c r="U4" t="str">
        <f>[1]MUTA_Ames!$BG$9</f>
        <v>KNN</v>
      </c>
      <c r="W4" s="390" t="str">
        <f>[1]MUTA_Ames!$BK$9</f>
        <v>Bacterial Mutation Alerts v8 Experimental Value</v>
      </c>
      <c r="X4" s="390" t="str">
        <f>[1]MUTA_Ames!$BH$9</f>
        <v>Bacterial Mutation v2 Experimental Value</v>
      </c>
      <c r="Z4" s="390" t="str">
        <f>[1]MUTA_Ames!$BJ$9</f>
        <v>Salmonella Mut v4 Experimental Value</v>
      </c>
      <c r="AB4" s="390" t="str">
        <f>[1]MUTA_Ames!$BI$9</f>
        <v>E Coli - Sal 102 A-T Mut v2 Experimental Value</v>
      </c>
      <c r="AD4" t="str">
        <f>[1]MUTA_Ames!$CA$9</f>
        <v>ECHA</v>
      </c>
      <c r="AF4" t="str">
        <f>[1]MUTA_Ames!$CB$9</f>
        <v>ICE</v>
      </c>
      <c r="AH4" t="str">
        <f>[1]MUTA_Ames!$HD$8</f>
        <v>AMES Overall</v>
      </c>
      <c r="AJ4" s="390" t="str">
        <f>[1]MUTA_Ames!$EQ$9</f>
        <v>Predicted Consensus Mutagen activity</v>
      </c>
      <c r="AK4" t="str">
        <f>[1]MUTA_Ames!$ER$9</f>
        <v>Mutagenic Score</v>
      </c>
      <c r="AL4" t="str">
        <f>[1]MUTA_Ames!$ES$9</f>
        <v>Non-Mutagenic Score</v>
      </c>
      <c r="AM4" t="str">
        <f>[1]MUTA_Ames!$ET$9</f>
        <v>CAESAR Ass</v>
      </c>
      <c r="AN4" t="str">
        <f>[1]MUTA_Ames!$EU$9</f>
        <v>Reliability</v>
      </c>
      <c r="AO4" t="str">
        <f>[1]MUTA_Ames!$EZ$9</f>
        <v>SarPy Ass</v>
      </c>
      <c r="AP4" t="str">
        <f>[1]MUTA_Ames!$FA$9</f>
        <v>Reliability</v>
      </c>
      <c r="AQ4" t="str">
        <f>[1]MUTA_Ames!$EW$9</f>
        <v>ISS Ass</v>
      </c>
      <c r="AR4" t="str">
        <f>[1]MUTA_Ames!$EX$9</f>
        <v>Reliability</v>
      </c>
      <c r="AS4" t="str">
        <f>[1]MUTA_Ames!$FC$9</f>
        <v>KNN Ass</v>
      </c>
      <c r="AT4" t="str">
        <f>[1]MUTA_Ames!$FD$9</f>
        <v>Reliability</v>
      </c>
      <c r="AU4" s="390" t="str">
        <f>[1]MUTA_Ames!$FF$9</f>
        <v>Bacterial Mutation Consensus</v>
      </c>
      <c r="AW4" s="390" t="str">
        <f>[1]MUTA_Ames!$FM$9</f>
        <v>Bacterial Mutation Alerts v8 Prediction</v>
      </c>
      <c r="AX4" s="390" t="str">
        <f>[1]MUTA_Ames!$FO$9</f>
        <v>Bacterial Mutation Alerts v8 Matched Alerts</v>
      </c>
      <c r="AY4" s="390" t="str">
        <f>[1]MUTA_Ames!$FG$9</f>
        <v>Bacterial Mutation v2 Prediction</v>
      </c>
      <c r="AZ4" s="390" t="str">
        <f>[1]MUTA_Ames!$FH$9</f>
        <v>Bacterial Mutation v2 Positive Prediction Probability</v>
      </c>
      <c r="BB4" s="390" t="str">
        <f>[1]MUTA_Ames!$FK$9</f>
        <v>Salmonella Mut v4 Prediction</v>
      </c>
      <c r="BC4" s="390" t="str">
        <f>[1]MUTA_Ames!$FL$9</f>
        <v>Salmonella Mut v4 Positive Prediction Probability</v>
      </c>
      <c r="BD4" s="390" t="str">
        <f>[1]MUTA_Ames!$FI$9</f>
        <v>E Coli - Sal 102 A-T Mut v2 Prediction</v>
      </c>
      <c r="BE4" s="390" t="str">
        <f>[1]MUTA_Ames!$FJ$9</f>
        <v>E Coli - Sal 102 A-T Mut v2 Positive Prediction Probability</v>
      </c>
      <c r="BF4" t="str">
        <f>[1]FINAL!$H$5</f>
        <v>Call</v>
      </c>
      <c r="BG4" t="str">
        <f>[1]FINAL!$I$5</f>
        <v>VEGA Reliability</v>
      </c>
      <c r="BH4" t="str">
        <f>[1]FINAL!$J$4</f>
        <v>Exp/prediction</v>
      </c>
      <c r="BI4" t="str">
        <f>[1]FINAL!$K$4</f>
        <v>Source</v>
      </c>
      <c r="BK4" t="str">
        <f>[1]MUTA_Ames!$CE$9</f>
        <v>ECHA</v>
      </c>
      <c r="BL4" s="390" t="str">
        <f>[1]MUTA_Ames!$HG$8</f>
        <v>in vitro MN Overall</v>
      </c>
      <c r="BM4" t="str">
        <f>[1]MUTA_Ames!$CG$9</f>
        <v>VEGA</v>
      </c>
      <c r="BO4" t="str">
        <f>[1]MUTA_Ames!$CH$9</f>
        <v>LS</v>
      </c>
      <c r="BP4" t="str">
        <f>[1]MUTA_Ames!$CM$9</f>
        <v>ECVAM</v>
      </c>
      <c r="BQ4" t="str">
        <f>[1]MUTA_Ames!$CN$9</f>
        <v>ICE</v>
      </c>
      <c r="BR4" t="str">
        <f>[1]MUTA_Ames!$CO$9</f>
        <v>ECHA</v>
      </c>
      <c r="BS4" t="str">
        <f>[1]MUTA_Ames!$EH$9</f>
        <v>Experimental</v>
      </c>
      <c r="BU4" s="390" t="str">
        <f>[1]MUTA_Ames!$DX$9</f>
        <v>MN (IRFMN/VERMEER) Ass</v>
      </c>
      <c r="BV4" t="str">
        <f>[1]MUTA_Ames!$DY$9</f>
        <v>Reliability</v>
      </c>
      <c r="BW4" s="390" t="str">
        <f>[1]MUTA_Ames!$EC$9</f>
        <v>MN (IRFMN) Ass</v>
      </c>
      <c r="BX4" s="390" t="str">
        <f>[1]MUTA_Ames!$EG$9</f>
        <v>Reliability + Consensus status</v>
      </c>
      <c r="BY4" t="str">
        <f>[1]MUTA_Ames!$CP$9</f>
        <v>LS</v>
      </c>
      <c r="BZ4" s="390" t="str">
        <f>[1]MUTA_Ames!$CQ$9</f>
        <v>LS Positive Prediction Probability</v>
      </c>
      <c r="CA4" s="390" t="str">
        <f>[1]MUTA_Ames!$CR$9</f>
        <v>Structure Alerts  in vivo MN in rodents, ToxTree</v>
      </c>
      <c r="CC4" s="390" t="str">
        <f>[1]MUTA_Ames!$CT$9</f>
        <v>Mouse Lymphoma Act v2 Experimental Value</v>
      </c>
      <c r="CD4" s="390" t="str">
        <f>[1]MUTA_Ames!$CW$9</f>
        <v>Mouse Lymphoma Unact v2 Experimental Value</v>
      </c>
      <c r="CF4" s="390" t="str">
        <f>[1]MUTA_Ames!$CS$9</f>
        <v>Mouse Lymphoma Act v2 Prediction</v>
      </c>
      <c r="CG4" s="390" t="str">
        <f>[1]MUTA_Ames!$CU$9</f>
        <v>Mouse Lymphoma Act v2 Positive Prediction Probability</v>
      </c>
      <c r="CH4" s="390" t="str">
        <f>[1]MUTA_Ames!$CV$9</f>
        <v>Mouse Lymphoma Unact v2 Prediction</v>
      </c>
      <c r="CI4" s="390" t="str">
        <f>[1]MUTA_Ames!$CX$9</f>
        <v>Mouse Lymphoma Unact v2 Positive Prediction Probability</v>
      </c>
      <c r="CK4" s="390" t="str">
        <f>[1]MUTA_Ames!$DC$9</f>
        <v>In Vitro Chrom Ab CHO v2 Experimental Value</v>
      </c>
      <c r="CL4" s="390" t="str">
        <f>[1]MUTA_Ames!$CZ$9</f>
        <v>In Vitro Chrom Ab CHL v2 Experimental Value</v>
      </c>
      <c r="CM4" t="str">
        <f>[1]MUTA_Ames!$EM$9</f>
        <v>Experimental</v>
      </c>
      <c r="CN4" s="390" t="str">
        <f>[1]MUTA_Ames!$HH$8</f>
        <v>in vitro CA  Overall</v>
      </c>
      <c r="CP4" s="390" t="str">
        <f>[1]MUTA_Ames!$DF$9</f>
        <v>chrom ab(A7P) v2 Experimental Value</v>
      </c>
      <c r="CQ4" s="390" t="str">
        <f>[1]MUTA_Ames!$DI$9</f>
        <v>chrom ab other rodent(A7R) v1 Experimental Value</v>
      </c>
      <c r="CR4" s="390" t="str">
        <f>[1]MUTA_Ames!$DL$9</f>
        <v>chrom ab rat (A7Q) v1 Experimental Value</v>
      </c>
      <c r="CS4" s="390" t="str">
        <f>[1]MUTA_Ames!$HM$8</f>
        <v>in vivo CA Overall</v>
      </c>
      <c r="CW4" s="390" t="str">
        <f>[1]MUTA_Ames!$DB$9</f>
        <v>In Vitro Chrom Ab CHO v2 Prediction</v>
      </c>
      <c r="CX4" s="390" t="str">
        <f>[1]MUTA_Ames!$CY$9</f>
        <v>In Vitro Chrom Ab CHL v2 Prediction</v>
      </c>
      <c r="CY4" s="390" t="str">
        <f>[1]MUTA_Ames!$EJ$9</f>
        <v>Chromosomal aberration Ass</v>
      </c>
      <c r="CZ4" s="390" t="str">
        <f>[1]MUTA_Ames!$DE$9</f>
        <v>chrom ab(A7P) v2 Prediction</v>
      </c>
      <c r="DA4" s="390" t="str">
        <f>[1]MUTA_Ames!$DH$9</f>
        <v>chrom ab other rodent(A7R) v1 Prediction</v>
      </c>
      <c r="DB4" s="390" t="str">
        <f>[1]MUTA_Ames!$DK$9</f>
        <v>chrom ab rat (A7Q) v1 Prediction</v>
      </c>
      <c r="DC4" t="str">
        <f>[1]MUTA_Ames!$IH$9</f>
        <v>In Vitro SCE CHO v1 Experimental Value</v>
      </c>
      <c r="DD4" t="str">
        <f>[1]MUTA_Ames!$IK$9</f>
        <v>In Vitro SCE Comp v1 Experimental Value</v>
      </c>
      <c r="DE4" t="str">
        <f>[1]MUTA_Ames!$IE$9</f>
        <v>SCE in vitro other (A8I) v1 Experimental Value</v>
      </c>
      <c r="DF4" t="str">
        <f>[1]MUTA_Ames!$IB$9</f>
        <v>In Vivo Rodent Mut v1 Experimental Value</v>
      </c>
      <c r="DG4" t="str">
        <f>[1]MUTA_Ames!$HY$9</f>
        <v>In Vivo Rodent DL Mut v1 Experimental Value</v>
      </c>
      <c r="DH4" t="str">
        <f>[1]MUTA_Ames!$HN$8</f>
        <v>TGR Overall</v>
      </c>
      <c r="DI4" t="str">
        <f>[1]MUTA_Ames!$HO$8</f>
        <v>in vivo UDS Overall</v>
      </c>
      <c r="DJ4" t="str">
        <f>[1]MUTA_Ames!$HP$8</f>
        <v xml:space="preserve"> in vivo DNA damage Overall</v>
      </c>
      <c r="DL4" t="str">
        <f>[1]MUTA_Ames!$IG$9</f>
        <v>In Vitro SCE CHO v1 Prediction</v>
      </c>
      <c r="DM4" t="str">
        <f>[1]MUTA_Ames!$IJ$9</f>
        <v>In Vitro SCE Comp v1 Prediction</v>
      </c>
      <c r="DN4" t="str">
        <f>[1]MUTA_Ames!$ID$9</f>
        <v>SCE in vitro other (A8I) v1 Prediction</v>
      </c>
      <c r="DO4" t="str">
        <f>[1]MUTA_Ames!$IA$9</f>
        <v>In Vivo Rodent Mut v1 Prediction</v>
      </c>
      <c r="DP4" t="str">
        <f>[1]MUTA_Ames!$HX$9</f>
        <v>In Vivo Rodent DL Mut v1 Prediction</v>
      </c>
      <c r="DQ4" t="str">
        <f>[1]TD50!$CU$3</f>
        <v>Rat</v>
      </c>
      <c r="DR4" t="str">
        <f>[1]TD50!$CV$3</f>
        <v>Mouse</v>
      </c>
      <c r="DS4" t="str">
        <f>[1]TD50!$AL$3</f>
        <v>Rat_TD50 (mg/kg/day)</v>
      </c>
      <c r="DT4" t="str">
        <f>[1]TD50!$AM$3</f>
        <v>AD info</v>
      </c>
      <c r="DU4" t="str">
        <f>[1]TD50!$AN$3</f>
        <v>Mouse_TD50  (mg/kg/day )</v>
      </c>
      <c r="DV4" t="str">
        <f>[1]TD50!$AO$3</f>
        <v>AD info</v>
      </c>
      <c r="DW4" t="str">
        <f>[1]TD50!$S$3</f>
        <v>Prediction (mg/kg_bw/day)</v>
      </c>
      <c r="DX4" t="str">
        <f>[1]TD50!$W$3</f>
        <v>inApplicabilityDomain</v>
      </c>
      <c r="DY4" t="str">
        <f>[1]TD50!$AB$3</f>
        <v>Prediction (mg/kg_bw/day)</v>
      </c>
      <c r="DZ4" t="str">
        <f>[1]TD50!$AF$3</f>
        <v>inApplicabilityDomain</v>
      </c>
      <c r="EA4" t="str">
        <f>[1]NOAEL_15_july!$J$8</f>
        <v>VEGA</v>
      </c>
      <c r="EB4" t="str">
        <f>[1]NOAEL_15_july!$AR$8</f>
        <v>Liver NOAEL</v>
      </c>
      <c r="ED4" t="str">
        <f>[1]NOAEL_15_july!$L$8</f>
        <v>EFSA human</v>
      </c>
      <c r="EE4" t="str">
        <f>[1]NOAEL_15_july!$M$8</f>
        <v>EFSA animal</v>
      </c>
      <c r="EG4" t="str">
        <f>[1]NOAEL_15_july!$O$8</f>
        <v>EFSA ToolBox</v>
      </c>
      <c r="EI4" t="str">
        <f>[1]NOAEL_15_july!$Q$8</f>
        <v>Munro Toolbox</v>
      </c>
      <c r="EK4" t="str">
        <f>[1]NOAEL_15_july!$S$8</f>
        <v>ECHA</v>
      </c>
      <c r="EM4" t="str">
        <f>[1]NOAEL_15_july!$AV$8</f>
        <v>Liver LOAEL/10</v>
      </c>
      <c r="EN4" s="5" t="str">
        <f>[1]NOAEL_15_july!$U$8</f>
        <v>Lazar</v>
      </c>
      <c r="EQ4" t="str">
        <f>[1]NOAEL_15_july!$W$8</f>
        <v>EFSA human</v>
      </c>
      <c r="ES4" t="str">
        <f>[1]NOAEL_15_july!$X$8</f>
        <v>EFSA animal</v>
      </c>
      <c r="EU4" t="str">
        <f>[1]NOAEL_15_july!$Z$8</f>
        <v>EFSA ToolBox</v>
      </c>
      <c r="EW4" t="str">
        <f>[1]NOAEL_15_july!$AB$8</f>
        <v>Munro ToolBox</v>
      </c>
      <c r="EY4" t="str">
        <f>[1]NOAEL_15_july!$AD$8</f>
        <v>ECHA</v>
      </c>
      <c r="FA4" t="str">
        <f>[1]NOAEL_15_july!$AP$8</f>
        <v>VEGA sub-chronic NOAEL</v>
      </c>
      <c r="FB4" t="str">
        <f>[1]NOAEL_15_july!$AQ$8</f>
        <v>reliability</v>
      </c>
      <c r="FC4" t="str">
        <f>[1]NOAEL_15_july!$AR$8</f>
        <v>Liver NOAEL</v>
      </c>
      <c r="FD4" t="str">
        <f>[1]NOAEL_15_july!$AS$8</f>
        <v>Reliability</v>
      </c>
      <c r="FE4" s="5" t="str">
        <f>[1]NOAEL_15_july!$BN$8</f>
        <v>sub-chronic NOAEL</v>
      </c>
      <c r="FF4" s="418" t="str">
        <f>[1]NOAEL_15_july!$BO$8</f>
        <v>Prediction is in AD?</v>
      </c>
      <c r="FH4" t="str">
        <f>[1]NOAEL_15_july!$AU$8</f>
        <v>Liver LOAEL</v>
      </c>
      <c r="FI4" t="str">
        <f>[1]NOAEL_15_july!$AW$8</f>
        <v>Reliability</v>
      </c>
      <c r="FJ4" s="5" t="str">
        <f>[1]NOAEL_15_july!$AL$8</f>
        <v>Helma</v>
      </c>
      <c r="FK4" t="str">
        <f>[1]NOAEL_15_july!$AN$8</f>
        <v>AD info</v>
      </c>
      <c r="FL4" t="str">
        <f>[1]NOAEL_15_july!$AI$8</f>
        <v>Mazzatorta</v>
      </c>
      <c r="FM4" s="5" t="str">
        <f>[1]NOAEL_15_july!$BQ$8</f>
        <v>sub-chronic LOAEL</v>
      </c>
      <c r="FN4" s="418" t="str">
        <f>[1]NOAEL_15_july!$BR$8</f>
        <v>Prediction is in AD?</v>
      </c>
      <c r="FP4" s="5" t="str">
        <f>[1]FINAL!$AH$5</f>
        <v>Final MIN EXP overrule</v>
      </c>
      <c r="FQ4" s="417" t="str">
        <f>[1]FINAL!$CB$4</f>
        <v>Source of MIN PREDICTION Exp superside</v>
      </c>
      <c r="FS4" t="str">
        <f>[1]FINAL!$BA$5</f>
        <v>Exp/prediction</v>
      </c>
      <c r="FU4" t="str">
        <f>[1]FINAL!$BR$4</f>
        <v>subchronic to chronic (UF 2)</v>
      </c>
      <c r="FV4">
        <v>10</v>
      </c>
      <c r="FW4">
        <v>10</v>
      </c>
      <c r="FX4" t="str">
        <f>[1]FINAL!$BS$4</f>
        <v>LOAEL to NOAEL (UF 10)</v>
      </c>
      <c r="FY4" t="str">
        <f>[1]FINAL!$BT$4</f>
        <v>DB UF (3-10)</v>
      </c>
      <c r="FZ4" t="str">
        <f>[1]FINAL!$BU$4</f>
        <v>SF applied</v>
      </c>
      <c r="GA4" t="str">
        <f>[1]Cramer_Class!$T$6</f>
        <v>Cramer</v>
      </c>
      <c r="GB4" s="390" t="str">
        <f>[1]FINAL!$BD$3</f>
        <v>Cramer class with extensions</v>
      </c>
      <c r="GC4" t="str">
        <f>[1]FINAL!$BM$3</f>
        <v xml:space="preserve">TTC </v>
      </c>
      <c r="GD4" t="str">
        <f>[1]FINAL!$BN$5</f>
        <v xml:space="preserve">TTC source </v>
      </c>
      <c r="GE4" t="str">
        <f>[1]FINAL!$BP$5</f>
        <v>mg/kg bw/d</v>
      </c>
      <c r="GF4" s="5" t="str">
        <f>[1]FINAL!$CK$5</f>
        <v>mg/kg bw/d</v>
      </c>
      <c r="GI4" t="str">
        <f>[1]FINAL!$GR$5</f>
        <v>mg/kg food</v>
      </c>
      <c r="GJ4" t="str">
        <f>[1]FINAL!$GV$5</f>
        <v>mg/kg food</v>
      </c>
      <c r="GK4" t="str">
        <f>[1]FINAL!$GZ$5</f>
        <v>mg/kg food</v>
      </c>
      <c r="GL4" t="str">
        <f>[1]FINAL!$HD$5</f>
        <v>mg/kg food</v>
      </c>
      <c r="GM4" t="str">
        <f>[1]FINAL!$GN$5</f>
        <v>Remarks chemical specific</v>
      </c>
      <c r="GN4" t="str">
        <f>[1]FINAL!$GP$5</f>
        <v>mg/kg food</v>
      </c>
      <c r="GO4" t="str">
        <f>[1]FINAL!$GT$5</f>
        <v>mg/kg food</v>
      </c>
      <c r="GP4" t="str">
        <f>[1]FINAL!$GX$5</f>
        <v>mg/kg food</v>
      </c>
      <c r="GQ4" t="str">
        <f>[1]FINAL!$HB$5</f>
        <v>mg/kg food</v>
      </c>
      <c r="GR4" t="str">
        <f>[1]FINAL!$GM$5</f>
        <v>Remarks TTC-derived</v>
      </c>
      <c r="GS4" t="str">
        <f>[1]DART_ER_AR_Thy_Arom!$L$11</f>
        <v>Dev Experimental</v>
      </c>
      <c r="GT4" t="str">
        <f>[1]DART_ER_AR_Thy_Arom!$P$11</f>
        <v>Experimental</v>
      </c>
      <c r="GU4" t="str">
        <f>[1]DART_ER_AR_Thy_Arom!$J$11</f>
        <v>Assessment</v>
      </c>
      <c r="GV4" t="str">
        <f>[1]DART_ER_AR_Thy_Arom!$K$11</f>
        <v>Reliability</v>
      </c>
      <c r="GW4" t="str">
        <f>[1]DART_ER_AR_Thy_Arom!$N$11</f>
        <v>Assessment</v>
      </c>
      <c r="GX4" t="str">
        <f>[1]DART_ER_AR_Thy_Arom!$O$11</f>
        <v>Reliability</v>
      </c>
      <c r="GY4" t="str">
        <f>[1]DART_ER_AR_Thy_Arom!$V$11</f>
        <v>DART scheme</v>
      </c>
      <c r="GZ4" t="str">
        <f>[1]DART_ER_AR_Thy_Arom!$AP$11</f>
        <v>Experimental</v>
      </c>
      <c r="HA4" t="str">
        <f>[1]DART_ER_AR_Thy_Arom!$AL$11</f>
        <v>Experimental</v>
      </c>
      <c r="HB4" t="str">
        <f>[1]DART_ER_AR_Thy_Arom!$AZ$11</f>
        <v>Experimental</v>
      </c>
      <c r="HE4" t="str">
        <f>[1]DART_ER_AR_Thy_Arom!$AN$11</f>
        <v>Assessment</v>
      </c>
      <c r="HF4" t="str">
        <f>[1]DART_ER_AR_Thy_Arom!$AO$11</f>
        <v>Reliability</v>
      </c>
      <c r="HG4" t="str">
        <f>[1]DART_ER_AR_Thy_Arom!$AJ$11</f>
        <v>Assessment</v>
      </c>
      <c r="HH4" t="str">
        <f>[1]DART_ER_AR_Thy_Arom!$AK$11</f>
        <v>Reliability</v>
      </c>
      <c r="HI4" t="str">
        <f>[1]DART_ER_AR_Thy_Arom!$AX$11</f>
        <v>Assessment</v>
      </c>
      <c r="HJ4" t="str">
        <f>[1]DART_ER_AR_Thy_Arom!$AY$11</f>
        <v>Reliability</v>
      </c>
      <c r="HK4" s="390" t="str">
        <f>[1]DART_ER_AR_Thy_Arom!$AR$11</f>
        <v>Estrogen Receptor Binding</v>
      </c>
      <c r="HL4" t="str">
        <f>[1]DART_ER_AR_Thy_Arom!$BO$11</f>
        <v>Experimental</v>
      </c>
      <c r="HM4" t="str">
        <f>[1]DART_ER_AR_Thy_Arom!$BR$11</f>
        <v>Experimental</v>
      </c>
      <c r="HO4" t="str">
        <f>[1]DART_ER_AR_Thy_Arom!$BM$11</f>
        <v>Assessment</v>
      </c>
      <c r="HP4" t="str">
        <f>[1]DART_ER_AR_Thy_Arom!$BN$11</f>
        <v>Reliability</v>
      </c>
      <c r="HQ4" t="str">
        <f>[1]DART_ER_AR_Thy_Arom!$BP$11</f>
        <v>Assessment</v>
      </c>
      <c r="HR4" t="str">
        <f>[1]DART_ER_AR_Thy_Arom!$BQ$11</f>
        <v>Reliability</v>
      </c>
      <c r="HS4" t="str">
        <f>[1]DART_ER_AR_Thy_Arom!$BU$11</f>
        <v>Experimental</v>
      </c>
      <c r="HT4" t="str">
        <f>[1]DART_ER_AR_Thy_Arom!$BX$11</f>
        <v>Experimental</v>
      </c>
      <c r="HU4" t="str">
        <f>[1]DART_ER_AR_Thy_Arom!$BU$11</f>
        <v>Experimental</v>
      </c>
      <c r="HV4" t="str">
        <f>[1]DART_ER_AR_Thy_Arom!$BT$11</f>
        <v>Reliability</v>
      </c>
      <c r="HW4" t="str">
        <f>[1]DART_ER_AR_Thy_Arom!$BV$11</f>
        <v>Assessment</v>
      </c>
      <c r="HX4" t="str">
        <f>[1]DART_ER_AR_Thy_Arom!$BW$11</f>
        <v>Reliability</v>
      </c>
      <c r="HY4" t="str">
        <f>[1]DART_ER_AR_Thy_Arom!$BE$11</f>
        <v>Experimental</v>
      </c>
      <c r="IA4" s="390" t="str">
        <f>[1]DART_ER_AR_Thy_Arom!$BD$10</f>
        <v>Endocrine Disruptor activity screening (IRFMN)-assessment</v>
      </c>
    </row>
    <row r="5" spans="1:236" x14ac:dyDescent="0.35">
      <c r="BL5" s="390"/>
    </row>
  </sheetData>
  <mergeCells count="76">
    <mergeCell ref="HE2:HK2"/>
    <mergeCell ref="HO2:HR2"/>
    <mergeCell ref="IA2:IB2"/>
    <mergeCell ref="HY1:HZ1"/>
    <mergeCell ref="EU2:EZ2"/>
    <mergeCell ref="FC2:FG2"/>
    <mergeCell ref="FH2:FO2"/>
    <mergeCell ref="FP2:FT2"/>
    <mergeCell ref="FU2:FZ2"/>
    <mergeCell ref="GS2:GT2"/>
    <mergeCell ref="HL1:HN1"/>
    <mergeCell ref="HO1:HR1"/>
    <mergeCell ref="HS1:HT1"/>
    <mergeCell ref="HU1:HX1"/>
    <mergeCell ref="GA1:GB1"/>
    <mergeCell ref="GE1:GH1"/>
    <mergeCell ref="EM1:EZ1"/>
    <mergeCell ref="GU2:GY2"/>
    <mergeCell ref="GZ2:HD2"/>
    <mergeCell ref="EQ2:ET2"/>
    <mergeCell ref="CZ2:DB2"/>
    <mergeCell ref="DC2:DE2"/>
    <mergeCell ref="DF2:DK2"/>
    <mergeCell ref="DL2:DN2"/>
    <mergeCell ref="DO2:DP2"/>
    <mergeCell ref="DQ2:DR2"/>
    <mergeCell ref="DS2:DZ2"/>
    <mergeCell ref="EA2:EC2"/>
    <mergeCell ref="ED2:EF2"/>
    <mergeCell ref="EG2:EL2"/>
    <mergeCell ref="EM2:EO2"/>
    <mergeCell ref="DC1:DK1"/>
    <mergeCell ref="CW2:CY2"/>
    <mergeCell ref="AJ2:AT2"/>
    <mergeCell ref="AU2:BA2"/>
    <mergeCell ref="BB2:BE2"/>
    <mergeCell ref="BK2:BN2"/>
    <mergeCell ref="BO2:BT2"/>
    <mergeCell ref="BU2:BV2"/>
    <mergeCell ref="BW2:CB2"/>
    <mergeCell ref="CC2:CE2"/>
    <mergeCell ref="CF2:CI2"/>
    <mergeCell ref="CJ2:CO2"/>
    <mergeCell ref="CP2:CV2"/>
    <mergeCell ref="IA1:IB1"/>
    <mergeCell ref="A2:I2"/>
    <mergeCell ref="M2:N2"/>
    <mergeCell ref="O2:V2"/>
    <mergeCell ref="W2:AC2"/>
    <mergeCell ref="AD2:AI2"/>
    <mergeCell ref="GI1:GL1"/>
    <mergeCell ref="GN1:GQ1"/>
    <mergeCell ref="GS1:GT1"/>
    <mergeCell ref="GU1:GY1"/>
    <mergeCell ref="GZ1:HD1"/>
    <mergeCell ref="HE1:HK1"/>
    <mergeCell ref="FC1:FG1"/>
    <mergeCell ref="FH1:FL1"/>
    <mergeCell ref="FP1:FT1"/>
    <mergeCell ref="FU1:FZ1"/>
    <mergeCell ref="DL1:DP1"/>
    <mergeCell ref="DQ1:DR1"/>
    <mergeCell ref="DS1:DZ1"/>
    <mergeCell ref="EA1:EL1"/>
    <mergeCell ref="CW1:DB1"/>
    <mergeCell ref="A1:I1"/>
    <mergeCell ref="J1:L1"/>
    <mergeCell ref="M1:N1"/>
    <mergeCell ref="O1:AI1"/>
    <mergeCell ref="AJ1:BE1"/>
    <mergeCell ref="CJ1:CV1"/>
    <mergeCell ref="BF1:BJ1"/>
    <mergeCell ref="BK1:BT1"/>
    <mergeCell ref="BU1:CB1"/>
    <mergeCell ref="CC1:CE1"/>
    <mergeCell ref="CF1:CI1"/>
  </mergeCells>
  <conditionalFormatting sqref="O1:P2">
    <cfRule type="containsText" dxfId="22" priority="8" operator="containsText" text="POS">
      <formula>NOT(ISERROR(SEARCH("POS",O1)))</formula>
    </cfRule>
  </conditionalFormatting>
  <conditionalFormatting sqref="AJ2">
    <cfRule type="containsText" dxfId="20" priority="4" operator="containsText" text="POS">
      <formula>NOT(ISERROR(SEARCH("POS",AJ2)))</formula>
    </cfRule>
  </conditionalFormatting>
  <conditionalFormatting sqref="AJ1:AL1">
    <cfRule type="containsText" dxfId="18" priority="2" operator="containsText" text="POS">
      <formula>NOT(ISERROR(SEARCH("POS",AJ1)))</formula>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beginsWith" priority="7" operator="beginsWith" id="{A9AAF4BA-506E-4762-A75C-4AAF4A19050F}">
            <xm:f>LEFT(O1,LEN("-"))="-"</xm:f>
            <xm:f>"-"</xm:f>
            <x14:dxf>
              <fill>
                <patternFill patternType="lightHorizontal">
                  <bgColor theme="0" tint="-4.9989318521683403E-2"/>
                </patternFill>
              </fill>
            </x14:dxf>
          </x14:cfRule>
          <xm:sqref>O1:P2</xm:sqref>
        </x14:conditionalFormatting>
        <x14:conditionalFormatting xmlns:xm="http://schemas.microsoft.com/office/excel/2006/main">
          <x14:cfRule type="beginsWith" priority="3" operator="beginsWith" id="{DAE5D04A-320A-4C1C-B86D-3985D02BE641}">
            <xm:f>LEFT(AJ2,LEN("-"))="-"</xm:f>
            <xm:f>"-"</xm:f>
            <x14:dxf>
              <fill>
                <patternFill patternType="lightHorizontal">
                  <bgColor theme="0" tint="-4.9989318521683403E-2"/>
                </patternFill>
              </fill>
            </x14:dxf>
          </x14:cfRule>
          <xm:sqref>AJ2</xm:sqref>
        </x14:conditionalFormatting>
        <x14:conditionalFormatting xmlns:xm="http://schemas.microsoft.com/office/excel/2006/main">
          <x14:cfRule type="beginsWith" priority="1" operator="beginsWith" id="{3BD6EB87-4F6C-4A9F-8D57-D4CBDAF877D7}">
            <xm:f>LEFT(AJ1,LEN("-"))="-"</xm:f>
            <xm:f>"-"</xm:f>
            <x14:dxf>
              <fill>
                <patternFill patternType="lightHorizontal">
                  <bgColor theme="0" tint="-4.9989318521683403E-2"/>
                </patternFill>
              </fill>
            </x14:dxf>
          </x14:cfRule>
          <xm:sqref>AJ1:AL1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C739-42F3-4699-9F08-DB6C8F16F760}">
  <dimension ref="A3:H235"/>
  <sheetViews>
    <sheetView topLeftCell="H1" workbookViewId="0">
      <selection activeCell="H5" sqref="H5"/>
    </sheetView>
  </sheetViews>
  <sheetFormatPr defaultRowHeight="14.5" x14ac:dyDescent="0.35"/>
  <cols>
    <col min="1" max="1" width="12.54296875" customWidth="1"/>
    <col min="2" max="2" width="30.54296875" bestFit="1" customWidth="1"/>
    <col min="4" max="4" width="42.54296875" customWidth="1"/>
    <col min="5" max="5" width="3" customWidth="1"/>
    <col min="6" max="6" width="17.1796875" customWidth="1"/>
    <col min="8" max="8" width="22.81640625" customWidth="1"/>
  </cols>
  <sheetData>
    <row r="3" spans="1:8" x14ac:dyDescent="0.35">
      <c r="A3" t="s">
        <v>2495</v>
      </c>
    </row>
    <row r="5" spans="1:8" x14ac:dyDescent="0.35">
      <c r="A5" t="s">
        <v>2496</v>
      </c>
      <c r="B5" s="309" t="s">
        <v>2497</v>
      </c>
      <c r="C5" t="s">
        <v>2498</v>
      </c>
      <c r="D5" t="str">
        <f>'List of all columns'!G3</f>
        <v>STRUCTURE</v>
      </c>
      <c r="E5" t="s">
        <v>523</v>
      </c>
      <c r="F5" t="str">
        <f>'List of all columns'!H3</f>
        <v>CLOB</v>
      </c>
      <c r="G5" t="s">
        <v>2499</v>
      </c>
      <c r="H5" t="str">
        <f>_xlfn.CONCAT(A5:G5)</f>
        <v>ALTER TABLE NES_PAN_UPLOAD_TOXICOLOGY  ADD STRUCTURE CLOB;</v>
      </c>
    </row>
    <row r="6" spans="1:8" x14ac:dyDescent="0.35">
      <c r="A6" t="s">
        <v>2496</v>
      </c>
      <c r="B6" s="309" t="s">
        <v>2497</v>
      </c>
      <c r="C6" t="s">
        <v>2498</v>
      </c>
      <c r="D6" t="str">
        <f>'List of all columns'!G4</f>
        <v>CAS_NUMBER</v>
      </c>
      <c r="E6" t="s">
        <v>523</v>
      </c>
      <c r="F6" t="str">
        <f>'List of all columns'!H4</f>
        <v>VARCHAR(200)</v>
      </c>
      <c r="G6" t="s">
        <v>2499</v>
      </c>
      <c r="H6" t="str">
        <f t="shared" ref="H6:H69" si="0">_xlfn.CONCAT(A6:G6)</f>
        <v>ALTER TABLE NES_PAN_UPLOAD_TOXICOLOGY  ADD CAS_NUMBER VARCHAR(200);</v>
      </c>
    </row>
    <row r="7" spans="1:8" x14ac:dyDescent="0.35">
      <c r="A7" t="s">
        <v>2496</v>
      </c>
      <c r="B7" s="309" t="s">
        <v>2497</v>
      </c>
      <c r="C7" t="s">
        <v>2498</v>
      </c>
      <c r="D7" t="str">
        <f>'List of all columns'!G5</f>
        <v>NESTLE_ID</v>
      </c>
      <c r="E7" t="s">
        <v>523</v>
      </c>
      <c r="F7" t="str">
        <f>'List of all columns'!H5</f>
        <v>VARCHAR(200)</v>
      </c>
      <c r="G7" t="s">
        <v>2499</v>
      </c>
      <c r="H7" t="str">
        <f t="shared" si="0"/>
        <v>ALTER TABLE NES_PAN_UPLOAD_TOXICOLOGY  ADD NESTLE_ID VARCHAR(200);</v>
      </c>
    </row>
    <row r="8" spans="1:8" x14ac:dyDescent="0.35">
      <c r="A8" t="s">
        <v>2496</v>
      </c>
      <c r="B8" s="309" t="s">
        <v>2497</v>
      </c>
      <c r="C8" t="s">
        <v>2498</v>
      </c>
      <c r="D8" t="str">
        <f>'List of all columns'!G6</f>
        <v>SMILES_ORIG</v>
      </c>
      <c r="E8" t="s">
        <v>523</v>
      </c>
      <c r="F8" t="str">
        <f>'List of all columns'!H6</f>
        <v>VARCHAR(2000)</v>
      </c>
      <c r="G8" t="s">
        <v>2499</v>
      </c>
      <c r="H8" t="str">
        <f t="shared" si="0"/>
        <v>ALTER TABLE NES_PAN_UPLOAD_TOXICOLOGY  ADD SMILES_ORIG VARCHAR(2000);</v>
      </c>
    </row>
    <row r="9" spans="1:8" x14ac:dyDescent="0.35">
      <c r="A9" t="s">
        <v>2496</v>
      </c>
      <c r="B9" s="309" t="s">
        <v>2497</v>
      </c>
      <c r="C9" t="s">
        <v>2498</v>
      </c>
      <c r="D9" t="str">
        <f>'List of all columns'!G7</f>
        <v>SMILES_NEUT</v>
      </c>
      <c r="E9" t="s">
        <v>523</v>
      </c>
      <c r="F9" t="str">
        <f>'List of all columns'!H7</f>
        <v>VARCHAR(2000)</v>
      </c>
      <c r="G9" t="s">
        <v>2499</v>
      </c>
      <c r="H9" t="str">
        <f t="shared" si="0"/>
        <v>ALTER TABLE NES_PAN_UPLOAD_TOXICOLOGY  ADD SMILES_NEUT VARCHAR(2000);</v>
      </c>
    </row>
    <row r="10" spans="1:8" x14ac:dyDescent="0.35">
      <c r="A10" t="s">
        <v>2496</v>
      </c>
      <c r="B10" s="309" t="s">
        <v>2497</v>
      </c>
      <c r="C10" t="s">
        <v>2498</v>
      </c>
      <c r="D10" t="str">
        <f>'List of all columns'!G8</f>
        <v>SMILES_NEUT_REL</v>
      </c>
      <c r="E10" t="s">
        <v>523</v>
      </c>
      <c r="F10" t="str">
        <f>'List of all columns'!H8</f>
        <v>VARCHAR(2000)</v>
      </c>
      <c r="G10" t="s">
        <v>2499</v>
      </c>
      <c r="H10" t="str">
        <f t="shared" si="0"/>
        <v>ALTER TABLE NES_PAN_UPLOAD_TOXICOLOGY  ADD SMILES_NEUT_REL VARCHAR(2000);</v>
      </c>
    </row>
    <row r="11" spans="1:8" x14ac:dyDescent="0.35">
      <c r="A11" t="s">
        <v>2496</v>
      </c>
      <c r="B11" s="309" t="s">
        <v>2497</v>
      </c>
      <c r="C11" t="s">
        <v>2498</v>
      </c>
      <c r="D11" t="str">
        <f>'List of all columns'!G9</f>
        <v>SMILES_VEGA</v>
      </c>
      <c r="E11" t="s">
        <v>523</v>
      </c>
      <c r="F11" t="str">
        <f>'List of all columns'!H9</f>
        <v>VARCHAR(2000)</v>
      </c>
      <c r="G11" t="s">
        <v>2499</v>
      </c>
      <c r="H11" t="str">
        <f t="shared" si="0"/>
        <v>ALTER TABLE NES_PAN_UPLOAD_TOXICOLOGY  ADD SMILES_VEGA VARCHAR(2000);</v>
      </c>
    </row>
    <row r="12" spans="1:8" x14ac:dyDescent="0.35">
      <c r="A12" t="s">
        <v>2496</v>
      </c>
      <c r="B12" s="309" t="s">
        <v>2497</v>
      </c>
      <c r="C12" t="s">
        <v>2498</v>
      </c>
      <c r="D12" t="str">
        <f>'List of all columns'!G10</f>
        <v>SMILES_VEGA_DUP</v>
      </c>
      <c r="E12" t="s">
        <v>523</v>
      </c>
      <c r="F12" t="str">
        <f>'List of all columns'!H10</f>
        <v>VARCHAR(2000)</v>
      </c>
      <c r="G12" t="s">
        <v>2499</v>
      </c>
      <c r="H12" t="str">
        <f t="shared" si="0"/>
        <v>ALTER TABLE NES_PAN_UPLOAD_TOXICOLOGY  ADD SMILES_VEGA_DUP VARCHAR(2000);</v>
      </c>
    </row>
    <row r="13" spans="1:8" x14ac:dyDescent="0.35">
      <c r="A13" t="s">
        <v>2496</v>
      </c>
      <c r="B13" s="309" t="s">
        <v>2497</v>
      </c>
      <c r="C13" t="s">
        <v>2498</v>
      </c>
      <c r="D13" t="str">
        <f>'List of all columns'!G11</f>
        <v>SMILES_VEGA_REL</v>
      </c>
      <c r="E13" t="s">
        <v>523</v>
      </c>
      <c r="F13" t="str">
        <f>'List of all columns'!H11</f>
        <v>VARCHAR(2000)</v>
      </c>
      <c r="G13" t="s">
        <v>2499</v>
      </c>
      <c r="H13" t="str">
        <f t="shared" si="0"/>
        <v>ALTER TABLE NES_PAN_UPLOAD_TOXICOLOGY  ADD SMILES_VEGA_REL VARCHAR(2000);</v>
      </c>
    </row>
    <row r="14" spans="1:8" x14ac:dyDescent="0.35">
      <c r="A14" t="s">
        <v>2496</v>
      </c>
      <c r="B14" s="309" t="s">
        <v>2497</v>
      </c>
      <c r="C14" t="s">
        <v>2498</v>
      </c>
      <c r="D14" t="str">
        <f>'List of all columns'!G12</f>
        <v>CHEMICAL_NAME</v>
      </c>
      <c r="E14" t="s">
        <v>523</v>
      </c>
      <c r="F14" t="str">
        <f>'List of all columns'!H12</f>
        <v>VARCHAR(200)</v>
      </c>
      <c r="G14" t="s">
        <v>2499</v>
      </c>
      <c r="H14" t="str">
        <f t="shared" si="0"/>
        <v>ALTER TABLE NES_PAN_UPLOAD_TOXICOLOGY  ADD CHEMICAL_NAME VARCHAR(200);</v>
      </c>
    </row>
    <row r="15" spans="1:8" x14ac:dyDescent="0.35">
      <c r="A15" t="s">
        <v>2496</v>
      </c>
      <c r="B15" s="309" t="s">
        <v>2497</v>
      </c>
      <c r="C15" t="s">
        <v>2498</v>
      </c>
      <c r="D15" t="str">
        <f>'List of all columns'!G13</f>
        <v>CFSG_N</v>
      </c>
      <c r="E15" t="s">
        <v>523</v>
      </c>
      <c r="F15" t="str">
        <f>'List of all columns'!H13</f>
        <v>VARCHAR(200)</v>
      </c>
      <c r="G15" t="s">
        <v>2499</v>
      </c>
      <c r="H15" t="str">
        <f t="shared" si="0"/>
        <v>ALTER TABLE NES_PAN_UPLOAD_TOXICOLOGY  ADD CFSG_N VARCHAR(200);</v>
      </c>
    </row>
    <row r="16" spans="1:8" x14ac:dyDescent="0.35">
      <c r="A16" t="s">
        <v>2496</v>
      </c>
      <c r="B16" s="309" t="s">
        <v>2497</v>
      </c>
      <c r="C16" t="s">
        <v>2498</v>
      </c>
      <c r="D16" t="str">
        <f>'List of all columns'!G14</f>
        <v>MAN_GEN_SBL_YN</v>
      </c>
      <c r="E16" t="s">
        <v>523</v>
      </c>
      <c r="F16" t="str">
        <f>'List of all columns'!H14</f>
        <v>VARCHAR(200)</v>
      </c>
      <c r="G16" t="s">
        <v>2499</v>
      </c>
      <c r="H16" t="str">
        <f t="shared" si="0"/>
        <v>ALTER TABLE NES_PAN_UPLOAD_TOXICOLOGY  ADD MAN_GEN_SBL_YN VARCHAR(200);</v>
      </c>
    </row>
    <row r="17" spans="1:8" x14ac:dyDescent="0.35">
      <c r="A17" t="s">
        <v>2496</v>
      </c>
      <c r="B17" s="309" t="s">
        <v>2497</v>
      </c>
      <c r="C17" t="s">
        <v>2498</v>
      </c>
      <c r="D17" t="str">
        <f>'List of all columns'!G15</f>
        <v>EXPERT_REVIEW</v>
      </c>
      <c r="E17" t="s">
        <v>523</v>
      </c>
      <c r="F17" t="str">
        <f>'List of all columns'!H15</f>
        <v>VARCHAR(200)</v>
      </c>
      <c r="G17" t="s">
        <v>2499</v>
      </c>
      <c r="H17" t="str">
        <f t="shared" si="0"/>
        <v>ALTER TABLE NES_PAN_UPLOAD_TOXICOLOGY  ADD EXPERT_REVIEW VARCHAR(200);</v>
      </c>
    </row>
    <row r="18" spans="1:8" x14ac:dyDescent="0.35">
      <c r="A18" t="s">
        <v>2496</v>
      </c>
      <c r="B18" s="309" t="s">
        <v>2497</v>
      </c>
      <c r="C18" t="s">
        <v>2498</v>
      </c>
      <c r="D18" t="str">
        <f>'List of all columns'!G16</f>
        <v>GENEOTOX_EFSA_CALL</v>
      </c>
      <c r="E18" t="s">
        <v>523</v>
      </c>
      <c r="F18" t="str">
        <f>'List of all columns'!H16</f>
        <v>VARCHAR(200)</v>
      </c>
      <c r="G18" t="s">
        <v>2499</v>
      </c>
      <c r="H18" t="str">
        <f t="shared" si="0"/>
        <v>ALTER TABLE NES_PAN_UPLOAD_TOXICOLOGY  ADD GENEOTOX_EFSA_CALL VARCHAR(200);</v>
      </c>
    </row>
    <row r="19" spans="1:8" x14ac:dyDescent="0.35">
      <c r="A19" t="s">
        <v>2496</v>
      </c>
      <c r="B19" s="309" t="s">
        <v>2497</v>
      </c>
      <c r="C19" t="s">
        <v>2498</v>
      </c>
      <c r="D19" t="str">
        <f>'List of all columns'!G17</f>
        <v>GENEOTOX_EFSA_DOI</v>
      </c>
      <c r="E19" t="s">
        <v>523</v>
      </c>
      <c r="F19" t="str">
        <f>'List of all columns'!H17</f>
        <v>VARCHAR(200)</v>
      </c>
      <c r="G19" t="s">
        <v>2499</v>
      </c>
      <c r="H19" t="str">
        <f t="shared" si="0"/>
        <v>ALTER TABLE NES_PAN_UPLOAD_TOXICOLOGY  ADD GENEOTOX_EFSA_DOI VARCHAR(200);</v>
      </c>
    </row>
    <row r="20" spans="1:8" x14ac:dyDescent="0.35">
      <c r="A20" t="s">
        <v>2496</v>
      </c>
      <c r="B20" s="309" t="s">
        <v>2497</v>
      </c>
      <c r="C20" t="s">
        <v>2498</v>
      </c>
      <c r="D20" t="str">
        <f>'List of all columns'!G18</f>
        <v>EXP_AMES_VEGA_CAESER</v>
      </c>
      <c r="E20" t="s">
        <v>523</v>
      </c>
      <c r="F20" t="str">
        <f>'List of all columns'!H18</f>
        <v>VARCHAR(200)</v>
      </c>
      <c r="G20" t="s">
        <v>2499</v>
      </c>
      <c r="H20" t="str">
        <f t="shared" si="0"/>
        <v>ALTER TABLE NES_PAN_UPLOAD_TOXICOLOGY  ADD EXP_AMES_VEGA_CAESER VARCHAR(200);</v>
      </c>
    </row>
    <row r="21" spans="1:8" x14ac:dyDescent="0.35">
      <c r="A21" t="s">
        <v>2496</v>
      </c>
      <c r="B21" s="309" t="s">
        <v>2497</v>
      </c>
      <c r="C21" t="s">
        <v>2498</v>
      </c>
      <c r="D21" t="str">
        <f>'List of all columns'!G19</f>
        <v>EXP_AMES_VEGA_CAESER_REL</v>
      </c>
      <c r="E21" t="s">
        <v>523</v>
      </c>
      <c r="F21" t="str">
        <f>'List of all columns'!H19</f>
        <v>VARCHAR(200)</v>
      </c>
      <c r="G21" t="s">
        <v>2499</v>
      </c>
      <c r="H21" t="str">
        <f t="shared" si="0"/>
        <v>ALTER TABLE NES_PAN_UPLOAD_TOXICOLOGY  ADD EXP_AMES_VEGA_CAESER_REL VARCHAR(200);</v>
      </c>
    </row>
    <row r="22" spans="1:8" x14ac:dyDescent="0.35">
      <c r="A22" t="s">
        <v>2496</v>
      </c>
      <c r="B22" s="309" t="s">
        <v>2497</v>
      </c>
      <c r="C22" t="s">
        <v>2498</v>
      </c>
      <c r="D22" t="str">
        <f>'List of all columns'!G20</f>
        <v>EXP_AMES_VEGA_SARPY</v>
      </c>
      <c r="E22" t="s">
        <v>523</v>
      </c>
      <c r="F22" t="str">
        <f>'List of all columns'!H20</f>
        <v>VARCHAR(200)</v>
      </c>
      <c r="G22" t="s">
        <v>2499</v>
      </c>
      <c r="H22" t="str">
        <f t="shared" si="0"/>
        <v>ALTER TABLE NES_PAN_UPLOAD_TOXICOLOGY  ADD EXP_AMES_VEGA_SARPY VARCHAR(200);</v>
      </c>
    </row>
    <row r="23" spans="1:8" x14ac:dyDescent="0.35">
      <c r="A23" t="s">
        <v>2496</v>
      </c>
      <c r="B23" s="309" t="s">
        <v>2497</v>
      </c>
      <c r="C23" t="s">
        <v>2498</v>
      </c>
      <c r="D23" t="str">
        <f>'List of all columns'!G21</f>
        <v>EXP_AMES_VEGA_SARPY_REL</v>
      </c>
      <c r="E23" t="s">
        <v>523</v>
      </c>
      <c r="F23" t="str">
        <f>'List of all columns'!H21</f>
        <v>VARCHAR(200)</v>
      </c>
      <c r="G23" t="s">
        <v>2499</v>
      </c>
      <c r="H23" t="str">
        <f t="shared" si="0"/>
        <v>ALTER TABLE NES_PAN_UPLOAD_TOXICOLOGY  ADD EXP_AMES_VEGA_SARPY_REL VARCHAR(200);</v>
      </c>
    </row>
    <row r="24" spans="1:8" x14ac:dyDescent="0.35">
      <c r="A24" t="s">
        <v>2496</v>
      </c>
      <c r="B24" s="309" t="s">
        <v>2497</v>
      </c>
      <c r="C24" t="s">
        <v>2498</v>
      </c>
      <c r="D24" t="str">
        <f>'List of all columns'!G22</f>
        <v>EXP_AMES_VEGA_ISS</v>
      </c>
      <c r="E24" t="s">
        <v>523</v>
      </c>
      <c r="F24" t="str">
        <f>'List of all columns'!H22</f>
        <v>VARCHAR(200)</v>
      </c>
      <c r="G24" t="s">
        <v>2499</v>
      </c>
      <c r="H24" t="str">
        <f t="shared" si="0"/>
        <v>ALTER TABLE NES_PAN_UPLOAD_TOXICOLOGY  ADD EXP_AMES_VEGA_ISS VARCHAR(200);</v>
      </c>
    </row>
    <row r="25" spans="1:8" x14ac:dyDescent="0.35">
      <c r="A25" t="s">
        <v>2496</v>
      </c>
      <c r="B25" s="309" t="s">
        <v>2497</v>
      </c>
      <c r="C25" t="s">
        <v>2498</v>
      </c>
      <c r="D25" t="str">
        <f>'List of all columns'!G23</f>
        <v>EXP_AMES_VEGA_ISS_REL</v>
      </c>
      <c r="E25" t="s">
        <v>523</v>
      </c>
      <c r="F25" t="str">
        <f>'List of all columns'!H23</f>
        <v>VARCHAR(200)</v>
      </c>
      <c r="G25" t="s">
        <v>2499</v>
      </c>
      <c r="H25" t="str">
        <f t="shared" si="0"/>
        <v>ALTER TABLE NES_PAN_UPLOAD_TOXICOLOGY  ADD EXP_AMES_VEGA_ISS_REL VARCHAR(200);</v>
      </c>
    </row>
    <row r="26" spans="1:8" x14ac:dyDescent="0.35">
      <c r="A26" t="s">
        <v>2496</v>
      </c>
      <c r="B26" s="309" t="s">
        <v>2497</v>
      </c>
      <c r="C26" t="s">
        <v>2498</v>
      </c>
      <c r="D26" t="str">
        <f>'List of all columns'!G24</f>
        <v>EXP_AMES_VEGA_KNN</v>
      </c>
      <c r="E26" t="s">
        <v>523</v>
      </c>
      <c r="F26" t="str">
        <f>'List of all columns'!H24</f>
        <v>VARCHAR(200)</v>
      </c>
      <c r="G26" t="s">
        <v>2499</v>
      </c>
      <c r="H26" t="str">
        <f t="shared" si="0"/>
        <v>ALTER TABLE NES_PAN_UPLOAD_TOXICOLOGY  ADD EXP_AMES_VEGA_KNN VARCHAR(200);</v>
      </c>
    </row>
    <row r="27" spans="1:8" x14ac:dyDescent="0.35">
      <c r="A27" t="s">
        <v>2496</v>
      </c>
      <c r="B27" s="309" t="s">
        <v>2497</v>
      </c>
      <c r="C27" t="s">
        <v>2498</v>
      </c>
      <c r="D27" t="str">
        <f>'List of all columns'!G25</f>
        <v>EXP_AMES_VEGA_KNN_REL</v>
      </c>
      <c r="E27" t="s">
        <v>523</v>
      </c>
      <c r="F27" t="str">
        <f>'List of all columns'!H25</f>
        <v>VARCHAR(200)</v>
      </c>
      <c r="G27" t="s">
        <v>2499</v>
      </c>
      <c r="H27" t="str">
        <f t="shared" si="0"/>
        <v>ALTER TABLE NES_PAN_UPLOAD_TOXICOLOGY  ADD EXP_AMES_VEGA_KNN_REL VARCHAR(200);</v>
      </c>
    </row>
    <row r="28" spans="1:8" x14ac:dyDescent="0.35">
      <c r="A28" t="s">
        <v>2496</v>
      </c>
      <c r="B28" s="309" t="s">
        <v>2497</v>
      </c>
      <c r="C28" t="s">
        <v>2498</v>
      </c>
      <c r="D28" t="str">
        <f>'List of all columns'!G26</f>
        <v>EXP_AMES_LS_BACT_MUTATE_ALERT</v>
      </c>
      <c r="E28" t="s">
        <v>523</v>
      </c>
      <c r="F28" t="str">
        <f>'List of all columns'!H26</f>
        <v>VARCHAR(200)</v>
      </c>
      <c r="G28" t="s">
        <v>2499</v>
      </c>
      <c r="H28" t="str">
        <f t="shared" si="0"/>
        <v>ALTER TABLE NES_PAN_UPLOAD_TOXICOLOGY  ADD EXP_AMES_LS_BACT_MUTATE_ALERT VARCHAR(200);</v>
      </c>
    </row>
    <row r="29" spans="1:8" x14ac:dyDescent="0.35">
      <c r="A29" t="s">
        <v>2496</v>
      </c>
      <c r="B29" s="309" t="s">
        <v>2497</v>
      </c>
      <c r="C29" t="s">
        <v>2498</v>
      </c>
      <c r="D29" t="str">
        <f>'List of all columns'!G27</f>
        <v>EXP_AMES_LS_BACT_MUTATE</v>
      </c>
      <c r="E29" t="s">
        <v>523</v>
      </c>
      <c r="F29" t="str">
        <f>'List of all columns'!H27</f>
        <v>VARCHAR(200)</v>
      </c>
      <c r="G29" t="s">
        <v>2499</v>
      </c>
      <c r="H29" t="str">
        <f t="shared" si="0"/>
        <v>ALTER TABLE NES_PAN_UPLOAD_TOXICOLOGY  ADD EXP_AMES_LS_BACT_MUTATE VARCHAR(200);</v>
      </c>
    </row>
    <row r="30" spans="1:8" x14ac:dyDescent="0.35">
      <c r="A30" t="s">
        <v>2496</v>
      </c>
      <c r="B30" s="309" t="s">
        <v>2497</v>
      </c>
      <c r="C30" t="s">
        <v>2498</v>
      </c>
      <c r="D30" t="str">
        <f>'List of all columns'!G28</f>
        <v>EXP_AMES_LS_BACT_MUTATE_REL</v>
      </c>
      <c r="E30" t="s">
        <v>523</v>
      </c>
      <c r="F30" t="str">
        <f>'List of all columns'!H28</f>
        <v>VARCHAR(200)</v>
      </c>
      <c r="G30" t="s">
        <v>2499</v>
      </c>
      <c r="H30" t="str">
        <f t="shared" si="0"/>
        <v>ALTER TABLE NES_PAN_UPLOAD_TOXICOLOGY  ADD EXP_AMES_LS_BACT_MUTATE_REL VARCHAR(200);</v>
      </c>
    </row>
    <row r="31" spans="1:8" x14ac:dyDescent="0.35">
      <c r="A31" t="s">
        <v>2496</v>
      </c>
      <c r="B31" s="309" t="s">
        <v>2497</v>
      </c>
      <c r="C31" t="s">
        <v>2498</v>
      </c>
      <c r="D31" t="str">
        <f>'List of all columns'!G29</f>
        <v>EXP_AMES_LS_SALMONELLA_MUT</v>
      </c>
      <c r="E31" t="s">
        <v>523</v>
      </c>
      <c r="F31" t="str">
        <f>'List of all columns'!H29</f>
        <v>VARCHAR(200)</v>
      </c>
      <c r="G31" t="s">
        <v>2499</v>
      </c>
      <c r="H31" t="str">
        <f t="shared" si="0"/>
        <v>ALTER TABLE NES_PAN_UPLOAD_TOXICOLOGY  ADD EXP_AMES_LS_SALMONELLA_MUT VARCHAR(200);</v>
      </c>
    </row>
    <row r="32" spans="1:8" x14ac:dyDescent="0.35">
      <c r="A32" t="s">
        <v>2496</v>
      </c>
      <c r="B32" s="309" t="s">
        <v>2497</v>
      </c>
      <c r="C32" t="s">
        <v>2498</v>
      </c>
      <c r="D32" t="str">
        <f>'List of all columns'!G30</f>
        <v>EXP_AMES_LS_SALMONELLA_MUT_REL</v>
      </c>
      <c r="E32" t="s">
        <v>523</v>
      </c>
      <c r="F32" t="str">
        <f>'List of all columns'!H30</f>
        <v>VARCHAR(200)</v>
      </c>
      <c r="G32" t="s">
        <v>2499</v>
      </c>
      <c r="H32" t="str">
        <f t="shared" si="0"/>
        <v>ALTER TABLE NES_PAN_UPLOAD_TOXICOLOGY  ADD EXP_AMES_LS_SALMONELLA_MUT_REL VARCHAR(200);</v>
      </c>
    </row>
    <row r="33" spans="1:8" x14ac:dyDescent="0.35">
      <c r="A33" t="s">
        <v>2496</v>
      </c>
      <c r="B33" s="309" t="s">
        <v>2497</v>
      </c>
      <c r="C33" t="s">
        <v>2498</v>
      </c>
      <c r="D33" t="str">
        <f>'List of all columns'!G31</f>
        <v>EXP_AMES_LS_ECOLI_MUT</v>
      </c>
      <c r="E33" t="s">
        <v>523</v>
      </c>
      <c r="F33" t="str">
        <f>'List of all columns'!H31</f>
        <v>VARCHAR(200)</v>
      </c>
      <c r="G33" t="s">
        <v>2499</v>
      </c>
      <c r="H33" t="str">
        <f t="shared" si="0"/>
        <v>ALTER TABLE NES_PAN_UPLOAD_TOXICOLOGY  ADD EXP_AMES_LS_ECOLI_MUT VARCHAR(200);</v>
      </c>
    </row>
    <row r="34" spans="1:8" x14ac:dyDescent="0.35">
      <c r="A34" t="s">
        <v>2496</v>
      </c>
      <c r="B34" s="309" t="s">
        <v>2497</v>
      </c>
      <c r="C34" t="s">
        <v>2498</v>
      </c>
      <c r="D34" t="str">
        <f>'List of all columns'!G32</f>
        <v>EXP_AMES_LS_ECOLI_MUT_REL</v>
      </c>
      <c r="E34" t="s">
        <v>523</v>
      </c>
      <c r="F34" t="str">
        <f>'List of all columns'!H32</f>
        <v>VARCHAR(200)</v>
      </c>
      <c r="G34" t="s">
        <v>2499</v>
      </c>
      <c r="H34" t="str">
        <f t="shared" si="0"/>
        <v>ALTER TABLE NES_PAN_UPLOAD_TOXICOLOGY  ADD EXP_AMES_LS_ECOLI_MUT_REL VARCHAR(200);</v>
      </c>
    </row>
    <row r="35" spans="1:8" x14ac:dyDescent="0.35">
      <c r="A35" t="s">
        <v>2496</v>
      </c>
      <c r="B35" s="309" t="s">
        <v>2497</v>
      </c>
      <c r="C35" t="s">
        <v>2498</v>
      </c>
      <c r="D35" t="str">
        <f>'List of all columns'!G33</f>
        <v>EXP_AMES_OTH_ECHA_REACH_DB</v>
      </c>
      <c r="E35" t="s">
        <v>523</v>
      </c>
      <c r="F35" t="str">
        <f>'List of all columns'!H33</f>
        <v>VARCHAR(200)</v>
      </c>
      <c r="G35" t="s">
        <v>2499</v>
      </c>
      <c r="H35" t="str">
        <f t="shared" si="0"/>
        <v>ALTER TABLE NES_PAN_UPLOAD_TOXICOLOGY  ADD EXP_AMES_OTH_ECHA_REACH_DB VARCHAR(200);</v>
      </c>
    </row>
    <row r="36" spans="1:8" x14ac:dyDescent="0.35">
      <c r="A36" t="s">
        <v>2496</v>
      </c>
      <c r="B36" s="309" t="s">
        <v>2497</v>
      </c>
      <c r="C36" t="s">
        <v>2498</v>
      </c>
      <c r="D36" t="str">
        <f>'List of all columns'!G34</f>
        <v>EXP_AMES_OTH_ECHA_REACH_DB_REL</v>
      </c>
      <c r="E36" t="s">
        <v>523</v>
      </c>
      <c r="F36" t="str">
        <f>'List of all columns'!H34</f>
        <v>VARCHAR(200)</v>
      </c>
      <c r="G36" t="s">
        <v>2499</v>
      </c>
      <c r="H36" t="str">
        <f t="shared" si="0"/>
        <v>ALTER TABLE NES_PAN_UPLOAD_TOXICOLOGY  ADD EXP_AMES_OTH_ECHA_REACH_DB_REL VARCHAR(200);</v>
      </c>
    </row>
    <row r="37" spans="1:8" x14ac:dyDescent="0.35">
      <c r="A37" t="s">
        <v>2496</v>
      </c>
      <c r="B37" s="309" t="s">
        <v>2497</v>
      </c>
      <c r="C37" t="s">
        <v>2498</v>
      </c>
      <c r="D37" t="str">
        <f>'List of all columns'!G35</f>
        <v>EXP_AMES_OTH_ICE_DATASET</v>
      </c>
      <c r="E37" t="s">
        <v>523</v>
      </c>
      <c r="F37" t="str">
        <f>'List of all columns'!H35</f>
        <v>VARCHAR(200)</v>
      </c>
      <c r="G37" t="s">
        <v>2499</v>
      </c>
      <c r="H37" t="str">
        <f t="shared" si="0"/>
        <v>ALTER TABLE NES_PAN_UPLOAD_TOXICOLOGY  ADD EXP_AMES_OTH_ICE_DATASET VARCHAR(200);</v>
      </c>
    </row>
    <row r="38" spans="1:8" x14ac:dyDescent="0.35">
      <c r="A38" t="s">
        <v>2496</v>
      </c>
      <c r="B38" s="309" t="s">
        <v>2497</v>
      </c>
      <c r="C38" t="s">
        <v>2498</v>
      </c>
      <c r="D38" t="str">
        <f>'List of all columns'!G36</f>
        <v>EXP_AMES_OTH_ICE_DATASET_REL</v>
      </c>
      <c r="E38" t="s">
        <v>523</v>
      </c>
      <c r="F38" t="str">
        <f>'List of all columns'!H36</f>
        <v>VARCHAR(200)</v>
      </c>
      <c r="G38" t="s">
        <v>2499</v>
      </c>
      <c r="H38" t="str">
        <f t="shared" si="0"/>
        <v>ALTER TABLE NES_PAN_UPLOAD_TOXICOLOGY  ADD EXP_AMES_OTH_ICE_DATASET_REL VARCHAR(200);</v>
      </c>
    </row>
    <row r="39" spans="1:8" x14ac:dyDescent="0.35">
      <c r="A39" t="s">
        <v>2496</v>
      </c>
      <c r="B39" s="309" t="s">
        <v>2497</v>
      </c>
      <c r="C39" t="s">
        <v>2498</v>
      </c>
      <c r="D39" t="str">
        <f>'List of all columns'!G37</f>
        <v>EXP_AMES_OTH_ECVAM</v>
      </c>
      <c r="E39" t="s">
        <v>523</v>
      </c>
      <c r="F39" t="str">
        <f>'List of all columns'!H37</f>
        <v>VARCHAR(200)</v>
      </c>
      <c r="G39" t="s">
        <v>2499</v>
      </c>
      <c r="H39" t="str">
        <f t="shared" si="0"/>
        <v>ALTER TABLE NES_PAN_UPLOAD_TOXICOLOGY  ADD EXP_AMES_OTH_ECVAM VARCHAR(200);</v>
      </c>
    </row>
    <row r="40" spans="1:8" x14ac:dyDescent="0.35">
      <c r="A40" t="s">
        <v>2496</v>
      </c>
      <c r="B40" s="309" t="s">
        <v>2497</v>
      </c>
      <c r="C40" t="s">
        <v>2498</v>
      </c>
      <c r="D40" t="str">
        <f>'List of all columns'!G38</f>
        <v>EXP_AMES_OTH_ECVAM_REL</v>
      </c>
      <c r="E40" t="s">
        <v>523</v>
      </c>
      <c r="F40" t="str">
        <f>'List of all columns'!H38</f>
        <v>VARCHAR(200)</v>
      </c>
      <c r="G40" t="s">
        <v>2499</v>
      </c>
      <c r="H40" t="str">
        <f t="shared" si="0"/>
        <v>ALTER TABLE NES_PAN_UPLOAD_TOXICOLOGY  ADD EXP_AMES_OTH_ECVAM_REL VARCHAR(200);</v>
      </c>
    </row>
    <row r="41" spans="1:8" x14ac:dyDescent="0.35">
      <c r="A41" t="s">
        <v>2496</v>
      </c>
      <c r="B41" s="309" t="s">
        <v>2497</v>
      </c>
      <c r="C41" t="s">
        <v>2498</v>
      </c>
      <c r="D41" t="str">
        <f>'List of all columns'!G39</f>
        <v>CONSENSUS</v>
      </c>
      <c r="E41" t="s">
        <v>523</v>
      </c>
      <c r="F41" t="str">
        <f>'List of all columns'!H39</f>
        <v>VARCHAR(200)</v>
      </c>
      <c r="G41" t="s">
        <v>2499</v>
      </c>
      <c r="H41" t="str">
        <f t="shared" si="0"/>
        <v>ALTER TABLE NES_PAN_UPLOAD_TOXICOLOGY  ADD CONSENSUS VARCHAR(200);</v>
      </c>
    </row>
    <row r="42" spans="1:8" x14ac:dyDescent="0.35">
      <c r="A42" t="s">
        <v>2496</v>
      </c>
      <c r="B42" s="309" t="s">
        <v>2497</v>
      </c>
      <c r="C42" t="s">
        <v>2498</v>
      </c>
      <c r="D42" t="str">
        <f>'List of all columns'!G40</f>
        <v>CONSENSUS_SCORE</v>
      </c>
      <c r="E42" t="s">
        <v>523</v>
      </c>
      <c r="F42" t="str">
        <f>'List of all columns'!H40</f>
        <v>VARCHAR(200)</v>
      </c>
      <c r="G42" t="s">
        <v>2499</v>
      </c>
      <c r="H42" t="str">
        <f t="shared" si="0"/>
        <v>ALTER TABLE NES_PAN_UPLOAD_TOXICOLOGY  ADD CONSENSUS_SCORE VARCHAR(200);</v>
      </c>
    </row>
    <row r="43" spans="1:8" x14ac:dyDescent="0.35">
      <c r="A43" t="s">
        <v>2496</v>
      </c>
      <c r="B43" s="309" t="s">
        <v>2497</v>
      </c>
      <c r="C43" t="s">
        <v>2498</v>
      </c>
      <c r="D43" t="str">
        <f>'List of all columns'!G41</f>
        <v>PRED_AMES_VEGA_CAESER</v>
      </c>
      <c r="E43" t="s">
        <v>523</v>
      </c>
      <c r="F43" t="str">
        <f>'List of all columns'!H41</f>
        <v>VARCHAR(200)</v>
      </c>
      <c r="G43" t="s">
        <v>2499</v>
      </c>
      <c r="H43" t="str">
        <f t="shared" si="0"/>
        <v>ALTER TABLE NES_PAN_UPLOAD_TOXICOLOGY  ADD PRED_AMES_VEGA_CAESER VARCHAR(200);</v>
      </c>
    </row>
    <row r="44" spans="1:8" x14ac:dyDescent="0.35">
      <c r="A44" t="s">
        <v>2496</v>
      </c>
      <c r="B44" s="309" t="s">
        <v>2497</v>
      </c>
      <c r="C44" t="s">
        <v>2498</v>
      </c>
      <c r="D44" t="str">
        <f>'List of all columns'!G42</f>
        <v>PRED_AMES_VEGA_CAESER_REL</v>
      </c>
      <c r="E44" t="s">
        <v>523</v>
      </c>
      <c r="F44" t="str">
        <f>'List of all columns'!H42</f>
        <v>VARCHAR(200)</v>
      </c>
      <c r="G44" t="s">
        <v>2499</v>
      </c>
      <c r="H44" t="str">
        <f t="shared" si="0"/>
        <v>ALTER TABLE NES_PAN_UPLOAD_TOXICOLOGY  ADD PRED_AMES_VEGA_CAESER_REL VARCHAR(200);</v>
      </c>
    </row>
    <row r="45" spans="1:8" x14ac:dyDescent="0.35">
      <c r="A45" t="s">
        <v>2496</v>
      </c>
      <c r="B45" s="309" t="s">
        <v>2497</v>
      </c>
      <c r="C45" t="s">
        <v>2498</v>
      </c>
      <c r="D45" t="str">
        <f>'List of all columns'!G43</f>
        <v>PRED_AMES_VEGA_SARPY</v>
      </c>
      <c r="E45" t="s">
        <v>523</v>
      </c>
      <c r="F45" t="str">
        <f>'List of all columns'!H43</f>
        <v>VARCHAR(200)</v>
      </c>
      <c r="G45" t="s">
        <v>2499</v>
      </c>
      <c r="H45" t="str">
        <f t="shared" si="0"/>
        <v>ALTER TABLE NES_PAN_UPLOAD_TOXICOLOGY  ADD PRED_AMES_VEGA_SARPY VARCHAR(200);</v>
      </c>
    </row>
    <row r="46" spans="1:8" x14ac:dyDescent="0.35">
      <c r="A46" t="s">
        <v>2496</v>
      </c>
      <c r="B46" s="309" t="s">
        <v>2497</v>
      </c>
      <c r="C46" t="s">
        <v>2498</v>
      </c>
      <c r="D46" t="str">
        <f>'List of all columns'!G44</f>
        <v>PRED_AMES_VEGA_SARPY_REL</v>
      </c>
      <c r="E46" t="s">
        <v>523</v>
      </c>
      <c r="F46" t="str">
        <f>'List of all columns'!H44</f>
        <v>VARCHAR(200)</v>
      </c>
      <c r="G46" t="s">
        <v>2499</v>
      </c>
      <c r="H46" t="str">
        <f t="shared" si="0"/>
        <v>ALTER TABLE NES_PAN_UPLOAD_TOXICOLOGY  ADD PRED_AMES_VEGA_SARPY_REL VARCHAR(200);</v>
      </c>
    </row>
    <row r="47" spans="1:8" x14ac:dyDescent="0.35">
      <c r="A47" t="s">
        <v>2496</v>
      </c>
      <c r="B47" s="309" t="s">
        <v>2497</v>
      </c>
      <c r="C47" t="s">
        <v>2498</v>
      </c>
      <c r="D47" t="str">
        <f>'List of all columns'!G45</f>
        <v>PRED_AMES_VEGA_ISS</v>
      </c>
      <c r="E47" t="s">
        <v>523</v>
      </c>
      <c r="F47" t="str">
        <f>'List of all columns'!H45</f>
        <v>VARCHAR(200)</v>
      </c>
      <c r="G47" t="s">
        <v>2499</v>
      </c>
      <c r="H47" t="str">
        <f t="shared" si="0"/>
        <v>ALTER TABLE NES_PAN_UPLOAD_TOXICOLOGY  ADD PRED_AMES_VEGA_ISS VARCHAR(200);</v>
      </c>
    </row>
    <row r="48" spans="1:8" x14ac:dyDescent="0.35">
      <c r="A48" t="s">
        <v>2496</v>
      </c>
      <c r="B48" s="309" t="s">
        <v>2497</v>
      </c>
      <c r="C48" t="s">
        <v>2498</v>
      </c>
      <c r="D48" t="str">
        <f>'List of all columns'!G46</f>
        <v>PRED_AMES_VEGA_ISS_REL</v>
      </c>
      <c r="E48" t="s">
        <v>523</v>
      </c>
      <c r="F48" t="str">
        <f>'List of all columns'!H46</f>
        <v>VARCHAR(200)</v>
      </c>
      <c r="G48" t="s">
        <v>2499</v>
      </c>
      <c r="H48" t="str">
        <f t="shared" si="0"/>
        <v>ALTER TABLE NES_PAN_UPLOAD_TOXICOLOGY  ADD PRED_AMES_VEGA_ISS_REL VARCHAR(200);</v>
      </c>
    </row>
    <row r="49" spans="1:8" x14ac:dyDescent="0.35">
      <c r="A49" t="s">
        <v>2496</v>
      </c>
      <c r="B49" s="309" t="s">
        <v>2497</v>
      </c>
      <c r="C49" t="s">
        <v>2498</v>
      </c>
      <c r="D49" t="str">
        <f>'List of all columns'!G47</f>
        <v>PRED_AMES_VEGA_KNN</v>
      </c>
      <c r="E49" t="s">
        <v>523</v>
      </c>
      <c r="F49" t="str">
        <f>'List of all columns'!H47</f>
        <v>VARCHAR(200)</v>
      </c>
      <c r="G49" t="s">
        <v>2499</v>
      </c>
      <c r="H49" t="str">
        <f t="shared" si="0"/>
        <v>ALTER TABLE NES_PAN_UPLOAD_TOXICOLOGY  ADD PRED_AMES_VEGA_KNN VARCHAR(200);</v>
      </c>
    </row>
    <row r="50" spans="1:8" x14ac:dyDescent="0.35">
      <c r="A50" t="s">
        <v>2496</v>
      </c>
      <c r="B50" s="309" t="s">
        <v>2497</v>
      </c>
      <c r="C50" t="s">
        <v>2498</v>
      </c>
      <c r="D50" t="str">
        <f>'List of all columns'!G48</f>
        <v>PRED_AMES_VEGA_KNN_REL</v>
      </c>
      <c r="E50" t="s">
        <v>523</v>
      </c>
      <c r="F50" t="str">
        <f>'List of all columns'!H48</f>
        <v>VARCHAR(200)</v>
      </c>
      <c r="G50" t="s">
        <v>2499</v>
      </c>
      <c r="H50" t="str">
        <f t="shared" si="0"/>
        <v>ALTER TABLE NES_PAN_UPLOAD_TOXICOLOGY  ADD PRED_AMES_VEGA_KNN_REL VARCHAR(200);</v>
      </c>
    </row>
    <row r="51" spans="1:8" x14ac:dyDescent="0.35">
      <c r="A51" t="s">
        <v>2496</v>
      </c>
      <c r="B51" s="309" t="s">
        <v>2497</v>
      </c>
      <c r="C51" t="s">
        <v>2498</v>
      </c>
      <c r="D51" t="str">
        <f>'List of all columns'!G49</f>
        <v>PRED_AMES_LS_BACT_MUTATE_CONSENS</v>
      </c>
      <c r="E51" t="s">
        <v>523</v>
      </c>
      <c r="F51" t="str">
        <f>'List of all columns'!H49</f>
        <v>VARCHAR(200)</v>
      </c>
      <c r="G51" t="s">
        <v>2499</v>
      </c>
      <c r="H51" t="str">
        <f t="shared" si="0"/>
        <v>ALTER TABLE NES_PAN_UPLOAD_TOXICOLOGY  ADD PRED_AMES_LS_BACT_MUTATE_CONSENS VARCHAR(200);</v>
      </c>
    </row>
    <row r="52" spans="1:8" x14ac:dyDescent="0.35">
      <c r="A52" t="s">
        <v>2496</v>
      </c>
      <c r="B52" s="309" t="s">
        <v>2497</v>
      </c>
      <c r="C52" t="s">
        <v>2498</v>
      </c>
      <c r="D52" t="str">
        <f>'List of all columns'!G50</f>
        <v>PRED_AMES_LS_BACT_MUTATE_CONSENS_REL</v>
      </c>
      <c r="E52" t="s">
        <v>523</v>
      </c>
      <c r="F52" t="str">
        <f>'List of all columns'!H50</f>
        <v>VARCHAR(200)</v>
      </c>
      <c r="G52" t="s">
        <v>2499</v>
      </c>
      <c r="H52" t="str">
        <f t="shared" si="0"/>
        <v>ALTER TABLE NES_PAN_UPLOAD_TOXICOLOGY  ADD PRED_AMES_LS_BACT_MUTATE_CONSENS_REL VARCHAR(200);</v>
      </c>
    </row>
    <row r="53" spans="1:8" x14ac:dyDescent="0.35">
      <c r="A53" t="s">
        <v>2496</v>
      </c>
      <c r="B53" s="309" t="s">
        <v>2497</v>
      </c>
      <c r="C53" t="s">
        <v>2498</v>
      </c>
      <c r="D53" t="str">
        <f>'List of all columns'!G51</f>
        <v>PRED_AMES_LS_BACT_MUTATE_ALERT</v>
      </c>
      <c r="E53" t="s">
        <v>523</v>
      </c>
      <c r="F53" t="str">
        <f>'List of all columns'!H51</f>
        <v>VARCHAR(200)</v>
      </c>
      <c r="G53" t="s">
        <v>2499</v>
      </c>
      <c r="H53" t="str">
        <f t="shared" si="0"/>
        <v>ALTER TABLE NES_PAN_UPLOAD_TOXICOLOGY  ADD PRED_AMES_LS_BACT_MUTATE_ALERT VARCHAR(200);</v>
      </c>
    </row>
    <row r="54" spans="1:8" x14ac:dyDescent="0.35">
      <c r="A54" t="s">
        <v>2496</v>
      </c>
      <c r="B54" s="309" t="s">
        <v>2497</v>
      </c>
      <c r="C54" t="s">
        <v>2498</v>
      </c>
      <c r="D54" t="str">
        <f>'List of all columns'!G52</f>
        <v>PRED_AMES_LS_BACT_MUTATE_IDENT</v>
      </c>
      <c r="E54" t="s">
        <v>523</v>
      </c>
      <c r="F54" t="str">
        <f>'List of all columns'!H52</f>
        <v>VARCHAR(200)</v>
      </c>
      <c r="G54" t="s">
        <v>2499</v>
      </c>
      <c r="H54" t="str">
        <f t="shared" si="0"/>
        <v>ALTER TABLE NES_PAN_UPLOAD_TOXICOLOGY  ADD PRED_AMES_LS_BACT_MUTATE_IDENT VARCHAR(200);</v>
      </c>
    </row>
    <row r="55" spans="1:8" x14ac:dyDescent="0.35">
      <c r="A55" t="s">
        <v>2496</v>
      </c>
      <c r="B55" s="309" t="s">
        <v>2497</v>
      </c>
      <c r="C55" t="s">
        <v>2498</v>
      </c>
      <c r="D55" t="str">
        <f>'List of all columns'!G53</f>
        <v>PRED_AMES_LS_BACT_MUTATE</v>
      </c>
      <c r="E55" t="s">
        <v>523</v>
      </c>
      <c r="F55" t="str">
        <f>'List of all columns'!H53</f>
        <v>VARCHAR(200)</v>
      </c>
      <c r="G55" t="s">
        <v>2499</v>
      </c>
      <c r="H55" t="str">
        <f t="shared" si="0"/>
        <v>ALTER TABLE NES_PAN_UPLOAD_TOXICOLOGY  ADD PRED_AMES_LS_BACT_MUTATE VARCHAR(200);</v>
      </c>
    </row>
    <row r="56" spans="1:8" x14ac:dyDescent="0.35">
      <c r="A56" t="s">
        <v>2496</v>
      </c>
      <c r="B56" s="309" t="s">
        <v>2497</v>
      </c>
      <c r="C56" t="s">
        <v>2498</v>
      </c>
      <c r="D56" t="str">
        <f>'List of all columns'!G54</f>
        <v>PRED_AMES_LS_BACT_MUTATE_PROB</v>
      </c>
      <c r="E56" t="s">
        <v>523</v>
      </c>
      <c r="F56" t="str">
        <f>'List of all columns'!H54</f>
        <v>VARCHAR(200)</v>
      </c>
      <c r="G56" t="s">
        <v>2499</v>
      </c>
      <c r="H56" t="str">
        <f t="shared" si="0"/>
        <v>ALTER TABLE NES_PAN_UPLOAD_TOXICOLOGY  ADD PRED_AMES_LS_BACT_MUTATE_PROB VARCHAR(200);</v>
      </c>
    </row>
    <row r="57" spans="1:8" x14ac:dyDescent="0.35">
      <c r="A57" t="s">
        <v>2496</v>
      </c>
      <c r="B57" s="309" t="s">
        <v>2497</v>
      </c>
      <c r="C57" t="s">
        <v>2498</v>
      </c>
      <c r="D57" t="str">
        <f>'List of all columns'!G55</f>
        <v>PRED_AMES_LS_BACT_MUTATE_REL</v>
      </c>
      <c r="E57" t="s">
        <v>523</v>
      </c>
      <c r="F57" t="str">
        <f>'List of all columns'!H55</f>
        <v>VARCHAR(200)</v>
      </c>
      <c r="G57" t="s">
        <v>2499</v>
      </c>
      <c r="H57" t="str">
        <f t="shared" si="0"/>
        <v>ALTER TABLE NES_PAN_UPLOAD_TOXICOLOGY  ADD PRED_AMES_LS_BACT_MUTATE_REL VARCHAR(200);</v>
      </c>
    </row>
    <row r="58" spans="1:8" x14ac:dyDescent="0.35">
      <c r="A58" t="s">
        <v>2496</v>
      </c>
      <c r="B58" s="309" t="s">
        <v>2497</v>
      </c>
      <c r="C58" t="s">
        <v>2498</v>
      </c>
      <c r="D58" t="str">
        <f>'List of all columns'!G56</f>
        <v>PRED_AMES_LS_SALMONELLA_MUT</v>
      </c>
      <c r="E58" t="s">
        <v>523</v>
      </c>
      <c r="F58" t="str">
        <f>'List of all columns'!H56</f>
        <v>VARCHAR(200)</v>
      </c>
      <c r="G58" t="s">
        <v>2499</v>
      </c>
      <c r="H58" t="str">
        <f t="shared" si="0"/>
        <v>ALTER TABLE NES_PAN_UPLOAD_TOXICOLOGY  ADD PRED_AMES_LS_SALMONELLA_MUT VARCHAR(200);</v>
      </c>
    </row>
    <row r="59" spans="1:8" x14ac:dyDescent="0.35">
      <c r="A59" t="s">
        <v>2496</v>
      </c>
      <c r="B59" s="309" t="s">
        <v>2497</v>
      </c>
      <c r="C59" t="s">
        <v>2498</v>
      </c>
      <c r="D59" t="str">
        <f>'List of all columns'!G57</f>
        <v>PRED_AMES_LS_SALMONELLA_MUT_REL</v>
      </c>
      <c r="E59" t="s">
        <v>523</v>
      </c>
      <c r="F59" t="str">
        <f>'List of all columns'!H57</f>
        <v>VARCHAR(200)</v>
      </c>
      <c r="G59" t="s">
        <v>2499</v>
      </c>
      <c r="H59" t="str">
        <f t="shared" si="0"/>
        <v>ALTER TABLE NES_PAN_UPLOAD_TOXICOLOGY  ADD PRED_AMES_LS_SALMONELLA_MUT_REL VARCHAR(200);</v>
      </c>
    </row>
    <row r="60" spans="1:8" x14ac:dyDescent="0.35">
      <c r="A60" t="s">
        <v>2496</v>
      </c>
      <c r="B60" s="309" t="s">
        <v>2497</v>
      </c>
      <c r="C60" t="s">
        <v>2498</v>
      </c>
      <c r="D60" t="str">
        <f>'List of all columns'!G58</f>
        <v>PRED_AMES_LS_ECOLI_MUT</v>
      </c>
      <c r="E60" t="s">
        <v>523</v>
      </c>
      <c r="F60" t="str">
        <f>'List of all columns'!H58</f>
        <v>VARCHAR(200)</v>
      </c>
      <c r="G60" t="s">
        <v>2499</v>
      </c>
      <c r="H60" t="str">
        <f t="shared" si="0"/>
        <v>ALTER TABLE NES_PAN_UPLOAD_TOXICOLOGY  ADD PRED_AMES_LS_ECOLI_MUT VARCHAR(200);</v>
      </c>
    </row>
    <row r="61" spans="1:8" x14ac:dyDescent="0.35">
      <c r="A61" t="s">
        <v>2496</v>
      </c>
      <c r="B61" s="309" t="s">
        <v>2497</v>
      </c>
      <c r="C61" t="s">
        <v>2498</v>
      </c>
      <c r="D61" t="str">
        <f>'List of all columns'!G59</f>
        <v>PRED_AMES_LS_ECOLI_MUT_REL</v>
      </c>
      <c r="E61" t="s">
        <v>523</v>
      </c>
      <c r="F61" t="str">
        <f>'List of all columns'!H59</f>
        <v>VARCHAR(200)</v>
      </c>
      <c r="G61" t="s">
        <v>2499</v>
      </c>
      <c r="H61" t="str">
        <f t="shared" si="0"/>
        <v>ALTER TABLE NES_PAN_UPLOAD_TOXICOLOGY  ADD PRED_AMES_LS_ECOLI_MUT_REL VARCHAR(200);</v>
      </c>
    </row>
    <row r="62" spans="1:8" x14ac:dyDescent="0.35">
      <c r="A62" t="s">
        <v>2496</v>
      </c>
      <c r="B62" s="309" t="s">
        <v>2497</v>
      </c>
      <c r="C62" t="s">
        <v>2498</v>
      </c>
      <c r="D62" t="str">
        <f>'List of all columns'!G60</f>
        <v>MUTATGEN_FINAL_CALL</v>
      </c>
      <c r="E62" t="s">
        <v>523</v>
      </c>
      <c r="F62" t="str">
        <f>'List of all columns'!H60</f>
        <v>VARCHAR(200)</v>
      </c>
      <c r="G62" t="s">
        <v>2499</v>
      </c>
      <c r="H62" t="str">
        <f t="shared" si="0"/>
        <v>ALTER TABLE NES_PAN_UPLOAD_TOXICOLOGY  ADD MUTATGEN_FINAL_CALL VARCHAR(200);</v>
      </c>
    </row>
    <row r="63" spans="1:8" x14ac:dyDescent="0.35">
      <c r="A63" t="s">
        <v>2496</v>
      </c>
      <c r="B63" s="309" t="s">
        <v>2497</v>
      </c>
      <c r="C63" t="s">
        <v>2498</v>
      </c>
      <c r="D63" t="str">
        <f>'List of all columns'!G61</f>
        <v>MUTATGEN_FINAL_CALL_REL</v>
      </c>
      <c r="E63" t="s">
        <v>523</v>
      </c>
      <c r="F63" t="str">
        <f>'List of all columns'!H61</f>
        <v>VARCHAR(200)</v>
      </c>
      <c r="G63" t="s">
        <v>2499</v>
      </c>
      <c r="H63" t="str">
        <f t="shared" si="0"/>
        <v>ALTER TABLE NES_PAN_UPLOAD_TOXICOLOGY  ADD MUTATGEN_FINAL_CALL_REL VARCHAR(200);</v>
      </c>
    </row>
    <row r="64" spans="1:8" x14ac:dyDescent="0.35">
      <c r="A64" t="s">
        <v>2496</v>
      </c>
      <c r="B64" s="309" t="s">
        <v>2497</v>
      </c>
      <c r="C64" t="s">
        <v>2498</v>
      </c>
      <c r="D64" t="str">
        <f>'List of all columns'!G62</f>
        <v>MUTATGEN_FINAL_CALL_EXP_PRED</v>
      </c>
      <c r="E64" t="s">
        <v>523</v>
      </c>
      <c r="F64" t="str">
        <f>'List of all columns'!H62</f>
        <v>VARCHAR(200)</v>
      </c>
      <c r="G64" t="s">
        <v>2499</v>
      </c>
      <c r="H64" t="str">
        <f t="shared" si="0"/>
        <v>ALTER TABLE NES_PAN_UPLOAD_TOXICOLOGY  ADD MUTATGEN_FINAL_CALL_EXP_PRED VARCHAR(200);</v>
      </c>
    </row>
    <row r="65" spans="1:8" x14ac:dyDescent="0.35">
      <c r="A65" t="s">
        <v>2496</v>
      </c>
      <c r="B65" s="309" t="s">
        <v>2497</v>
      </c>
      <c r="C65" t="s">
        <v>2498</v>
      </c>
      <c r="D65" t="str">
        <f>'List of all columns'!G63</f>
        <v>MUTATGEN_FINAL_CALL_SOURCE</v>
      </c>
      <c r="E65" t="s">
        <v>523</v>
      </c>
      <c r="F65" t="str">
        <f>'List of all columns'!H63</f>
        <v>VARCHAR(200)</v>
      </c>
      <c r="G65" t="s">
        <v>2499</v>
      </c>
      <c r="H65" t="str">
        <f t="shared" si="0"/>
        <v>ALTER TABLE NES_PAN_UPLOAD_TOXICOLOGY  ADD MUTATGEN_FINAL_CALL_SOURCE VARCHAR(200);</v>
      </c>
    </row>
    <row r="66" spans="1:8" x14ac:dyDescent="0.35">
      <c r="A66" t="s">
        <v>2496</v>
      </c>
      <c r="B66" s="309" t="s">
        <v>2497</v>
      </c>
      <c r="C66" t="s">
        <v>2498</v>
      </c>
      <c r="D66" t="str">
        <f>'List of all columns'!G64</f>
        <v>MUTATGEN_FINAL_CALL_COMMENTS</v>
      </c>
      <c r="E66" t="s">
        <v>523</v>
      </c>
      <c r="F66" t="str">
        <f>'List of all columns'!H64</f>
        <v>VARCHAR(200)</v>
      </c>
      <c r="G66" t="s">
        <v>2499</v>
      </c>
      <c r="H66" t="str">
        <f t="shared" si="0"/>
        <v>ALTER TABLE NES_PAN_UPLOAD_TOXICOLOGY  ADD MUTATGEN_FINAL_CALL_COMMENTS VARCHAR(200);</v>
      </c>
    </row>
    <row r="67" spans="1:8" x14ac:dyDescent="0.35">
      <c r="A67" t="s">
        <v>2496</v>
      </c>
      <c r="B67" s="309" t="s">
        <v>2497</v>
      </c>
      <c r="C67" t="s">
        <v>2498</v>
      </c>
      <c r="D67" t="str">
        <f>'List of all columns'!G65</f>
        <v>EXP_MN_IVT_ECHA_REACH_DB</v>
      </c>
      <c r="E67" t="s">
        <v>523</v>
      </c>
      <c r="F67" t="str">
        <f>'List of all columns'!H65</f>
        <v>VARCHAR(200)</v>
      </c>
      <c r="G67" t="s">
        <v>2499</v>
      </c>
      <c r="H67" t="str">
        <f t="shared" si="0"/>
        <v>ALTER TABLE NES_PAN_UPLOAD_TOXICOLOGY  ADD EXP_MN_IVT_ECHA_REACH_DB VARCHAR(200);</v>
      </c>
    </row>
    <row r="68" spans="1:8" x14ac:dyDescent="0.35">
      <c r="A68" t="s">
        <v>2496</v>
      </c>
      <c r="B68" s="309" t="s">
        <v>2497</v>
      </c>
      <c r="C68" t="s">
        <v>2498</v>
      </c>
      <c r="D68" t="str">
        <f>'List of all columns'!G66</f>
        <v>MN_EXP_INVITRO_ECVAM</v>
      </c>
      <c r="E68" t="s">
        <v>523</v>
      </c>
      <c r="F68" t="str">
        <f>'List of all columns'!H66</f>
        <v>VARCHAR(200)</v>
      </c>
      <c r="G68" t="s">
        <v>2499</v>
      </c>
      <c r="H68" t="str">
        <f t="shared" si="0"/>
        <v>ALTER TABLE NES_PAN_UPLOAD_TOXICOLOGY  ADD MN_EXP_INVITRO_ECVAM VARCHAR(200);</v>
      </c>
    </row>
    <row r="69" spans="1:8" x14ac:dyDescent="0.35">
      <c r="A69" t="s">
        <v>2496</v>
      </c>
      <c r="B69" s="309" t="s">
        <v>2497</v>
      </c>
      <c r="C69" t="s">
        <v>2498</v>
      </c>
      <c r="D69" t="str">
        <f>'List of all columns'!G67</f>
        <v>MN_EXP_INVITRO_VEGA</v>
      </c>
      <c r="E69" t="s">
        <v>523</v>
      </c>
      <c r="F69" t="str">
        <f>'List of all columns'!H67</f>
        <v>VARCHAR(200)</v>
      </c>
      <c r="G69" t="s">
        <v>2499</v>
      </c>
      <c r="H69" t="str">
        <f t="shared" si="0"/>
        <v>ALTER TABLE NES_PAN_UPLOAD_TOXICOLOGY  ADD MN_EXP_INVITRO_VEGA VARCHAR(200);</v>
      </c>
    </row>
    <row r="70" spans="1:8" x14ac:dyDescent="0.35">
      <c r="A70" t="s">
        <v>2496</v>
      </c>
      <c r="B70" s="309" t="s">
        <v>2497</v>
      </c>
      <c r="C70" t="s">
        <v>2498</v>
      </c>
      <c r="D70" t="str">
        <f>'List of all columns'!G68</f>
        <v>MN_EXP_INVITRO_COMMENTS</v>
      </c>
      <c r="E70" t="s">
        <v>523</v>
      </c>
      <c r="F70" t="str">
        <f>'List of all columns'!H68</f>
        <v>VARCHAR(200)</v>
      </c>
      <c r="G70" t="s">
        <v>2499</v>
      </c>
      <c r="H70" t="str">
        <f t="shared" ref="H70:H133" si="1">_xlfn.CONCAT(A70:G70)</f>
        <v>ALTER TABLE NES_PAN_UPLOAD_TOXICOLOGY  ADD MN_EXP_INVITRO_COMMENTS VARCHAR(200);</v>
      </c>
    </row>
    <row r="71" spans="1:8" x14ac:dyDescent="0.35">
      <c r="A71" t="s">
        <v>2496</v>
      </c>
      <c r="B71" s="309" t="s">
        <v>2497</v>
      </c>
      <c r="C71" t="s">
        <v>2498</v>
      </c>
      <c r="D71" t="str">
        <f>'List of all columns'!G69</f>
        <v>MN_EXP_INVIVO_LS</v>
      </c>
      <c r="E71" t="s">
        <v>523</v>
      </c>
      <c r="F71" t="str">
        <f>'List of all columns'!H69</f>
        <v>VARCHAR(200)</v>
      </c>
      <c r="G71" t="s">
        <v>2499</v>
      </c>
      <c r="H71" t="str">
        <f t="shared" si="1"/>
        <v>ALTER TABLE NES_PAN_UPLOAD_TOXICOLOGY  ADD MN_EXP_INVIVO_LS VARCHAR(200);</v>
      </c>
    </row>
    <row r="72" spans="1:8" x14ac:dyDescent="0.35">
      <c r="A72" t="s">
        <v>2496</v>
      </c>
      <c r="B72" s="309" t="s">
        <v>2497</v>
      </c>
      <c r="C72" t="s">
        <v>2498</v>
      </c>
      <c r="D72" t="str">
        <f>'List of all columns'!G70</f>
        <v>MN_EXP_INVIVO_ECVAM</v>
      </c>
      <c r="E72" t="s">
        <v>523</v>
      </c>
      <c r="F72" t="str">
        <f>'List of all columns'!H70</f>
        <v>VARCHAR(200)</v>
      </c>
      <c r="G72" t="s">
        <v>2499</v>
      </c>
      <c r="H72" t="str">
        <f t="shared" si="1"/>
        <v>ALTER TABLE NES_PAN_UPLOAD_TOXICOLOGY  ADD MN_EXP_INVIVO_ECVAM VARCHAR(200);</v>
      </c>
    </row>
    <row r="73" spans="1:8" x14ac:dyDescent="0.35">
      <c r="A73" t="s">
        <v>2496</v>
      </c>
      <c r="B73" s="309" t="s">
        <v>2497</v>
      </c>
      <c r="C73" t="s">
        <v>2498</v>
      </c>
      <c r="D73" t="str">
        <f>'List of all columns'!G71</f>
        <v>MN_EXP_INVIVO_ICE</v>
      </c>
      <c r="E73" t="s">
        <v>523</v>
      </c>
      <c r="F73" t="str">
        <f>'List of all columns'!H71</f>
        <v>VARCHAR(200)</v>
      </c>
      <c r="G73" t="s">
        <v>2499</v>
      </c>
      <c r="H73" t="str">
        <f t="shared" si="1"/>
        <v>ALTER TABLE NES_PAN_UPLOAD_TOXICOLOGY  ADD MN_EXP_INVIVO_ICE VARCHAR(200);</v>
      </c>
    </row>
    <row r="74" spans="1:8" x14ac:dyDescent="0.35">
      <c r="A74" t="s">
        <v>2496</v>
      </c>
      <c r="B74" s="309" t="s">
        <v>2497</v>
      </c>
      <c r="C74" t="s">
        <v>2498</v>
      </c>
      <c r="D74" t="str">
        <f>'List of all columns'!G72</f>
        <v>MN_EXP_INVIVO_ECHA_REACH</v>
      </c>
      <c r="E74" t="s">
        <v>523</v>
      </c>
      <c r="F74" t="str">
        <f>'List of all columns'!H72</f>
        <v>VARCHAR(200)</v>
      </c>
      <c r="G74" t="s">
        <v>2499</v>
      </c>
      <c r="H74" t="str">
        <f t="shared" si="1"/>
        <v>ALTER TABLE NES_PAN_UPLOAD_TOXICOLOGY  ADD MN_EXP_INVIVO_ECHA_REACH VARCHAR(200);</v>
      </c>
    </row>
    <row r="75" spans="1:8" x14ac:dyDescent="0.35">
      <c r="A75" t="s">
        <v>2496</v>
      </c>
      <c r="B75" s="309" t="s">
        <v>2497</v>
      </c>
      <c r="C75" t="s">
        <v>2498</v>
      </c>
      <c r="D75" t="str">
        <f>'List of all columns'!G73</f>
        <v>MN_EXP_INVIVO_VEGA</v>
      </c>
      <c r="E75" t="s">
        <v>523</v>
      </c>
      <c r="F75" t="str">
        <f>'List of all columns'!H73</f>
        <v>VARCHAR(200)</v>
      </c>
      <c r="G75" t="s">
        <v>2499</v>
      </c>
      <c r="H75" t="str">
        <f t="shared" si="1"/>
        <v>ALTER TABLE NES_PAN_UPLOAD_TOXICOLOGY  ADD MN_EXP_INVIVO_VEGA VARCHAR(200);</v>
      </c>
    </row>
    <row r="76" spans="1:8" x14ac:dyDescent="0.35">
      <c r="A76" t="s">
        <v>2496</v>
      </c>
      <c r="B76" s="309" t="s">
        <v>2497</v>
      </c>
      <c r="C76" t="s">
        <v>2498</v>
      </c>
      <c r="D76" t="str">
        <f>'List of all columns'!G74</f>
        <v>MN_EXP_INVIVO_COMMENTS</v>
      </c>
      <c r="E76" t="s">
        <v>523</v>
      </c>
      <c r="F76" t="str">
        <f>'List of all columns'!H74</f>
        <v>VARCHAR(200)</v>
      </c>
      <c r="G76" t="s">
        <v>2499</v>
      </c>
      <c r="H76" t="str">
        <f t="shared" si="1"/>
        <v>ALTER TABLE NES_PAN_UPLOAD_TOXICOLOGY  ADD MN_EXP_INVIVO_COMMENTS VARCHAR(200);</v>
      </c>
    </row>
    <row r="77" spans="1:8" x14ac:dyDescent="0.35">
      <c r="A77" t="s">
        <v>2496</v>
      </c>
      <c r="B77" s="309" t="s">
        <v>2497</v>
      </c>
      <c r="C77" t="s">
        <v>2498</v>
      </c>
      <c r="D77" t="str">
        <f>'List of all columns'!G75</f>
        <v>MN_PRED_INVITRO_VEGA</v>
      </c>
      <c r="E77" t="s">
        <v>523</v>
      </c>
      <c r="F77" t="str">
        <f>'List of all columns'!H75</f>
        <v>VARCHAR(200)</v>
      </c>
      <c r="G77" t="s">
        <v>2499</v>
      </c>
      <c r="H77" t="str">
        <f t="shared" si="1"/>
        <v>ALTER TABLE NES_PAN_UPLOAD_TOXICOLOGY  ADD MN_PRED_INVITRO_VEGA VARCHAR(200);</v>
      </c>
    </row>
    <row r="78" spans="1:8" x14ac:dyDescent="0.35">
      <c r="A78" t="s">
        <v>2496</v>
      </c>
      <c r="B78" s="309" t="s">
        <v>2497</v>
      </c>
      <c r="C78" t="s">
        <v>2498</v>
      </c>
      <c r="D78" t="str">
        <f>'List of all columns'!G76</f>
        <v>MN_PRED_INVITRO_VEGA_REL</v>
      </c>
      <c r="E78" t="s">
        <v>523</v>
      </c>
      <c r="F78" t="str">
        <f>'List of all columns'!H76</f>
        <v>VARCHAR(200)</v>
      </c>
      <c r="G78" t="s">
        <v>2499</v>
      </c>
      <c r="H78" t="str">
        <f t="shared" si="1"/>
        <v>ALTER TABLE NES_PAN_UPLOAD_TOXICOLOGY  ADD MN_PRED_INVITRO_VEGA_REL VARCHAR(200);</v>
      </c>
    </row>
    <row r="79" spans="1:8" x14ac:dyDescent="0.35">
      <c r="A79" t="s">
        <v>2496</v>
      </c>
      <c r="B79" s="309" t="s">
        <v>2497</v>
      </c>
      <c r="C79" t="s">
        <v>2498</v>
      </c>
      <c r="D79" t="str">
        <f>'List of all columns'!G77</f>
        <v>MN_PRED_INVIVO_VEGA</v>
      </c>
      <c r="E79" t="s">
        <v>523</v>
      </c>
      <c r="F79" t="str">
        <f>'List of all columns'!H77</f>
        <v>VARCHAR(200)</v>
      </c>
      <c r="G79" t="s">
        <v>2499</v>
      </c>
      <c r="H79" t="str">
        <f t="shared" si="1"/>
        <v>ALTER TABLE NES_PAN_UPLOAD_TOXICOLOGY  ADD MN_PRED_INVIVO_VEGA VARCHAR(200);</v>
      </c>
    </row>
    <row r="80" spans="1:8" x14ac:dyDescent="0.35">
      <c r="A80" t="s">
        <v>2496</v>
      </c>
      <c r="B80" s="309" t="s">
        <v>2497</v>
      </c>
      <c r="C80" t="s">
        <v>2498</v>
      </c>
      <c r="D80" t="str">
        <f>'List of all columns'!G78</f>
        <v>MN_PRED_INVIVO_VEGA_REL</v>
      </c>
      <c r="E80" t="s">
        <v>523</v>
      </c>
      <c r="F80" t="str">
        <f>'List of all columns'!H78</f>
        <v>VARCHAR(200)</v>
      </c>
      <c r="G80" t="s">
        <v>2499</v>
      </c>
      <c r="H80" t="str">
        <f t="shared" si="1"/>
        <v>ALTER TABLE NES_PAN_UPLOAD_TOXICOLOGY  ADD MN_PRED_INVIVO_VEGA_REL VARCHAR(200);</v>
      </c>
    </row>
    <row r="81" spans="1:8" x14ac:dyDescent="0.35">
      <c r="A81" t="s">
        <v>2496</v>
      </c>
      <c r="B81" s="309" t="s">
        <v>2497</v>
      </c>
      <c r="C81" t="s">
        <v>2498</v>
      </c>
      <c r="D81" t="str">
        <f>'List of all columns'!G79</f>
        <v>MN_PRED_INVIVO_LS_VIVO_MOUSE</v>
      </c>
      <c r="E81" t="s">
        <v>523</v>
      </c>
      <c r="F81" t="str">
        <f>'List of all columns'!H79</f>
        <v>VARCHAR(200)</v>
      </c>
      <c r="G81" t="s">
        <v>2499</v>
      </c>
      <c r="H81" t="str">
        <f t="shared" si="1"/>
        <v>ALTER TABLE NES_PAN_UPLOAD_TOXICOLOGY  ADD MN_PRED_INVIVO_LS_VIVO_MOUSE VARCHAR(200);</v>
      </c>
    </row>
    <row r="82" spans="1:8" x14ac:dyDescent="0.35">
      <c r="A82" t="s">
        <v>2496</v>
      </c>
      <c r="B82" s="309" t="s">
        <v>2497</v>
      </c>
      <c r="C82" t="s">
        <v>2498</v>
      </c>
      <c r="D82" t="str">
        <f>'List of all columns'!G80</f>
        <v>MN_PRED_INVIVO_LS_VIVO_MOUSE_REL</v>
      </c>
      <c r="E82" t="s">
        <v>523</v>
      </c>
      <c r="F82" t="str">
        <f>'List of all columns'!H80</f>
        <v>VARCHAR(200)</v>
      </c>
      <c r="G82" t="s">
        <v>2499</v>
      </c>
      <c r="H82" t="str">
        <f t="shared" si="1"/>
        <v>ALTER TABLE NES_PAN_UPLOAD_TOXICOLOGY  ADD MN_PRED_INVIVO_LS_VIVO_MOUSE_REL VARCHAR(200);</v>
      </c>
    </row>
    <row r="83" spans="1:8" x14ac:dyDescent="0.35">
      <c r="A83" t="s">
        <v>2496</v>
      </c>
      <c r="B83" s="309" t="s">
        <v>2497</v>
      </c>
      <c r="C83" t="s">
        <v>2498</v>
      </c>
      <c r="D83" t="str">
        <f>'List of all columns'!G81</f>
        <v>MN_PRED_INVIVO_TOXTREE_STRUCT_ALERT</v>
      </c>
      <c r="E83" t="s">
        <v>523</v>
      </c>
      <c r="F83" t="str">
        <f>'List of all columns'!H81</f>
        <v>VARCHAR(200)</v>
      </c>
      <c r="G83" t="s">
        <v>2499</v>
      </c>
      <c r="H83" t="str">
        <f t="shared" si="1"/>
        <v>ALTER TABLE NES_PAN_UPLOAD_TOXICOLOGY  ADD MN_PRED_INVIVO_TOXTREE_STRUCT_ALERT VARCHAR(200);</v>
      </c>
    </row>
    <row r="84" spans="1:8" x14ac:dyDescent="0.35">
      <c r="A84" t="s">
        <v>2496</v>
      </c>
      <c r="B84" s="309" t="s">
        <v>2497</v>
      </c>
      <c r="C84" t="s">
        <v>2498</v>
      </c>
      <c r="D84" t="str">
        <f>'List of all columns'!G82</f>
        <v>MN_PRED_INVIVO_TOXTREE_STRUCT_ALERT_COMMENTS</v>
      </c>
      <c r="E84" t="s">
        <v>523</v>
      </c>
      <c r="F84" t="str">
        <f>'List of all columns'!H82</f>
        <v>VARCHAR(200)</v>
      </c>
      <c r="G84" t="s">
        <v>2499</v>
      </c>
      <c r="H84" t="str">
        <f t="shared" si="1"/>
        <v>ALTER TABLE NES_PAN_UPLOAD_TOXICOLOGY  ADD MN_PRED_INVIVO_TOXTREE_STRUCT_ALERT_COMMENTS VARCHAR(200);</v>
      </c>
    </row>
    <row r="85" spans="1:8" x14ac:dyDescent="0.35">
      <c r="A85" t="s">
        <v>2496</v>
      </c>
      <c r="B85" s="309" t="s">
        <v>2497</v>
      </c>
      <c r="C85" t="s">
        <v>2498</v>
      </c>
      <c r="D85" t="str">
        <f>'List of all columns'!G83</f>
        <v>MOUSE_LYM_EXP_INVITRO_ACT</v>
      </c>
      <c r="E85" t="s">
        <v>523</v>
      </c>
      <c r="F85" t="str">
        <f>'List of all columns'!H83</f>
        <v>VARCHAR(200)</v>
      </c>
      <c r="G85" t="s">
        <v>2499</v>
      </c>
      <c r="H85" t="str">
        <f t="shared" si="1"/>
        <v>ALTER TABLE NES_PAN_UPLOAD_TOXICOLOGY  ADD MOUSE_LYM_EXP_INVITRO_ACT VARCHAR(200);</v>
      </c>
    </row>
    <row r="86" spans="1:8" x14ac:dyDescent="0.35">
      <c r="A86" t="s">
        <v>2496</v>
      </c>
      <c r="B86" s="309" t="s">
        <v>2497</v>
      </c>
      <c r="C86" t="s">
        <v>2498</v>
      </c>
      <c r="D86" t="str">
        <f>'List of all columns'!G84</f>
        <v>MOUSE_LYM_EXP_INVITRO_UNACT</v>
      </c>
      <c r="E86" t="s">
        <v>523</v>
      </c>
      <c r="F86" t="str">
        <f>'List of all columns'!H84</f>
        <v>VARCHAR(200)</v>
      </c>
      <c r="G86" t="s">
        <v>2499</v>
      </c>
      <c r="H86" t="str">
        <f t="shared" si="1"/>
        <v>ALTER TABLE NES_PAN_UPLOAD_TOXICOLOGY  ADD MOUSE_LYM_EXP_INVITRO_UNACT VARCHAR(200);</v>
      </c>
    </row>
    <row r="87" spans="1:8" x14ac:dyDescent="0.35">
      <c r="A87" t="s">
        <v>2496</v>
      </c>
      <c r="B87" s="309" t="s">
        <v>2497</v>
      </c>
      <c r="C87" t="s">
        <v>2498</v>
      </c>
      <c r="D87" t="str">
        <f>'List of all columns'!G85</f>
        <v>MOUSE_LYM_EXP_INVITRO_COMMENTS</v>
      </c>
      <c r="E87" t="s">
        <v>523</v>
      </c>
      <c r="F87" t="str">
        <f>'List of all columns'!H85</f>
        <v>VARCHAR(200)</v>
      </c>
      <c r="G87" t="s">
        <v>2499</v>
      </c>
      <c r="H87" t="str">
        <f t="shared" si="1"/>
        <v>ALTER TABLE NES_PAN_UPLOAD_TOXICOLOGY  ADD MOUSE_LYM_EXP_INVITRO_COMMENTS VARCHAR(200);</v>
      </c>
    </row>
    <row r="88" spans="1:8" x14ac:dyDescent="0.35">
      <c r="A88" t="s">
        <v>2496</v>
      </c>
      <c r="B88" s="309" t="s">
        <v>2497</v>
      </c>
      <c r="C88" t="s">
        <v>2498</v>
      </c>
      <c r="D88" t="str">
        <f>'List of all columns'!G86</f>
        <v>MOUSE_LYM_PRED_INVITRO_ACT</v>
      </c>
      <c r="E88" t="s">
        <v>523</v>
      </c>
      <c r="F88" t="str">
        <f>'List of all columns'!H86</f>
        <v>VARCHAR(200)</v>
      </c>
      <c r="G88" t="s">
        <v>2499</v>
      </c>
      <c r="H88" t="str">
        <f t="shared" si="1"/>
        <v>ALTER TABLE NES_PAN_UPLOAD_TOXICOLOGY  ADD MOUSE_LYM_PRED_INVITRO_ACT VARCHAR(200);</v>
      </c>
    </row>
    <row r="89" spans="1:8" x14ac:dyDescent="0.35">
      <c r="A89" t="s">
        <v>2496</v>
      </c>
      <c r="B89" s="309" t="s">
        <v>2497</v>
      </c>
      <c r="C89" t="s">
        <v>2498</v>
      </c>
      <c r="D89" t="str">
        <f>'List of all columns'!G87</f>
        <v>MOUSE_LYM_PRED_INVITRO_ACT_POS_PRED_PROB</v>
      </c>
      <c r="E89" t="s">
        <v>523</v>
      </c>
      <c r="F89" t="str">
        <f>'List of all columns'!H87</f>
        <v>VARCHAR(200)</v>
      </c>
      <c r="G89" t="s">
        <v>2499</v>
      </c>
      <c r="H89" t="str">
        <f t="shared" si="1"/>
        <v>ALTER TABLE NES_PAN_UPLOAD_TOXICOLOGY  ADD MOUSE_LYM_PRED_INVITRO_ACT_POS_PRED_PROB VARCHAR(200);</v>
      </c>
    </row>
    <row r="90" spans="1:8" x14ac:dyDescent="0.35">
      <c r="A90" t="s">
        <v>2496</v>
      </c>
      <c r="B90" s="309" t="s">
        <v>2497</v>
      </c>
      <c r="C90" t="s">
        <v>2498</v>
      </c>
      <c r="D90" t="str">
        <f>'List of all columns'!G88</f>
        <v>MOUSE_LYM_PRED_INVITRO_UNACT</v>
      </c>
      <c r="E90" t="s">
        <v>523</v>
      </c>
      <c r="F90" t="str">
        <f>'List of all columns'!H88</f>
        <v>VARCHAR(200)</v>
      </c>
      <c r="G90" t="s">
        <v>2499</v>
      </c>
      <c r="H90" t="str">
        <f t="shared" si="1"/>
        <v>ALTER TABLE NES_PAN_UPLOAD_TOXICOLOGY  ADD MOUSE_LYM_PRED_INVITRO_UNACT VARCHAR(200);</v>
      </c>
    </row>
    <row r="91" spans="1:8" x14ac:dyDescent="0.35">
      <c r="A91" t="s">
        <v>2496</v>
      </c>
      <c r="B91" s="309" t="s">
        <v>2497</v>
      </c>
      <c r="C91" t="s">
        <v>2498</v>
      </c>
      <c r="D91" t="str">
        <f>'List of all columns'!G89</f>
        <v>MOUSE_LYM_PRED_INVITRO_UNACT_POS_PRED_PROB</v>
      </c>
      <c r="E91" t="s">
        <v>523</v>
      </c>
      <c r="F91" t="str">
        <f>'List of all columns'!H89</f>
        <v>VARCHAR(200)</v>
      </c>
      <c r="G91" t="s">
        <v>2499</v>
      </c>
      <c r="H91" t="str">
        <f t="shared" si="1"/>
        <v>ALTER TABLE NES_PAN_UPLOAD_TOXICOLOGY  ADD MOUSE_LYM_PRED_INVITRO_UNACT_POS_PRED_PROB VARCHAR(200);</v>
      </c>
    </row>
    <row r="92" spans="1:8" x14ac:dyDescent="0.35">
      <c r="A92" t="s">
        <v>2496</v>
      </c>
      <c r="B92" s="309" t="s">
        <v>2497</v>
      </c>
      <c r="C92" t="s">
        <v>2498</v>
      </c>
      <c r="D92" t="str">
        <f>'List of all columns'!G90</f>
        <v>CHROM_AB_EXP_INVITRO_ECHA_REACH</v>
      </c>
      <c r="E92" t="s">
        <v>523</v>
      </c>
      <c r="F92" t="str">
        <f>'List of all columns'!H90</f>
        <v>VARCHAR(200)</v>
      </c>
      <c r="G92" t="s">
        <v>2499</v>
      </c>
      <c r="H92" t="str">
        <f t="shared" si="1"/>
        <v>ALTER TABLE NES_PAN_UPLOAD_TOXICOLOGY  ADD CHROM_AB_EXP_INVITRO_ECHA_REACH VARCHAR(200);</v>
      </c>
    </row>
    <row r="93" spans="1:8" x14ac:dyDescent="0.35">
      <c r="A93" t="s">
        <v>2496</v>
      </c>
      <c r="B93" s="309" t="s">
        <v>2497</v>
      </c>
      <c r="C93" t="s">
        <v>2498</v>
      </c>
      <c r="D93" t="str">
        <f>'List of all columns'!G91</f>
        <v>CHROM_AB_EXP_INVITRO_LS_CHO</v>
      </c>
      <c r="E93" t="s">
        <v>523</v>
      </c>
      <c r="F93" t="str">
        <f>'List of all columns'!H91</f>
        <v>VARCHAR(200)</v>
      </c>
      <c r="G93" t="s">
        <v>2499</v>
      </c>
      <c r="H93" t="str">
        <f t="shared" si="1"/>
        <v>ALTER TABLE NES_PAN_UPLOAD_TOXICOLOGY  ADD CHROM_AB_EXP_INVITRO_LS_CHO VARCHAR(200);</v>
      </c>
    </row>
    <row r="94" spans="1:8" x14ac:dyDescent="0.35">
      <c r="A94" t="s">
        <v>2496</v>
      </c>
      <c r="B94" s="309" t="s">
        <v>2497</v>
      </c>
      <c r="C94" t="s">
        <v>2498</v>
      </c>
      <c r="D94" t="str">
        <f>'List of all columns'!G92</f>
        <v>CHROM_AB_EXP_INVITRO_LS_CHL</v>
      </c>
      <c r="E94" t="s">
        <v>523</v>
      </c>
      <c r="F94" t="str">
        <f>'List of all columns'!H92</f>
        <v>VARCHAR(200)</v>
      </c>
      <c r="G94" t="s">
        <v>2499</v>
      </c>
      <c r="H94" t="str">
        <f t="shared" si="1"/>
        <v>ALTER TABLE NES_PAN_UPLOAD_TOXICOLOGY  ADD CHROM_AB_EXP_INVITRO_LS_CHL VARCHAR(200);</v>
      </c>
    </row>
    <row r="95" spans="1:8" x14ac:dyDescent="0.35">
      <c r="A95" t="s">
        <v>2496</v>
      </c>
      <c r="B95" s="309" t="s">
        <v>2497</v>
      </c>
      <c r="C95" t="s">
        <v>2498</v>
      </c>
      <c r="D95" t="str">
        <f>'List of all columns'!G93</f>
        <v>CHROM_AB_EXP_INVITRO_VEGA_CORAL</v>
      </c>
      <c r="E95" t="s">
        <v>523</v>
      </c>
      <c r="F95" t="str">
        <f>'List of all columns'!H93</f>
        <v>VARCHAR(200)</v>
      </c>
      <c r="G95" t="s">
        <v>2499</v>
      </c>
      <c r="H95" t="str">
        <f t="shared" si="1"/>
        <v>ALTER TABLE NES_PAN_UPLOAD_TOXICOLOGY  ADD CHROM_AB_EXP_INVITRO_VEGA_CORAL VARCHAR(200);</v>
      </c>
    </row>
    <row r="96" spans="1:8" x14ac:dyDescent="0.35">
      <c r="A96" t="s">
        <v>2496</v>
      </c>
      <c r="B96" s="309" t="s">
        <v>2497</v>
      </c>
      <c r="C96" t="s">
        <v>2498</v>
      </c>
      <c r="D96" t="str">
        <f>'List of all columns'!G94</f>
        <v>CHROM_AB_EXP_INVITRO_ECVAM</v>
      </c>
      <c r="E96" t="s">
        <v>523</v>
      </c>
      <c r="F96" t="str">
        <f>'List of all columns'!H94</f>
        <v>VARCHAR(200)</v>
      </c>
      <c r="G96" t="s">
        <v>2499</v>
      </c>
      <c r="H96" t="str">
        <f t="shared" si="1"/>
        <v>ALTER TABLE NES_PAN_UPLOAD_TOXICOLOGY  ADD CHROM_AB_EXP_INVITRO_ECVAM VARCHAR(200);</v>
      </c>
    </row>
    <row r="97" spans="1:8" x14ac:dyDescent="0.35">
      <c r="A97" t="s">
        <v>2496</v>
      </c>
      <c r="B97" s="309" t="s">
        <v>2497</v>
      </c>
      <c r="C97" t="s">
        <v>2498</v>
      </c>
      <c r="D97" t="str">
        <f>'List of all columns'!G95</f>
        <v>CHROM_AB_EXP_INVITRO_COMMENTS</v>
      </c>
      <c r="E97" t="s">
        <v>523</v>
      </c>
      <c r="F97" t="str">
        <f>'List of all columns'!H95</f>
        <v>VARCHAR(200)</v>
      </c>
      <c r="G97" t="s">
        <v>2499</v>
      </c>
      <c r="H97" t="str">
        <f t="shared" si="1"/>
        <v>ALTER TABLE NES_PAN_UPLOAD_TOXICOLOGY  ADD CHROM_AB_EXP_INVITRO_COMMENTS VARCHAR(200);</v>
      </c>
    </row>
    <row r="98" spans="1:8" x14ac:dyDescent="0.35">
      <c r="A98" t="s">
        <v>2496</v>
      </c>
      <c r="B98" s="309" t="s">
        <v>2497</v>
      </c>
      <c r="C98" t="s">
        <v>2498</v>
      </c>
      <c r="D98" t="str">
        <f>'List of all columns'!G96</f>
        <v>CHROM_AB_EXP_INVIVO_VEGA_A7P</v>
      </c>
      <c r="E98" t="s">
        <v>523</v>
      </c>
      <c r="F98" t="str">
        <f>'List of all columns'!H96</f>
        <v>VARCHAR(200)</v>
      </c>
      <c r="G98" t="s">
        <v>2499</v>
      </c>
      <c r="H98" t="str">
        <f t="shared" si="1"/>
        <v>ALTER TABLE NES_PAN_UPLOAD_TOXICOLOGY  ADD CHROM_AB_EXP_INVIVO_VEGA_A7P VARCHAR(200);</v>
      </c>
    </row>
    <row r="99" spans="1:8" x14ac:dyDescent="0.35">
      <c r="A99" t="s">
        <v>2496</v>
      </c>
      <c r="B99" s="309" t="s">
        <v>2497</v>
      </c>
      <c r="C99" t="s">
        <v>2498</v>
      </c>
      <c r="D99" t="str">
        <f>'List of all columns'!G97</f>
        <v>CHROM_AB_EXP_INVIVO_VEGA_A7R</v>
      </c>
      <c r="E99" t="s">
        <v>523</v>
      </c>
      <c r="F99" t="str">
        <f>'List of all columns'!H97</f>
        <v>VARCHAR(200)</v>
      </c>
      <c r="G99" t="s">
        <v>2499</v>
      </c>
      <c r="H99" t="str">
        <f t="shared" si="1"/>
        <v>ALTER TABLE NES_PAN_UPLOAD_TOXICOLOGY  ADD CHROM_AB_EXP_INVIVO_VEGA_A7R VARCHAR(200);</v>
      </c>
    </row>
    <row r="100" spans="1:8" x14ac:dyDescent="0.35">
      <c r="A100" t="s">
        <v>2496</v>
      </c>
      <c r="B100" s="309" t="s">
        <v>2497</v>
      </c>
      <c r="C100" t="s">
        <v>2498</v>
      </c>
      <c r="D100" t="str">
        <f>'List of all columns'!G98</f>
        <v>CHROM_AB_EXP_INVIVO_VEGA_A7Q</v>
      </c>
      <c r="E100" t="s">
        <v>523</v>
      </c>
      <c r="F100" t="str">
        <f>'List of all columns'!H98</f>
        <v>VARCHAR(200)</v>
      </c>
      <c r="G100" t="s">
        <v>2499</v>
      </c>
      <c r="H100" t="str">
        <f t="shared" si="1"/>
        <v>ALTER TABLE NES_PAN_UPLOAD_TOXICOLOGY  ADD CHROM_AB_EXP_INVIVO_VEGA_A7Q VARCHAR(200);</v>
      </c>
    </row>
    <row r="101" spans="1:8" x14ac:dyDescent="0.35">
      <c r="A101" t="s">
        <v>2496</v>
      </c>
      <c r="B101" s="309" t="s">
        <v>2497</v>
      </c>
      <c r="C101" t="s">
        <v>2498</v>
      </c>
      <c r="D101" t="str">
        <f>'List of all columns'!G99</f>
        <v>CHROM_AB_EXP_INVIVO_ECVAM</v>
      </c>
      <c r="E101" t="s">
        <v>523</v>
      </c>
      <c r="F101" t="str">
        <f>'List of all columns'!H99</f>
        <v>VARCHAR(200)</v>
      </c>
      <c r="G101" t="s">
        <v>2499</v>
      </c>
      <c r="H101" t="str">
        <f t="shared" si="1"/>
        <v>ALTER TABLE NES_PAN_UPLOAD_TOXICOLOGY  ADD CHROM_AB_EXP_INVIVO_ECVAM VARCHAR(200);</v>
      </c>
    </row>
    <row r="102" spans="1:8" x14ac:dyDescent="0.35">
      <c r="A102" t="s">
        <v>2496</v>
      </c>
      <c r="B102" s="309" t="s">
        <v>2497</v>
      </c>
      <c r="C102" t="s">
        <v>2498</v>
      </c>
      <c r="D102" t="str">
        <f>'List of all columns'!G100</f>
        <v>CHROM_AB_EXP_INVIVO_ICE</v>
      </c>
      <c r="E102" t="s">
        <v>523</v>
      </c>
      <c r="F102" t="str">
        <f>'List of all columns'!H100</f>
        <v>VARCHAR(200)</v>
      </c>
      <c r="G102" t="s">
        <v>2499</v>
      </c>
      <c r="H102" t="str">
        <f t="shared" si="1"/>
        <v>ALTER TABLE NES_PAN_UPLOAD_TOXICOLOGY  ADD CHROM_AB_EXP_INVIVO_ICE VARCHAR(200);</v>
      </c>
    </row>
    <row r="103" spans="1:8" x14ac:dyDescent="0.35">
      <c r="A103" t="s">
        <v>2496</v>
      </c>
      <c r="B103" s="309" t="s">
        <v>2497</v>
      </c>
      <c r="C103" t="s">
        <v>2498</v>
      </c>
      <c r="D103" t="str">
        <f>'List of all columns'!G101</f>
        <v>CHROM_AB_EXP_INVIVO_ECHA_REACH</v>
      </c>
      <c r="E103" t="s">
        <v>523</v>
      </c>
      <c r="F103" t="str">
        <f>'List of all columns'!H101</f>
        <v>VARCHAR(200)</v>
      </c>
      <c r="G103" t="s">
        <v>2499</v>
      </c>
      <c r="H103" t="str">
        <f t="shared" si="1"/>
        <v>ALTER TABLE NES_PAN_UPLOAD_TOXICOLOGY  ADD CHROM_AB_EXP_INVIVO_ECHA_REACH VARCHAR(200);</v>
      </c>
    </row>
    <row r="104" spans="1:8" x14ac:dyDescent="0.35">
      <c r="A104" t="s">
        <v>2496</v>
      </c>
      <c r="B104" s="309" t="s">
        <v>2497</v>
      </c>
      <c r="C104" t="s">
        <v>2498</v>
      </c>
      <c r="D104" t="str">
        <f>'List of all columns'!G102</f>
        <v>CHROM_AB_EXP_INVIVO_COMMENTS</v>
      </c>
      <c r="E104" t="s">
        <v>523</v>
      </c>
      <c r="F104" t="str">
        <f>'List of all columns'!H102</f>
        <v>VARCHAR(200)</v>
      </c>
      <c r="G104" t="s">
        <v>2499</v>
      </c>
      <c r="H104" t="str">
        <f t="shared" si="1"/>
        <v>ALTER TABLE NES_PAN_UPLOAD_TOXICOLOGY  ADD CHROM_AB_EXP_INVIVO_COMMENTS VARCHAR(200);</v>
      </c>
    </row>
    <row r="105" spans="1:8" x14ac:dyDescent="0.35">
      <c r="A105" t="s">
        <v>2496</v>
      </c>
      <c r="B105" s="309" t="s">
        <v>2497</v>
      </c>
      <c r="C105" t="s">
        <v>2498</v>
      </c>
      <c r="D105" t="str">
        <f>'List of all columns'!G103</f>
        <v>CHROM_AB_PRED_INVITRO_LS_CHO</v>
      </c>
      <c r="E105" t="s">
        <v>523</v>
      </c>
      <c r="F105" t="str">
        <f>'List of all columns'!H103</f>
        <v>VARCHAR(200)</v>
      </c>
      <c r="G105" t="s">
        <v>2499</v>
      </c>
      <c r="H105" t="str">
        <f t="shared" si="1"/>
        <v>ALTER TABLE NES_PAN_UPLOAD_TOXICOLOGY  ADD CHROM_AB_PRED_INVITRO_LS_CHO VARCHAR(200);</v>
      </c>
    </row>
    <row r="106" spans="1:8" x14ac:dyDescent="0.35">
      <c r="A106" t="s">
        <v>2496</v>
      </c>
      <c r="B106" s="309" t="s">
        <v>2497</v>
      </c>
      <c r="C106" t="s">
        <v>2498</v>
      </c>
      <c r="D106" t="str">
        <f>'List of all columns'!G104</f>
        <v>CHROM_AB_PRED_INVITRO_LS_CHL</v>
      </c>
      <c r="E106" t="s">
        <v>523</v>
      </c>
      <c r="F106" t="str">
        <f>'List of all columns'!H104</f>
        <v>VARCHAR(200)</v>
      </c>
      <c r="G106" t="s">
        <v>2499</v>
      </c>
      <c r="H106" t="str">
        <f t="shared" si="1"/>
        <v>ALTER TABLE NES_PAN_UPLOAD_TOXICOLOGY  ADD CHROM_AB_PRED_INVITRO_LS_CHL VARCHAR(200);</v>
      </c>
    </row>
    <row r="107" spans="1:8" x14ac:dyDescent="0.35">
      <c r="A107" t="s">
        <v>2496</v>
      </c>
      <c r="B107" s="309" t="s">
        <v>2497</v>
      </c>
      <c r="C107" t="s">
        <v>2498</v>
      </c>
      <c r="D107" t="str">
        <f>'List of all columns'!G105</f>
        <v>CHROM_AB_PRED_INVITRO_VEGA_CORAL</v>
      </c>
      <c r="E107" t="s">
        <v>523</v>
      </c>
      <c r="F107" t="str">
        <f>'List of all columns'!H105</f>
        <v>VARCHAR(200)</v>
      </c>
      <c r="G107" t="s">
        <v>2499</v>
      </c>
      <c r="H107" t="str">
        <f t="shared" si="1"/>
        <v>ALTER TABLE NES_PAN_UPLOAD_TOXICOLOGY  ADD CHROM_AB_PRED_INVITRO_VEGA_CORAL VARCHAR(200);</v>
      </c>
    </row>
    <row r="108" spans="1:8" x14ac:dyDescent="0.35">
      <c r="A108" t="s">
        <v>2496</v>
      </c>
      <c r="B108" s="309" t="s">
        <v>2497</v>
      </c>
      <c r="C108" t="s">
        <v>2498</v>
      </c>
      <c r="D108" t="str">
        <f>'List of all columns'!G106</f>
        <v>CHROM_AB_PRED_INVIVO_LS_A7P</v>
      </c>
      <c r="E108" t="s">
        <v>523</v>
      </c>
      <c r="F108" t="str">
        <f>'List of all columns'!H106</f>
        <v>VARCHAR(200)</v>
      </c>
      <c r="G108" t="s">
        <v>2499</v>
      </c>
      <c r="H108" t="str">
        <f t="shared" si="1"/>
        <v>ALTER TABLE NES_PAN_UPLOAD_TOXICOLOGY  ADD CHROM_AB_PRED_INVIVO_LS_A7P VARCHAR(200);</v>
      </c>
    </row>
    <row r="109" spans="1:8" x14ac:dyDescent="0.35">
      <c r="A109" t="s">
        <v>2496</v>
      </c>
      <c r="B109" s="309" t="s">
        <v>2497</v>
      </c>
      <c r="C109" t="s">
        <v>2498</v>
      </c>
      <c r="D109" t="str">
        <f>'List of all columns'!G107</f>
        <v>CHROM_AB_PRED_INVIVO_LS_A7R</v>
      </c>
      <c r="E109" t="s">
        <v>523</v>
      </c>
      <c r="F109" t="str">
        <f>'List of all columns'!H107</f>
        <v>VARCHAR(200)</v>
      </c>
      <c r="G109" t="s">
        <v>2499</v>
      </c>
      <c r="H109" t="str">
        <f t="shared" si="1"/>
        <v>ALTER TABLE NES_PAN_UPLOAD_TOXICOLOGY  ADD CHROM_AB_PRED_INVIVO_LS_A7R VARCHAR(200);</v>
      </c>
    </row>
    <row r="110" spans="1:8" x14ac:dyDescent="0.35">
      <c r="A110" t="s">
        <v>2496</v>
      </c>
      <c r="B110" s="309" t="s">
        <v>2497</v>
      </c>
      <c r="C110" t="s">
        <v>2498</v>
      </c>
      <c r="D110" t="str">
        <f>'List of all columns'!G108</f>
        <v>CHROM_AB_PRED_INVIVO_LS_A7Q</v>
      </c>
      <c r="E110" t="s">
        <v>523</v>
      </c>
      <c r="F110" t="str">
        <f>'List of all columns'!H108</f>
        <v>VARCHAR(200)</v>
      </c>
      <c r="G110" t="s">
        <v>2499</v>
      </c>
      <c r="H110" t="str">
        <f t="shared" si="1"/>
        <v>ALTER TABLE NES_PAN_UPLOAD_TOXICOLOGY  ADD CHROM_AB_PRED_INVIVO_LS_A7Q VARCHAR(200);</v>
      </c>
    </row>
    <row r="111" spans="1:8" x14ac:dyDescent="0.35">
      <c r="A111" t="s">
        <v>2496</v>
      </c>
      <c r="B111" s="309" t="s">
        <v>2497</v>
      </c>
      <c r="C111" t="s">
        <v>2498</v>
      </c>
      <c r="D111" t="str">
        <f>'List of all columns'!G109</f>
        <v>OGE_EXP_INVITRO_LS_CHO</v>
      </c>
      <c r="E111" t="s">
        <v>523</v>
      </c>
      <c r="F111" t="str">
        <f>'List of all columns'!H109</f>
        <v>VARCHAR(200)</v>
      </c>
      <c r="G111" t="s">
        <v>2499</v>
      </c>
      <c r="H111" t="str">
        <f t="shared" si="1"/>
        <v>ALTER TABLE NES_PAN_UPLOAD_TOXICOLOGY  ADD OGE_EXP_INVITRO_LS_CHO VARCHAR(200);</v>
      </c>
    </row>
    <row r="112" spans="1:8" x14ac:dyDescent="0.35">
      <c r="A112" t="s">
        <v>2496</v>
      </c>
      <c r="B112" s="309" t="s">
        <v>2497</v>
      </c>
      <c r="C112" t="s">
        <v>2498</v>
      </c>
      <c r="D112" t="str">
        <f>'List of all columns'!G110</f>
        <v>OGE_EXP_INVITRO_LS_COMP</v>
      </c>
      <c r="E112" t="s">
        <v>523</v>
      </c>
      <c r="F112" t="str">
        <f>'List of all columns'!H110</f>
        <v>VARCHAR(200)</v>
      </c>
      <c r="G112" t="s">
        <v>2499</v>
      </c>
      <c r="H112" t="str">
        <f t="shared" si="1"/>
        <v>ALTER TABLE NES_PAN_UPLOAD_TOXICOLOGY  ADD OGE_EXP_INVITRO_LS_COMP VARCHAR(200);</v>
      </c>
    </row>
    <row r="113" spans="1:8" x14ac:dyDescent="0.35">
      <c r="A113" t="s">
        <v>2496</v>
      </c>
      <c r="B113" s="309" t="s">
        <v>2497</v>
      </c>
      <c r="C113" t="s">
        <v>2498</v>
      </c>
      <c r="D113" t="str">
        <f>'List of all columns'!G111</f>
        <v>OGE_EXP_INVITRO_LS_SCE</v>
      </c>
      <c r="E113" t="s">
        <v>523</v>
      </c>
      <c r="F113" t="str">
        <f>'List of all columns'!H111</f>
        <v>VARCHAR(200)</v>
      </c>
      <c r="G113" t="s">
        <v>2499</v>
      </c>
      <c r="H113" t="str">
        <f t="shared" si="1"/>
        <v>ALTER TABLE NES_PAN_UPLOAD_TOXICOLOGY  ADD OGE_EXP_INVITRO_LS_SCE VARCHAR(200);</v>
      </c>
    </row>
    <row r="114" spans="1:8" x14ac:dyDescent="0.35">
      <c r="A114" t="s">
        <v>2496</v>
      </c>
      <c r="B114" s="309" t="s">
        <v>2497</v>
      </c>
      <c r="C114" t="s">
        <v>2498</v>
      </c>
      <c r="D114" t="str">
        <f>'List of all columns'!G112</f>
        <v>OGE_EXP_INVIVO_LS_RODENT_MUT_VAL</v>
      </c>
      <c r="E114" t="s">
        <v>523</v>
      </c>
      <c r="F114" t="str">
        <f>'List of all columns'!H112</f>
        <v>VARCHAR(200)</v>
      </c>
      <c r="G114" t="s">
        <v>2499</v>
      </c>
      <c r="H114" t="str">
        <f t="shared" si="1"/>
        <v>ALTER TABLE NES_PAN_UPLOAD_TOXICOLOGY  ADD OGE_EXP_INVIVO_LS_RODENT_MUT_VAL VARCHAR(200);</v>
      </c>
    </row>
    <row r="115" spans="1:8" x14ac:dyDescent="0.35">
      <c r="A115" t="s">
        <v>2496</v>
      </c>
      <c r="B115" s="309" t="s">
        <v>2497</v>
      </c>
      <c r="C115" t="s">
        <v>2498</v>
      </c>
      <c r="D115" t="str">
        <f>'List of all columns'!G113</f>
        <v>OGE_EXP_INVIVO_LS_RODENT_MUT_DL</v>
      </c>
      <c r="E115" t="s">
        <v>523</v>
      </c>
      <c r="F115" t="str">
        <f>'List of all columns'!H113</f>
        <v>VARCHAR(200)</v>
      </c>
      <c r="G115" t="s">
        <v>2499</v>
      </c>
      <c r="H115" t="str">
        <f t="shared" si="1"/>
        <v>ALTER TABLE NES_PAN_UPLOAD_TOXICOLOGY  ADD OGE_EXP_INVIVO_LS_RODENT_MUT_DL VARCHAR(200);</v>
      </c>
    </row>
    <row r="116" spans="1:8" x14ac:dyDescent="0.35">
      <c r="A116" t="s">
        <v>2496</v>
      </c>
      <c r="B116" s="309" t="s">
        <v>2497</v>
      </c>
      <c r="C116" t="s">
        <v>2498</v>
      </c>
      <c r="D116" t="str">
        <f>'List of all columns'!G114</f>
        <v>OGE_EXP_INVIVO_ECVAM_TDR</v>
      </c>
      <c r="E116" t="s">
        <v>523</v>
      </c>
      <c r="F116" t="str">
        <f>'List of all columns'!H114</f>
        <v>VARCHAR(200)</v>
      </c>
      <c r="G116" t="s">
        <v>2499</v>
      </c>
      <c r="H116" t="str">
        <f t="shared" si="1"/>
        <v>ALTER TABLE NES_PAN_UPLOAD_TOXICOLOGY  ADD OGE_EXP_INVIVO_ECVAM_TDR VARCHAR(200);</v>
      </c>
    </row>
    <row r="117" spans="1:8" x14ac:dyDescent="0.35">
      <c r="A117" t="s">
        <v>2496</v>
      </c>
      <c r="B117" s="309" t="s">
        <v>2497</v>
      </c>
      <c r="C117" t="s">
        <v>2498</v>
      </c>
      <c r="D117" t="str">
        <f>'List of all columns'!G115</f>
        <v>OGE_EXP_INVIVO_ECVAM_UDS</v>
      </c>
      <c r="E117" t="s">
        <v>523</v>
      </c>
      <c r="F117" t="str">
        <f>'List of all columns'!H115</f>
        <v>VARCHAR(200)</v>
      </c>
      <c r="G117" t="s">
        <v>2499</v>
      </c>
      <c r="H117" t="str">
        <f t="shared" si="1"/>
        <v>ALTER TABLE NES_PAN_UPLOAD_TOXICOLOGY  ADD OGE_EXP_INVIVO_ECVAM_UDS VARCHAR(200);</v>
      </c>
    </row>
    <row r="118" spans="1:8" x14ac:dyDescent="0.35">
      <c r="A118" t="s">
        <v>2496</v>
      </c>
      <c r="B118" s="309" t="s">
        <v>2497</v>
      </c>
      <c r="C118" t="s">
        <v>2498</v>
      </c>
      <c r="D118" t="str">
        <f>'List of all columns'!G116</f>
        <v>OGE_EXP_INVIVO_DNA_DAMAGE</v>
      </c>
      <c r="E118" t="s">
        <v>523</v>
      </c>
      <c r="F118" t="str">
        <f>'List of all columns'!H116</f>
        <v>VARCHAR(200)</v>
      </c>
      <c r="G118" t="s">
        <v>2499</v>
      </c>
      <c r="H118" t="str">
        <f t="shared" si="1"/>
        <v>ALTER TABLE NES_PAN_UPLOAD_TOXICOLOGY  ADD OGE_EXP_INVIVO_DNA_DAMAGE VARCHAR(200);</v>
      </c>
    </row>
    <row r="119" spans="1:8" x14ac:dyDescent="0.35">
      <c r="A119" t="s">
        <v>2496</v>
      </c>
      <c r="B119" s="309" t="s">
        <v>2497</v>
      </c>
      <c r="C119" t="s">
        <v>2498</v>
      </c>
      <c r="D119" t="str">
        <f>'List of all columns'!G117</f>
        <v>OGE_EXP_INVIVO_ECVAM_COMET</v>
      </c>
      <c r="E119" t="s">
        <v>523</v>
      </c>
      <c r="F119" t="str">
        <f>'List of all columns'!H117</f>
        <v>VARCHAR(200)</v>
      </c>
      <c r="G119" t="s">
        <v>2499</v>
      </c>
      <c r="H119" t="str">
        <f t="shared" si="1"/>
        <v>ALTER TABLE NES_PAN_UPLOAD_TOXICOLOGY  ADD OGE_EXP_INVIVO_ECVAM_COMET VARCHAR(200);</v>
      </c>
    </row>
    <row r="120" spans="1:8" x14ac:dyDescent="0.35">
      <c r="A120" t="s">
        <v>2496</v>
      </c>
      <c r="B120" s="309" t="s">
        <v>2497</v>
      </c>
      <c r="C120" t="s">
        <v>2498</v>
      </c>
      <c r="D120" t="str">
        <f>'List of all columns'!G118</f>
        <v>OGE_EXP_INVIVO_ECVAM_COMET_COMMENTS</v>
      </c>
      <c r="E120" t="s">
        <v>523</v>
      </c>
      <c r="F120" t="str">
        <f>'List of all columns'!H118</f>
        <v>VARCHAR(200)</v>
      </c>
      <c r="G120" t="s">
        <v>2499</v>
      </c>
      <c r="H120" t="str">
        <f t="shared" si="1"/>
        <v>ALTER TABLE NES_PAN_UPLOAD_TOXICOLOGY  ADD OGE_EXP_INVIVO_ECVAM_COMET_COMMENTS VARCHAR(200);</v>
      </c>
    </row>
    <row r="121" spans="1:8" x14ac:dyDescent="0.35">
      <c r="A121" t="s">
        <v>2496</v>
      </c>
      <c r="B121" s="309" t="s">
        <v>2497</v>
      </c>
      <c r="C121" t="s">
        <v>2498</v>
      </c>
      <c r="D121" t="str">
        <f>'List of all columns'!G119</f>
        <v>OGE_PRED_INVITRO_LS_CHO</v>
      </c>
      <c r="E121" t="s">
        <v>523</v>
      </c>
      <c r="F121" t="str">
        <f>'List of all columns'!H119</f>
        <v>VARCHAR(200)</v>
      </c>
      <c r="G121" t="s">
        <v>2499</v>
      </c>
      <c r="H121" t="str">
        <f t="shared" si="1"/>
        <v>ALTER TABLE NES_PAN_UPLOAD_TOXICOLOGY  ADD OGE_PRED_INVITRO_LS_CHO VARCHAR(200);</v>
      </c>
    </row>
    <row r="122" spans="1:8" x14ac:dyDescent="0.35">
      <c r="A122" t="s">
        <v>2496</v>
      </c>
      <c r="B122" s="309" t="s">
        <v>2497</v>
      </c>
      <c r="C122" t="s">
        <v>2498</v>
      </c>
      <c r="D122" t="str">
        <f>'List of all columns'!G120</f>
        <v>OGE_PRED_INVITRO_LS_COMP</v>
      </c>
      <c r="E122" t="s">
        <v>523</v>
      </c>
      <c r="F122" t="str">
        <f>'List of all columns'!H120</f>
        <v>VARCHAR(200)</v>
      </c>
      <c r="G122" t="s">
        <v>2499</v>
      </c>
      <c r="H122" t="str">
        <f t="shared" si="1"/>
        <v>ALTER TABLE NES_PAN_UPLOAD_TOXICOLOGY  ADD OGE_PRED_INVITRO_LS_COMP VARCHAR(200);</v>
      </c>
    </row>
    <row r="123" spans="1:8" x14ac:dyDescent="0.35">
      <c r="A123" t="s">
        <v>2496</v>
      </c>
      <c r="B123" s="309" t="s">
        <v>2497</v>
      </c>
      <c r="C123" t="s">
        <v>2498</v>
      </c>
      <c r="D123" t="str">
        <f>'List of all columns'!G121</f>
        <v>OGE_PRED_INVITRO_LS_SCE</v>
      </c>
      <c r="E123" t="s">
        <v>523</v>
      </c>
      <c r="F123" t="str">
        <f>'List of all columns'!H121</f>
        <v>VARCHAR(200)</v>
      </c>
      <c r="G123" t="s">
        <v>2499</v>
      </c>
      <c r="H123" t="str">
        <f t="shared" si="1"/>
        <v>ALTER TABLE NES_PAN_UPLOAD_TOXICOLOGY  ADD OGE_PRED_INVITRO_LS_SCE VARCHAR(200);</v>
      </c>
    </row>
    <row r="124" spans="1:8" x14ac:dyDescent="0.35">
      <c r="A124" t="s">
        <v>2496</v>
      </c>
      <c r="B124" s="309" t="s">
        <v>2497</v>
      </c>
      <c r="C124" t="s">
        <v>2498</v>
      </c>
      <c r="D124" t="str">
        <f>'List of all columns'!G122</f>
        <v>OGE_PRED_INVIVO_LS_RODENT_MUT_VAL</v>
      </c>
      <c r="E124" t="s">
        <v>523</v>
      </c>
      <c r="F124" t="str">
        <f>'List of all columns'!H122</f>
        <v>VARCHAR(200)</v>
      </c>
      <c r="G124" t="s">
        <v>2499</v>
      </c>
      <c r="H124" t="str">
        <f t="shared" si="1"/>
        <v>ALTER TABLE NES_PAN_UPLOAD_TOXICOLOGY  ADD OGE_PRED_INVIVO_LS_RODENT_MUT_VAL VARCHAR(200);</v>
      </c>
    </row>
    <row r="125" spans="1:8" x14ac:dyDescent="0.35">
      <c r="A125" t="s">
        <v>2496</v>
      </c>
      <c r="B125" s="309" t="s">
        <v>2497</v>
      </c>
      <c r="C125" t="s">
        <v>2498</v>
      </c>
      <c r="D125" t="str">
        <f>'List of all columns'!G123</f>
        <v>OGE_PRED_INVIVO_LS_RODENT_MUT_DL</v>
      </c>
      <c r="E125" t="s">
        <v>523</v>
      </c>
      <c r="F125" t="str">
        <f>'List of all columns'!H123</f>
        <v>VARCHAR(200)</v>
      </c>
      <c r="G125" t="s">
        <v>2499</v>
      </c>
      <c r="H125" t="str">
        <f t="shared" si="1"/>
        <v>ALTER TABLE NES_PAN_UPLOAD_TOXICOLOGY  ADD OGE_PRED_INVIVO_LS_RODENT_MUT_DL VARCHAR(200);</v>
      </c>
    </row>
    <row r="126" spans="1:8" x14ac:dyDescent="0.35">
      <c r="A126" t="s">
        <v>2496</v>
      </c>
      <c r="B126" s="309" t="s">
        <v>2497</v>
      </c>
      <c r="C126" t="s">
        <v>2498</v>
      </c>
      <c r="D126" t="str">
        <f>'List of all columns'!G124</f>
        <v>TD50_EXP_CPDB_RAT</v>
      </c>
      <c r="E126" t="s">
        <v>523</v>
      </c>
      <c r="F126" t="str">
        <f>'List of all columns'!H124</f>
        <v>VARCHAR(200)</v>
      </c>
      <c r="G126" t="s">
        <v>2499</v>
      </c>
      <c r="H126" t="str">
        <f t="shared" si="1"/>
        <v>ALTER TABLE NES_PAN_UPLOAD_TOXICOLOGY  ADD TD50_EXP_CPDB_RAT VARCHAR(200);</v>
      </c>
    </row>
    <row r="127" spans="1:8" x14ac:dyDescent="0.35">
      <c r="A127" t="s">
        <v>2496</v>
      </c>
      <c r="B127" s="309" t="s">
        <v>2497</v>
      </c>
      <c r="C127" t="s">
        <v>2498</v>
      </c>
      <c r="D127" t="str">
        <f>'List of all columns'!G125</f>
        <v>TD50_EXP_CPDB_MOUSE</v>
      </c>
      <c r="E127" t="s">
        <v>523</v>
      </c>
      <c r="F127" t="str">
        <f>'List of all columns'!H125</f>
        <v>VARCHAR(200)</v>
      </c>
      <c r="G127" t="s">
        <v>2499</v>
      </c>
      <c r="H127" t="str">
        <f t="shared" si="1"/>
        <v>ALTER TABLE NES_PAN_UPLOAD_TOXICOLOGY  ADD TD50_EXP_CPDB_MOUSE VARCHAR(200);</v>
      </c>
    </row>
    <row r="128" spans="1:8" x14ac:dyDescent="0.35">
      <c r="A128" t="s">
        <v>2496</v>
      </c>
      <c r="B128" s="309" t="s">
        <v>2497</v>
      </c>
      <c r="C128" t="s">
        <v>2498</v>
      </c>
      <c r="D128" t="str">
        <f>'List of all columns'!G126</f>
        <v>TD50_PRED_ADMET_RAT</v>
      </c>
      <c r="E128" t="s">
        <v>523</v>
      </c>
      <c r="F128" t="str">
        <f>'List of all columns'!H126</f>
        <v>VARCHAR(200)</v>
      </c>
      <c r="G128" t="s">
        <v>2499</v>
      </c>
      <c r="H128" t="str">
        <f t="shared" si="1"/>
        <v>ALTER TABLE NES_PAN_UPLOAD_TOXICOLOGY  ADD TD50_PRED_ADMET_RAT VARCHAR(200);</v>
      </c>
    </row>
    <row r="129" spans="1:8" x14ac:dyDescent="0.35">
      <c r="A129" t="s">
        <v>2496</v>
      </c>
      <c r="B129" s="309" t="s">
        <v>2497</v>
      </c>
      <c r="C129" t="s">
        <v>2498</v>
      </c>
      <c r="D129" t="str">
        <f>'List of all columns'!G127</f>
        <v>TD50_PRED_ADMET_RAT_AD_INFO</v>
      </c>
      <c r="E129" t="s">
        <v>523</v>
      </c>
      <c r="F129" t="str">
        <f>'List of all columns'!H127</f>
        <v>VARCHAR(200)</v>
      </c>
      <c r="G129" t="s">
        <v>2499</v>
      </c>
      <c r="H129" t="str">
        <f t="shared" si="1"/>
        <v>ALTER TABLE NES_PAN_UPLOAD_TOXICOLOGY  ADD TD50_PRED_ADMET_RAT_AD_INFO VARCHAR(200);</v>
      </c>
    </row>
    <row r="130" spans="1:8" x14ac:dyDescent="0.35">
      <c r="A130" t="s">
        <v>2496</v>
      </c>
      <c r="B130" s="309" t="s">
        <v>2497</v>
      </c>
      <c r="C130" t="s">
        <v>2498</v>
      </c>
      <c r="D130" t="str">
        <f>'List of all columns'!G128</f>
        <v>TD50_PRED_ADMET_MOUSE</v>
      </c>
      <c r="E130" t="s">
        <v>523</v>
      </c>
      <c r="F130" t="str">
        <f>'List of all columns'!H128</f>
        <v>VARCHAR(200)</v>
      </c>
      <c r="G130" t="s">
        <v>2499</v>
      </c>
      <c r="H130" t="str">
        <f t="shared" si="1"/>
        <v>ALTER TABLE NES_PAN_UPLOAD_TOXICOLOGY  ADD TD50_PRED_ADMET_MOUSE VARCHAR(200);</v>
      </c>
    </row>
    <row r="131" spans="1:8" x14ac:dyDescent="0.35">
      <c r="A131" t="s">
        <v>2496</v>
      </c>
      <c r="B131" s="309" t="s">
        <v>2497</v>
      </c>
      <c r="C131" t="s">
        <v>2498</v>
      </c>
      <c r="D131" t="str">
        <f>'List of all columns'!G129</f>
        <v>TD50_PRED_ADMET_MOUSE_AD_INFO</v>
      </c>
      <c r="E131" t="s">
        <v>523</v>
      </c>
      <c r="F131" t="str">
        <f>'List of all columns'!H129</f>
        <v>VARCHAR(200)</v>
      </c>
      <c r="G131" t="s">
        <v>2499</v>
      </c>
      <c r="H131" t="str">
        <f t="shared" si="1"/>
        <v>ALTER TABLE NES_PAN_UPLOAD_TOXICOLOGY  ADD TD50_PRED_ADMET_MOUSE_AD_INFO VARCHAR(200);</v>
      </c>
    </row>
    <row r="132" spans="1:8" x14ac:dyDescent="0.35">
      <c r="A132" t="s">
        <v>2496</v>
      </c>
      <c r="B132" s="309" t="s">
        <v>2497</v>
      </c>
      <c r="C132" t="s">
        <v>2498</v>
      </c>
      <c r="D132" t="str">
        <f>'List of all columns'!G130</f>
        <v>TD50_PRED_LAZAR_RAT</v>
      </c>
      <c r="E132" t="s">
        <v>523</v>
      </c>
      <c r="F132" t="str">
        <f>'List of all columns'!H130</f>
        <v>VARCHAR(200)</v>
      </c>
      <c r="G132" t="s">
        <v>2499</v>
      </c>
      <c r="H132" t="str">
        <f t="shared" si="1"/>
        <v>ALTER TABLE NES_PAN_UPLOAD_TOXICOLOGY  ADD TD50_PRED_LAZAR_RAT VARCHAR(200);</v>
      </c>
    </row>
    <row r="133" spans="1:8" x14ac:dyDescent="0.35">
      <c r="A133" t="s">
        <v>2496</v>
      </c>
      <c r="B133" s="309" t="s">
        <v>2497</v>
      </c>
      <c r="C133" t="s">
        <v>2498</v>
      </c>
      <c r="D133" t="str">
        <f>'List of all columns'!G131</f>
        <v>TD50_PRED_LAZAR_RAT_AD_INFO</v>
      </c>
      <c r="E133" t="s">
        <v>523</v>
      </c>
      <c r="F133" t="str">
        <f>'List of all columns'!H131</f>
        <v>VARCHAR(200)</v>
      </c>
      <c r="G133" t="s">
        <v>2499</v>
      </c>
      <c r="H133" t="str">
        <f t="shared" si="1"/>
        <v>ALTER TABLE NES_PAN_UPLOAD_TOXICOLOGY  ADD TD50_PRED_LAZAR_RAT_AD_INFO VARCHAR(200);</v>
      </c>
    </row>
    <row r="134" spans="1:8" x14ac:dyDescent="0.35">
      <c r="A134" t="s">
        <v>2496</v>
      </c>
      <c r="B134" s="309" t="s">
        <v>2497</v>
      </c>
      <c r="C134" t="s">
        <v>2498</v>
      </c>
      <c r="D134" t="str">
        <f>'List of all columns'!G132</f>
        <v>TD50_PRED_LAZAR_MOUSE</v>
      </c>
      <c r="E134" t="s">
        <v>523</v>
      </c>
      <c r="F134" t="str">
        <f>'List of all columns'!H132</f>
        <v>VARCHAR(200)</v>
      </c>
      <c r="G134" t="s">
        <v>2499</v>
      </c>
      <c r="H134" t="str">
        <f t="shared" ref="H134:H197" si="2">_xlfn.CONCAT(A134:G134)</f>
        <v>ALTER TABLE NES_PAN_UPLOAD_TOXICOLOGY  ADD TD50_PRED_LAZAR_MOUSE VARCHAR(200);</v>
      </c>
    </row>
    <row r="135" spans="1:8" x14ac:dyDescent="0.35">
      <c r="A135" t="s">
        <v>2496</v>
      </c>
      <c r="B135" s="309" t="s">
        <v>2497</v>
      </c>
      <c r="C135" t="s">
        <v>2498</v>
      </c>
      <c r="D135" t="str">
        <f>'List of all columns'!G133</f>
        <v>TD50_PRED_LAZAR_MOUSE_AD_INFO</v>
      </c>
      <c r="E135" t="s">
        <v>523</v>
      </c>
      <c r="F135" t="str">
        <f>'List of all columns'!H133</f>
        <v>VARCHAR(200)</v>
      </c>
      <c r="G135" t="s">
        <v>2499</v>
      </c>
      <c r="H135" t="str">
        <f t="shared" si="2"/>
        <v>ALTER TABLE NES_PAN_UPLOAD_TOXICOLOGY  ADD TD50_PRED_LAZAR_MOUSE_AD_INFO VARCHAR(200);</v>
      </c>
    </row>
    <row r="136" spans="1:8" x14ac:dyDescent="0.35">
      <c r="A136" t="s">
        <v>2496</v>
      </c>
      <c r="B136" s="309" t="s">
        <v>2497</v>
      </c>
      <c r="C136" t="s">
        <v>2498</v>
      </c>
      <c r="D136" t="str">
        <f>'List of all columns'!G134</f>
        <v>NOAEL_EXP_QSAR_SUBCRON_TOX_NOAEL</v>
      </c>
      <c r="E136" t="s">
        <v>523</v>
      </c>
      <c r="F136" t="str">
        <f>'List of all columns'!H134</f>
        <v>VARCHAR(200)</v>
      </c>
      <c r="G136" t="s">
        <v>2499</v>
      </c>
      <c r="H136" t="str">
        <f t="shared" si="2"/>
        <v>ALTER TABLE NES_PAN_UPLOAD_TOXICOLOGY  ADD NOAEL_EXP_QSAR_SUBCRON_TOX_NOAEL VARCHAR(200);</v>
      </c>
    </row>
    <row r="137" spans="1:8" x14ac:dyDescent="0.35">
      <c r="A137" t="s">
        <v>2496</v>
      </c>
      <c r="B137" s="309" t="s">
        <v>2497</v>
      </c>
      <c r="C137" t="s">
        <v>2498</v>
      </c>
      <c r="D137" t="str">
        <f>'List of all columns'!G135</f>
        <v>NOAEL_EXP_QSAR_SUBCRON_TOX_NOAEL_LIVER</v>
      </c>
      <c r="E137" t="s">
        <v>523</v>
      </c>
      <c r="F137" t="str">
        <f>'List of all columns'!H135</f>
        <v>VARCHAR(200)</v>
      </c>
      <c r="G137" t="s">
        <v>2499</v>
      </c>
      <c r="H137" t="str">
        <f t="shared" si="2"/>
        <v>ALTER TABLE NES_PAN_UPLOAD_TOXICOLOGY  ADD NOAEL_EXP_QSAR_SUBCRON_TOX_NOAEL_LIVER VARCHAR(200);</v>
      </c>
    </row>
    <row r="138" spans="1:8" x14ac:dyDescent="0.35">
      <c r="A138" t="s">
        <v>2496</v>
      </c>
      <c r="B138" s="309" t="s">
        <v>2497</v>
      </c>
      <c r="C138" t="s">
        <v>2498</v>
      </c>
      <c r="D138" t="str">
        <f>'List of all columns'!G136</f>
        <v>NOAEL_EXP_QSAR_SUBCRON_TOX_VEGA</v>
      </c>
      <c r="E138" t="s">
        <v>523</v>
      </c>
      <c r="F138" t="str">
        <f>'List of all columns'!H136</f>
        <v>VARCHAR(200)</v>
      </c>
      <c r="G138" t="s">
        <v>2499</v>
      </c>
      <c r="H138" t="str">
        <f t="shared" si="2"/>
        <v>ALTER TABLE NES_PAN_UPLOAD_TOXICOLOGY  ADD NOAEL_EXP_QSAR_SUBCRON_TOX_VEGA VARCHAR(200);</v>
      </c>
    </row>
    <row r="139" spans="1:8" x14ac:dyDescent="0.35">
      <c r="A139" t="s">
        <v>2496</v>
      </c>
      <c r="B139" s="309" t="s">
        <v>2497</v>
      </c>
      <c r="C139" t="s">
        <v>2498</v>
      </c>
      <c r="D139" t="str">
        <f>'List of all columns'!G137</f>
        <v>NOAEL_EXP_QSAR_SUBCRON_TOX_CORAL</v>
      </c>
      <c r="E139" t="s">
        <v>523</v>
      </c>
      <c r="F139" t="str">
        <f>'List of all columns'!H137</f>
        <v>VARCHAR(200)</v>
      </c>
      <c r="G139" t="s">
        <v>2499</v>
      </c>
      <c r="H139" t="str">
        <f t="shared" si="2"/>
        <v>ALTER TABLE NES_PAN_UPLOAD_TOXICOLOGY  ADD NOAEL_EXP_QSAR_SUBCRON_TOX_CORAL VARCHAR(200);</v>
      </c>
    </row>
    <row r="140" spans="1:8" x14ac:dyDescent="0.35">
      <c r="A140" t="s">
        <v>2496</v>
      </c>
      <c r="B140" s="309" t="s">
        <v>2497</v>
      </c>
      <c r="C140" t="s">
        <v>2498</v>
      </c>
      <c r="D140" t="str">
        <f>'List of all columns'!G138</f>
        <v>NOAEL_EXP_EFSA_OFT_EFSA_HUMAN</v>
      </c>
      <c r="E140" t="s">
        <v>523</v>
      </c>
      <c r="F140" t="str">
        <f>'List of all columns'!H138</f>
        <v>VARCHAR(200)</v>
      </c>
      <c r="G140" t="s">
        <v>2499</v>
      </c>
      <c r="H140" t="str">
        <f t="shared" si="2"/>
        <v>ALTER TABLE NES_PAN_UPLOAD_TOXICOLOGY  ADD NOAEL_EXP_EFSA_OFT_EFSA_HUMAN VARCHAR(200);</v>
      </c>
    </row>
    <row r="141" spans="1:8" x14ac:dyDescent="0.35">
      <c r="A141" t="s">
        <v>2496</v>
      </c>
      <c r="B141" s="309" t="s">
        <v>2497</v>
      </c>
      <c r="C141" t="s">
        <v>2498</v>
      </c>
      <c r="D141" t="str">
        <f>'List of all columns'!G139</f>
        <v>NOAEL_EXP_EFSA_OFT_EFSA_ANIMAL</v>
      </c>
      <c r="E141" t="s">
        <v>523</v>
      </c>
      <c r="F141" t="str">
        <f>'List of all columns'!H139</f>
        <v>VARCHAR(200)</v>
      </c>
      <c r="G141" t="s">
        <v>2499</v>
      </c>
      <c r="H141" t="str">
        <f t="shared" si="2"/>
        <v>ALTER TABLE NES_PAN_UPLOAD_TOXICOLOGY  ADD NOAEL_EXP_EFSA_OFT_EFSA_ANIMAL VARCHAR(200);</v>
      </c>
    </row>
    <row r="142" spans="1:8" x14ac:dyDescent="0.35">
      <c r="A142" t="s">
        <v>2496</v>
      </c>
      <c r="B142" s="309" t="s">
        <v>2497</v>
      </c>
      <c r="C142" t="s">
        <v>2498</v>
      </c>
      <c r="D142" t="str">
        <f>'List of all columns'!G140</f>
        <v>NOAEL_EXP_EFSA_OFT_EFSA_ANIMAL_TOX</v>
      </c>
      <c r="E142" t="s">
        <v>523</v>
      </c>
      <c r="F142" t="str">
        <f>'List of all columns'!H140</f>
        <v>VARCHAR(200)</v>
      </c>
      <c r="G142" t="s">
        <v>2499</v>
      </c>
      <c r="H142" t="str">
        <f t="shared" si="2"/>
        <v>ALTER TABLE NES_PAN_UPLOAD_TOXICOLOGY  ADD NOAEL_EXP_EFSA_OFT_EFSA_ANIMAL_TOX VARCHAR(200);</v>
      </c>
    </row>
    <row r="143" spans="1:8" x14ac:dyDescent="0.35">
      <c r="A143" t="s">
        <v>2496</v>
      </c>
      <c r="B143" s="309" t="s">
        <v>2497</v>
      </c>
      <c r="C143" t="s">
        <v>2498</v>
      </c>
      <c r="D143" t="str">
        <f>'List of all columns'!G141</f>
        <v>NOAEL_EXP_OECD_TOOLBOX_EFSA_TOOLBOX</v>
      </c>
      <c r="E143" t="s">
        <v>523</v>
      </c>
      <c r="F143" t="str">
        <f>'List of all columns'!H141</f>
        <v>VARCHAR(200)</v>
      </c>
      <c r="G143" t="s">
        <v>2499</v>
      </c>
      <c r="H143" t="str">
        <f t="shared" si="2"/>
        <v>ALTER TABLE NES_PAN_UPLOAD_TOXICOLOGY  ADD NOAEL_EXP_OECD_TOOLBOX_EFSA_TOOLBOX VARCHAR(200);</v>
      </c>
    </row>
    <row r="144" spans="1:8" x14ac:dyDescent="0.35">
      <c r="A144" t="s">
        <v>2496</v>
      </c>
      <c r="B144" s="309" t="s">
        <v>2497</v>
      </c>
      <c r="C144" t="s">
        <v>2498</v>
      </c>
      <c r="D144" t="str">
        <f>'List of all columns'!G142</f>
        <v>NOAEL_EXP_OECD_TOOLBOX_EFSA_TOOLBOX_TOX</v>
      </c>
      <c r="E144" t="s">
        <v>523</v>
      </c>
      <c r="F144" t="str">
        <f>'List of all columns'!H142</f>
        <v>VARCHAR(200)</v>
      </c>
      <c r="G144" t="s">
        <v>2499</v>
      </c>
      <c r="H144" t="str">
        <f t="shared" si="2"/>
        <v>ALTER TABLE NES_PAN_UPLOAD_TOXICOLOGY  ADD NOAEL_EXP_OECD_TOOLBOX_EFSA_TOOLBOX_TOX VARCHAR(200);</v>
      </c>
    </row>
    <row r="145" spans="1:8" x14ac:dyDescent="0.35">
      <c r="A145" t="s">
        <v>2496</v>
      </c>
      <c r="B145" s="309" t="s">
        <v>2497</v>
      </c>
      <c r="C145" t="s">
        <v>2498</v>
      </c>
      <c r="D145" t="str">
        <f>'List of all columns'!G143</f>
        <v>NOAEL_EXP_OECD_TOOLBOX_MUNRO_TOOLBOX</v>
      </c>
      <c r="E145" t="s">
        <v>523</v>
      </c>
      <c r="F145" t="str">
        <f>'List of all columns'!H143</f>
        <v>VARCHAR(200)</v>
      </c>
      <c r="G145" t="s">
        <v>2499</v>
      </c>
      <c r="H145" t="str">
        <f t="shared" si="2"/>
        <v>ALTER TABLE NES_PAN_UPLOAD_TOXICOLOGY  ADD NOAEL_EXP_OECD_TOOLBOX_MUNRO_TOOLBOX VARCHAR(200);</v>
      </c>
    </row>
    <row r="146" spans="1:8" x14ac:dyDescent="0.35">
      <c r="A146" t="s">
        <v>2496</v>
      </c>
      <c r="B146" s="309" t="s">
        <v>2497</v>
      </c>
      <c r="C146" t="s">
        <v>2498</v>
      </c>
      <c r="D146" t="str">
        <f>'List of all columns'!G144</f>
        <v>NOAEL_EXP_OECD_TOOLBOX_MUNRO_TOOLBOX_TOX</v>
      </c>
      <c r="E146" t="s">
        <v>523</v>
      </c>
      <c r="F146" t="str">
        <f>'List of all columns'!H144</f>
        <v>VARCHAR(200)</v>
      </c>
      <c r="G146" t="s">
        <v>2499</v>
      </c>
      <c r="H146" t="str">
        <f t="shared" si="2"/>
        <v>ALTER TABLE NES_PAN_UPLOAD_TOXICOLOGY  ADD NOAEL_EXP_OECD_TOOLBOX_MUNRO_TOOLBOX_TOX VARCHAR(200);</v>
      </c>
    </row>
    <row r="147" spans="1:8" x14ac:dyDescent="0.35">
      <c r="A147" t="s">
        <v>2496</v>
      </c>
      <c r="B147" s="309" t="s">
        <v>2497</v>
      </c>
      <c r="C147" t="s">
        <v>2498</v>
      </c>
      <c r="D147" t="str">
        <f>'List of all columns'!G145</f>
        <v>NOAEL_EXP_OECD_TOOLBOX_ECHA</v>
      </c>
      <c r="E147" t="s">
        <v>523</v>
      </c>
      <c r="F147" t="str">
        <f>'List of all columns'!H145</f>
        <v>VARCHAR(200)</v>
      </c>
      <c r="G147" t="s">
        <v>2499</v>
      </c>
      <c r="H147" t="str">
        <f t="shared" si="2"/>
        <v>ALTER TABLE NES_PAN_UPLOAD_TOXICOLOGY  ADD NOAEL_EXP_OECD_TOOLBOX_ECHA VARCHAR(200);</v>
      </c>
    </row>
    <row r="148" spans="1:8" x14ac:dyDescent="0.35">
      <c r="A148" t="s">
        <v>2496</v>
      </c>
      <c r="B148" s="309" t="s">
        <v>2497</v>
      </c>
      <c r="C148" t="s">
        <v>2498</v>
      </c>
      <c r="D148" t="str">
        <f>'List of all columns'!G146</f>
        <v>NOAEL_EXP_OECD_TOOLBOX_ECHA_TOX</v>
      </c>
      <c r="E148" t="s">
        <v>523</v>
      </c>
      <c r="F148" t="str">
        <f>'List of all columns'!H146</f>
        <v>VARCHAR(200)</v>
      </c>
      <c r="G148" t="s">
        <v>2499</v>
      </c>
      <c r="H148" t="str">
        <f t="shared" si="2"/>
        <v>ALTER TABLE NES_PAN_UPLOAD_TOXICOLOGY  ADD NOAEL_EXP_OECD_TOOLBOX_ECHA_TOX VARCHAR(200);</v>
      </c>
    </row>
    <row r="149" spans="1:8" x14ac:dyDescent="0.35">
      <c r="A149" t="s">
        <v>2496</v>
      </c>
      <c r="B149" s="309" t="s">
        <v>2497</v>
      </c>
      <c r="C149" t="s">
        <v>2498</v>
      </c>
      <c r="D149" t="str">
        <f>'List of all columns'!G147</f>
        <v>LOAEL_EXP_QSAR_SUBCRON_TOX_LIVER_LOAEL</v>
      </c>
      <c r="E149" t="s">
        <v>523</v>
      </c>
      <c r="F149" t="str">
        <f>'List of all columns'!H147</f>
        <v>VARCHAR(200)</v>
      </c>
      <c r="G149" t="s">
        <v>2499</v>
      </c>
      <c r="H149" t="str">
        <f t="shared" si="2"/>
        <v>ALTER TABLE NES_PAN_UPLOAD_TOXICOLOGY  ADD LOAEL_EXP_QSAR_SUBCRON_TOX_LIVER_LOAEL VARCHAR(200);</v>
      </c>
    </row>
    <row r="150" spans="1:8" x14ac:dyDescent="0.35">
      <c r="A150" t="s">
        <v>2496</v>
      </c>
      <c r="B150" s="309" t="s">
        <v>2497</v>
      </c>
      <c r="C150" t="s">
        <v>2498</v>
      </c>
      <c r="D150" t="str">
        <f>'List of all columns'!G148</f>
        <v>LOAEL_EXP_QSAR_SUBCRON_TOX_HELMA</v>
      </c>
      <c r="E150" t="s">
        <v>523</v>
      </c>
      <c r="F150" t="str">
        <f>'List of all columns'!H148</f>
        <v>VARCHAR(200)</v>
      </c>
      <c r="G150" t="s">
        <v>2499</v>
      </c>
      <c r="H150" t="str">
        <f t="shared" si="2"/>
        <v>ALTER TABLE NES_PAN_UPLOAD_TOXICOLOGY  ADD LOAEL_EXP_QSAR_SUBCRON_TOX_HELMA VARCHAR(200);</v>
      </c>
    </row>
    <row r="151" spans="1:8" x14ac:dyDescent="0.35">
      <c r="A151" t="s">
        <v>2496</v>
      </c>
      <c r="B151" s="309" t="s">
        <v>2497</v>
      </c>
      <c r="C151" t="s">
        <v>2498</v>
      </c>
      <c r="D151" t="str">
        <f>'List of all columns'!G149</f>
        <v>LOAEL_EXP_QSAR_SUBCRON_TOX_MAZZATORTA</v>
      </c>
      <c r="E151" t="s">
        <v>523</v>
      </c>
      <c r="F151" t="str">
        <f>'List of all columns'!H149</f>
        <v>VARCHAR(200)</v>
      </c>
      <c r="G151" t="s">
        <v>2499</v>
      </c>
      <c r="H151" t="str">
        <f t="shared" si="2"/>
        <v>ALTER TABLE NES_PAN_UPLOAD_TOXICOLOGY  ADD LOAEL_EXP_QSAR_SUBCRON_TOX_MAZZATORTA VARCHAR(200);</v>
      </c>
    </row>
    <row r="152" spans="1:8" x14ac:dyDescent="0.35">
      <c r="A152" t="s">
        <v>2496</v>
      </c>
      <c r="B152" s="309" t="s">
        <v>2497</v>
      </c>
      <c r="C152" t="s">
        <v>2498</v>
      </c>
      <c r="D152" t="str">
        <f>'List of all columns'!G150</f>
        <v>LOAEL_EXP_EFSA_OFT_EFSA_HUMAN</v>
      </c>
      <c r="E152" t="s">
        <v>523</v>
      </c>
      <c r="F152" t="str">
        <f>'List of all columns'!H150</f>
        <v>VARCHAR(200)</v>
      </c>
      <c r="G152" t="s">
        <v>2499</v>
      </c>
      <c r="H152" t="str">
        <f t="shared" si="2"/>
        <v>ALTER TABLE NES_PAN_UPLOAD_TOXICOLOGY  ADD LOAEL_EXP_EFSA_OFT_EFSA_HUMAN VARCHAR(200);</v>
      </c>
    </row>
    <row r="153" spans="1:8" x14ac:dyDescent="0.35">
      <c r="A153" t="s">
        <v>2496</v>
      </c>
      <c r="B153" s="309" t="s">
        <v>2497</v>
      </c>
      <c r="C153" t="s">
        <v>2498</v>
      </c>
      <c r="D153" t="str">
        <f>'List of all columns'!G151</f>
        <v>LOAEL_EXP_EFSA_OFT_EFSA_HUMAN_TOX</v>
      </c>
      <c r="E153" t="s">
        <v>523</v>
      </c>
      <c r="F153" t="str">
        <f>'List of all columns'!H151</f>
        <v>VARCHAR(200)</v>
      </c>
      <c r="G153" t="s">
        <v>2499</v>
      </c>
      <c r="H153" t="str">
        <f t="shared" si="2"/>
        <v>ALTER TABLE NES_PAN_UPLOAD_TOXICOLOGY  ADD LOAEL_EXP_EFSA_OFT_EFSA_HUMAN_TOX VARCHAR(200);</v>
      </c>
    </row>
    <row r="154" spans="1:8" x14ac:dyDescent="0.35">
      <c r="A154" t="s">
        <v>2496</v>
      </c>
      <c r="B154" s="309" t="s">
        <v>2497</v>
      </c>
      <c r="C154" t="s">
        <v>2498</v>
      </c>
      <c r="D154" t="str">
        <f>'List of all columns'!G152</f>
        <v>LOAEL_EXP_EFSA_OFT_EFSA_ANIMAL</v>
      </c>
      <c r="E154" t="s">
        <v>523</v>
      </c>
      <c r="F154" t="str">
        <f>'List of all columns'!H152</f>
        <v>VARCHAR(200)</v>
      </c>
      <c r="G154" t="s">
        <v>2499</v>
      </c>
      <c r="H154" t="str">
        <f t="shared" si="2"/>
        <v>ALTER TABLE NES_PAN_UPLOAD_TOXICOLOGY  ADD LOAEL_EXP_EFSA_OFT_EFSA_ANIMAL VARCHAR(200);</v>
      </c>
    </row>
    <row r="155" spans="1:8" x14ac:dyDescent="0.35">
      <c r="A155" t="s">
        <v>2496</v>
      </c>
      <c r="B155" s="309" t="s">
        <v>2497</v>
      </c>
      <c r="C155" t="s">
        <v>2498</v>
      </c>
      <c r="D155" t="str">
        <f>'List of all columns'!G153</f>
        <v>LOAEL_EXP_EFSA_OFT_EFSA_ANIMAL_TOX</v>
      </c>
      <c r="E155" t="s">
        <v>523</v>
      </c>
      <c r="F155" t="str">
        <f>'List of all columns'!H153</f>
        <v>VARCHAR(200)</v>
      </c>
      <c r="G155" t="s">
        <v>2499</v>
      </c>
      <c r="H155" t="str">
        <f t="shared" si="2"/>
        <v>ALTER TABLE NES_PAN_UPLOAD_TOXICOLOGY  ADD LOAEL_EXP_EFSA_OFT_EFSA_ANIMAL_TOX VARCHAR(200);</v>
      </c>
    </row>
    <row r="156" spans="1:8" x14ac:dyDescent="0.35">
      <c r="A156" t="s">
        <v>2496</v>
      </c>
      <c r="B156" s="309" t="s">
        <v>2497</v>
      </c>
      <c r="C156" t="s">
        <v>2498</v>
      </c>
      <c r="D156" t="str">
        <f>'List of all columns'!G154</f>
        <v>LOAEL_EXP_OECD_TOOLBOX_EFSA_TOOLBOX</v>
      </c>
      <c r="E156" t="s">
        <v>523</v>
      </c>
      <c r="F156" t="str">
        <f>'List of all columns'!H154</f>
        <v>VARCHAR(200)</v>
      </c>
      <c r="G156" t="s">
        <v>2499</v>
      </c>
      <c r="H156" t="str">
        <f t="shared" si="2"/>
        <v>ALTER TABLE NES_PAN_UPLOAD_TOXICOLOGY  ADD LOAEL_EXP_OECD_TOOLBOX_EFSA_TOOLBOX VARCHAR(200);</v>
      </c>
    </row>
    <row r="157" spans="1:8" x14ac:dyDescent="0.35">
      <c r="A157" t="s">
        <v>2496</v>
      </c>
      <c r="B157" s="309" t="s">
        <v>2497</v>
      </c>
      <c r="C157" t="s">
        <v>2498</v>
      </c>
      <c r="D157" t="str">
        <f>'List of all columns'!G155</f>
        <v>LOAEL_EXP_OECD_TOOLBOX_EFSA_TOOLBOX_TOX</v>
      </c>
      <c r="E157" t="s">
        <v>523</v>
      </c>
      <c r="F157" t="str">
        <f>'List of all columns'!H155</f>
        <v>VARCHAR(200)</v>
      </c>
      <c r="G157" t="s">
        <v>2499</v>
      </c>
      <c r="H157" t="str">
        <f t="shared" si="2"/>
        <v>ALTER TABLE NES_PAN_UPLOAD_TOXICOLOGY  ADD LOAEL_EXP_OECD_TOOLBOX_EFSA_TOOLBOX_TOX VARCHAR(200);</v>
      </c>
    </row>
    <row r="158" spans="1:8" x14ac:dyDescent="0.35">
      <c r="A158" t="s">
        <v>2496</v>
      </c>
      <c r="B158" s="309" t="s">
        <v>2497</v>
      </c>
      <c r="C158" t="s">
        <v>2498</v>
      </c>
      <c r="D158" t="str">
        <f>'List of all columns'!G156</f>
        <v>LOAEL_EXP_OECD_TOOLBOX_MUNRO_TOOLBOX</v>
      </c>
      <c r="E158" t="s">
        <v>523</v>
      </c>
      <c r="F158" t="str">
        <f>'List of all columns'!H156</f>
        <v>VARCHAR(200)</v>
      </c>
      <c r="G158" t="s">
        <v>2499</v>
      </c>
      <c r="H158" t="str">
        <f t="shared" si="2"/>
        <v>ALTER TABLE NES_PAN_UPLOAD_TOXICOLOGY  ADD LOAEL_EXP_OECD_TOOLBOX_MUNRO_TOOLBOX VARCHAR(200);</v>
      </c>
    </row>
    <row r="159" spans="1:8" x14ac:dyDescent="0.35">
      <c r="A159" t="s">
        <v>2496</v>
      </c>
      <c r="B159" s="309" t="s">
        <v>2497</v>
      </c>
      <c r="C159" t="s">
        <v>2498</v>
      </c>
      <c r="D159" t="str">
        <f>'List of all columns'!G157</f>
        <v>LOAEL_EXP_OECD_TOOLBOX_MUNRO_TOOLBOX_TOX</v>
      </c>
      <c r="E159" t="s">
        <v>523</v>
      </c>
      <c r="F159" t="str">
        <f>'List of all columns'!H157</f>
        <v>VARCHAR(200)</v>
      </c>
      <c r="G159" t="s">
        <v>2499</v>
      </c>
      <c r="H159" t="str">
        <f t="shared" si="2"/>
        <v>ALTER TABLE NES_PAN_UPLOAD_TOXICOLOGY  ADD LOAEL_EXP_OECD_TOOLBOX_MUNRO_TOOLBOX_TOX VARCHAR(200);</v>
      </c>
    </row>
    <row r="160" spans="1:8" x14ac:dyDescent="0.35">
      <c r="A160" t="s">
        <v>2496</v>
      </c>
      <c r="B160" s="309" t="s">
        <v>2497</v>
      </c>
      <c r="C160" t="s">
        <v>2498</v>
      </c>
      <c r="D160" t="str">
        <f>'List of all columns'!G158</f>
        <v>LOAEL_EXP_OECD_TOOLBOX_ECHA</v>
      </c>
      <c r="E160" t="s">
        <v>523</v>
      </c>
      <c r="F160" t="str">
        <f>'List of all columns'!H158</f>
        <v>VARCHAR(200)</v>
      </c>
      <c r="G160" t="s">
        <v>2499</v>
      </c>
      <c r="H160" t="str">
        <f t="shared" si="2"/>
        <v>ALTER TABLE NES_PAN_UPLOAD_TOXICOLOGY  ADD LOAEL_EXP_OECD_TOOLBOX_ECHA VARCHAR(200);</v>
      </c>
    </row>
    <row r="161" spans="1:8" x14ac:dyDescent="0.35">
      <c r="A161" t="s">
        <v>2496</v>
      </c>
      <c r="B161" s="309" t="s">
        <v>2497</v>
      </c>
      <c r="C161" t="s">
        <v>2498</v>
      </c>
      <c r="D161" t="str">
        <f>'List of all columns'!G159</f>
        <v>LOAEL_EXP_OECD_TOOLBOX_ECHA_TOX</v>
      </c>
      <c r="E161" t="s">
        <v>523</v>
      </c>
      <c r="F161" t="str">
        <f>'List of all columns'!H159</f>
        <v>VARCHAR(200)</v>
      </c>
      <c r="G161" t="s">
        <v>2499</v>
      </c>
      <c r="H161" t="str">
        <f t="shared" si="2"/>
        <v>ALTER TABLE NES_PAN_UPLOAD_TOXICOLOGY  ADD LOAEL_EXP_OECD_TOOLBOX_ECHA_TOX VARCHAR(200);</v>
      </c>
    </row>
    <row r="162" spans="1:8" x14ac:dyDescent="0.35">
      <c r="A162" t="s">
        <v>2496</v>
      </c>
      <c r="B162" s="309" t="s">
        <v>2497</v>
      </c>
      <c r="C162" t="s">
        <v>2498</v>
      </c>
      <c r="D162" t="str">
        <f>'List of all columns'!G160</f>
        <v>NOAEL_PRED_SUBCRON_LIVER_NOAEL</v>
      </c>
      <c r="E162" t="s">
        <v>523</v>
      </c>
      <c r="F162" t="str">
        <f>'List of all columns'!H160</f>
        <v>VARCHAR(200)</v>
      </c>
      <c r="G162" t="s">
        <v>2499</v>
      </c>
      <c r="H162" t="str">
        <f t="shared" si="2"/>
        <v>ALTER TABLE NES_PAN_UPLOAD_TOXICOLOGY  ADD NOAEL_PRED_SUBCRON_LIVER_NOAEL VARCHAR(200);</v>
      </c>
    </row>
    <row r="163" spans="1:8" x14ac:dyDescent="0.35">
      <c r="A163" t="s">
        <v>2496</v>
      </c>
      <c r="B163" s="309" t="s">
        <v>2497</v>
      </c>
      <c r="C163" t="s">
        <v>2498</v>
      </c>
      <c r="D163" t="str">
        <f>'List of all columns'!G161</f>
        <v>NOAEL_PRED_SUBCRON_LIVER_NOAEL_REL</v>
      </c>
      <c r="E163" t="s">
        <v>523</v>
      </c>
      <c r="F163" t="str">
        <f>'List of all columns'!H161</f>
        <v>VARCHAR(200)</v>
      </c>
      <c r="G163" t="s">
        <v>2499</v>
      </c>
      <c r="H163" t="str">
        <f t="shared" si="2"/>
        <v>ALTER TABLE NES_PAN_UPLOAD_TOXICOLOGY  ADD NOAEL_PRED_SUBCRON_LIVER_NOAEL_REL VARCHAR(200);</v>
      </c>
    </row>
    <row r="164" spans="1:8" x14ac:dyDescent="0.35">
      <c r="A164" t="s">
        <v>2496</v>
      </c>
      <c r="B164" s="309" t="s">
        <v>2497</v>
      </c>
      <c r="C164" t="s">
        <v>2498</v>
      </c>
      <c r="D164" t="str">
        <f>'List of all columns'!G162</f>
        <v>NOAEL_PRED_SUBCRON_LIVER_LOAEL</v>
      </c>
      <c r="E164" t="s">
        <v>523</v>
      </c>
      <c r="F164" t="str">
        <f>'List of all columns'!H162</f>
        <v>VARCHAR(200)</v>
      </c>
      <c r="G164" t="s">
        <v>2499</v>
      </c>
      <c r="H164" t="str">
        <f t="shared" si="2"/>
        <v>ALTER TABLE NES_PAN_UPLOAD_TOXICOLOGY  ADD NOAEL_PRED_SUBCRON_LIVER_LOAEL VARCHAR(200);</v>
      </c>
    </row>
    <row r="165" spans="1:8" x14ac:dyDescent="0.35">
      <c r="A165" t="s">
        <v>2496</v>
      </c>
      <c r="B165" s="309" t="s">
        <v>2497</v>
      </c>
      <c r="C165" t="s">
        <v>2498</v>
      </c>
      <c r="D165" t="str">
        <f>'List of all columns'!G163</f>
        <v>NOAEL_PRED_SUBCRON_LIVER_LOAEL_REL</v>
      </c>
      <c r="E165" t="s">
        <v>523</v>
      </c>
      <c r="F165" t="str">
        <f>'List of all columns'!H163</f>
        <v>VARCHAR(200)</v>
      </c>
      <c r="G165" t="s">
        <v>2499</v>
      </c>
      <c r="H165" t="str">
        <f t="shared" si="2"/>
        <v>ALTER TABLE NES_PAN_UPLOAD_TOXICOLOGY  ADD NOAEL_PRED_SUBCRON_LIVER_LOAEL_REL VARCHAR(200);</v>
      </c>
    </row>
    <row r="166" spans="1:8" x14ac:dyDescent="0.35">
      <c r="A166" t="s">
        <v>2496</v>
      </c>
      <c r="B166" s="309" t="s">
        <v>2497</v>
      </c>
      <c r="C166" t="s">
        <v>2498</v>
      </c>
      <c r="D166" t="str">
        <f>'List of all columns'!G164</f>
        <v>NOAEL_PRED_SUBCRON_GADELETA_NOAEL</v>
      </c>
      <c r="E166" t="s">
        <v>523</v>
      </c>
      <c r="F166" t="str">
        <f>'List of all columns'!H164</f>
        <v>VARCHAR(200)</v>
      </c>
      <c r="G166" t="s">
        <v>2499</v>
      </c>
      <c r="H166" t="str">
        <f t="shared" si="2"/>
        <v>ALTER TABLE NES_PAN_UPLOAD_TOXICOLOGY  ADD NOAEL_PRED_SUBCRON_GADELETA_NOAEL VARCHAR(200);</v>
      </c>
    </row>
    <row r="167" spans="1:8" x14ac:dyDescent="0.35">
      <c r="A167" t="s">
        <v>2496</v>
      </c>
      <c r="B167" s="309" t="s">
        <v>2497</v>
      </c>
      <c r="C167" t="s">
        <v>2498</v>
      </c>
      <c r="D167" t="str">
        <f>'List of all columns'!G165</f>
        <v>NOAEL_PRED_SUBCRON_GADELETA_LOAEL</v>
      </c>
      <c r="E167" t="s">
        <v>523</v>
      </c>
      <c r="F167" t="str">
        <f>'List of all columns'!H165</f>
        <v>VARCHAR(200)</v>
      </c>
      <c r="G167" t="s">
        <v>2499</v>
      </c>
      <c r="H167" t="str">
        <f t="shared" si="2"/>
        <v>ALTER TABLE NES_PAN_UPLOAD_TOXICOLOGY  ADD NOAEL_PRED_SUBCRON_GADELETA_LOAEL VARCHAR(200);</v>
      </c>
    </row>
    <row r="168" spans="1:8" x14ac:dyDescent="0.35">
      <c r="A168" t="s">
        <v>2496</v>
      </c>
      <c r="B168" s="309" t="s">
        <v>2497</v>
      </c>
      <c r="C168" t="s">
        <v>2498</v>
      </c>
      <c r="D168" t="str">
        <f>'List of all columns'!G166</f>
        <v>NOAEL_PRED_SUBCRON_GADELETA_AD_INFO</v>
      </c>
      <c r="E168" t="s">
        <v>523</v>
      </c>
      <c r="F168" t="str">
        <f>'List of all columns'!H166</f>
        <v>VARCHAR(200)</v>
      </c>
      <c r="G168" t="s">
        <v>2499</v>
      </c>
      <c r="H168" t="str">
        <f t="shared" si="2"/>
        <v>ALTER TABLE NES_PAN_UPLOAD_TOXICOLOGY  ADD NOAEL_PRED_SUBCRON_GADELETA_AD_INFO VARCHAR(200);</v>
      </c>
    </row>
    <row r="169" spans="1:8" x14ac:dyDescent="0.35">
      <c r="A169" t="s">
        <v>2496</v>
      </c>
      <c r="B169" s="309" t="s">
        <v>2497</v>
      </c>
      <c r="C169" t="s">
        <v>2498</v>
      </c>
      <c r="D169" t="str">
        <f>'List of all columns'!G167</f>
        <v>NOAEL_PRED_SUBCRON_GADELETA_REL</v>
      </c>
      <c r="E169" t="s">
        <v>523</v>
      </c>
      <c r="F169" t="str">
        <f>'List of all columns'!H167</f>
        <v>VARCHAR(200)</v>
      </c>
      <c r="G169" t="s">
        <v>2499</v>
      </c>
      <c r="H169" t="str">
        <f t="shared" si="2"/>
        <v>ALTER TABLE NES_PAN_UPLOAD_TOXICOLOGY  ADD NOAEL_PRED_SUBCRON_GADELETA_REL VARCHAR(200);</v>
      </c>
    </row>
    <row r="170" spans="1:8" x14ac:dyDescent="0.35">
      <c r="A170" t="s">
        <v>2496</v>
      </c>
      <c r="B170" s="309" t="s">
        <v>2497</v>
      </c>
      <c r="C170" t="s">
        <v>2498</v>
      </c>
      <c r="D170" t="str">
        <f>'List of all columns'!G168</f>
        <v>LOAEL_PRED_SUBCRON_LIVER_LOAEL</v>
      </c>
      <c r="E170" t="s">
        <v>523</v>
      </c>
      <c r="F170" t="str">
        <f>'List of all columns'!H168</f>
        <v>VARCHAR(200)</v>
      </c>
      <c r="G170" t="s">
        <v>2499</v>
      </c>
      <c r="H170" t="str">
        <f t="shared" si="2"/>
        <v>ALTER TABLE NES_PAN_UPLOAD_TOXICOLOGY  ADD LOAEL_PRED_SUBCRON_LIVER_LOAEL VARCHAR(200);</v>
      </c>
    </row>
    <row r="171" spans="1:8" x14ac:dyDescent="0.35">
      <c r="A171" t="s">
        <v>2496</v>
      </c>
      <c r="B171" s="309" t="s">
        <v>2497</v>
      </c>
      <c r="C171" t="s">
        <v>2498</v>
      </c>
      <c r="D171" t="str">
        <f>'List of all columns'!G169</f>
        <v>LOAEL_PRED_SUBCRON_HELMA</v>
      </c>
      <c r="E171" t="s">
        <v>523</v>
      </c>
      <c r="F171" t="str">
        <f>'List of all columns'!H169</f>
        <v>VARCHAR(200)</v>
      </c>
      <c r="G171" t="s">
        <v>2499</v>
      </c>
      <c r="H171" t="str">
        <f t="shared" si="2"/>
        <v>ALTER TABLE NES_PAN_UPLOAD_TOXICOLOGY  ADD LOAEL_PRED_SUBCRON_HELMA VARCHAR(200);</v>
      </c>
    </row>
    <row r="172" spans="1:8" x14ac:dyDescent="0.35">
      <c r="A172" t="s">
        <v>2496</v>
      </c>
      <c r="B172" s="309" t="s">
        <v>2497</v>
      </c>
      <c r="C172" t="s">
        <v>2498</v>
      </c>
      <c r="D172" t="str">
        <f>'List of all columns'!G170</f>
        <v>LOAEL_PRED_SUBCRON_AD_INFO</v>
      </c>
      <c r="E172" t="s">
        <v>523</v>
      </c>
      <c r="F172" t="str">
        <f>'List of all columns'!H170</f>
        <v>VARCHAR(200)</v>
      </c>
      <c r="G172" t="s">
        <v>2499</v>
      </c>
      <c r="H172" t="str">
        <f t="shared" si="2"/>
        <v>ALTER TABLE NES_PAN_UPLOAD_TOXICOLOGY  ADD LOAEL_PRED_SUBCRON_AD_INFO VARCHAR(200);</v>
      </c>
    </row>
    <row r="173" spans="1:8" x14ac:dyDescent="0.35">
      <c r="A173" t="s">
        <v>2496</v>
      </c>
      <c r="B173" s="309" t="s">
        <v>2497</v>
      </c>
      <c r="C173" t="s">
        <v>2498</v>
      </c>
      <c r="D173" t="str">
        <f>'List of all columns'!G171</f>
        <v>LOAEL_PRED_SUBCRON_MAZZATORTA</v>
      </c>
      <c r="E173" t="s">
        <v>523</v>
      </c>
      <c r="F173" t="str">
        <f>'List of all columns'!H171</f>
        <v>VARCHAR(200)</v>
      </c>
      <c r="G173" t="s">
        <v>2499</v>
      </c>
      <c r="H173" t="str">
        <f t="shared" si="2"/>
        <v>ALTER TABLE NES_PAN_UPLOAD_TOXICOLOGY  ADD LOAEL_PRED_SUBCRON_MAZZATORTA VARCHAR(200);</v>
      </c>
    </row>
    <row r="174" spans="1:8" x14ac:dyDescent="0.35">
      <c r="A174" t="s">
        <v>2496</v>
      </c>
      <c r="B174" s="309" t="s">
        <v>2497</v>
      </c>
      <c r="C174" t="s">
        <v>2498</v>
      </c>
      <c r="D174" t="str">
        <f>'List of all columns'!G172</f>
        <v>NLOAEL_FIN_CALL_MIN_NLOAEL</v>
      </c>
      <c r="E174" t="s">
        <v>523</v>
      </c>
      <c r="F174" t="str">
        <f>'List of all columns'!H172</f>
        <v>VARCHAR(200)</v>
      </c>
      <c r="G174" t="s">
        <v>2499</v>
      </c>
      <c r="H174" t="str">
        <f t="shared" si="2"/>
        <v>ALTER TABLE NES_PAN_UPLOAD_TOXICOLOGY  ADD NLOAEL_FIN_CALL_MIN_NLOAEL VARCHAR(200);</v>
      </c>
    </row>
    <row r="175" spans="1:8" x14ac:dyDescent="0.35">
      <c r="A175" t="s">
        <v>2496</v>
      </c>
      <c r="B175" s="309" t="s">
        <v>2497</v>
      </c>
      <c r="C175" t="s">
        <v>2498</v>
      </c>
      <c r="D175" t="str">
        <f>'List of all columns'!G173</f>
        <v>NLOAEL_FIN_CALL_SOURCE</v>
      </c>
      <c r="E175" t="s">
        <v>523</v>
      </c>
      <c r="F175" t="str">
        <f>'List of all columns'!H173</f>
        <v>VARCHAR(200)</v>
      </c>
      <c r="G175" t="s">
        <v>2499</v>
      </c>
      <c r="H175" t="str">
        <f t="shared" si="2"/>
        <v>ALTER TABLE NES_PAN_UPLOAD_TOXICOLOGY  ADD NLOAEL_FIN_CALL_SOURCE VARCHAR(200);</v>
      </c>
    </row>
    <row r="176" spans="1:8" x14ac:dyDescent="0.35">
      <c r="A176" t="s">
        <v>2496</v>
      </c>
      <c r="B176" s="309" t="s">
        <v>2497</v>
      </c>
      <c r="C176" t="s">
        <v>2498</v>
      </c>
      <c r="D176" t="str">
        <f>'List of all columns'!G174</f>
        <v>NLOAEL_FIN_CALL_REL</v>
      </c>
      <c r="E176" t="s">
        <v>523</v>
      </c>
      <c r="F176" t="str">
        <f>'List of all columns'!H174</f>
        <v>VARCHAR(200)</v>
      </c>
      <c r="G176" t="s">
        <v>2499</v>
      </c>
      <c r="H176" t="str">
        <f t="shared" si="2"/>
        <v>ALTER TABLE NES_PAN_UPLOAD_TOXICOLOGY  ADD NLOAEL_FIN_CALL_REL VARCHAR(200);</v>
      </c>
    </row>
    <row r="177" spans="1:8" x14ac:dyDescent="0.35">
      <c r="A177" t="s">
        <v>2496</v>
      </c>
      <c r="B177" s="309" t="s">
        <v>2497</v>
      </c>
      <c r="C177" t="s">
        <v>2498</v>
      </c>
      <c r="D177" t="str">
        <f>'List of all columns'!G175</f>
        <v>NLOAEL_FIN_CALL_EXP_PRED</v>
      </c>
      <c r="E177" t="s">
        <v>523</v>
      </c>
      <c r="F177" t="str">
        <f>'List of all columns'!H175</f>
        <v>VARCHAR(200)</v>
      </c>
      <c r="G177" t="s">
        <v>2499</v>
      </c>
      <c r="H177" t="str">
        <f t="shared" si="2"/>
        <v>ALTER TABLE NES_PAN_UPLOAD_TOXICOLOGY  ADD NLOAEL_FIN_CALL_EXP_PRED VARCHAR(200);</v>
      </c>
    </row>
    <row r="178" spans="1:8" x14ac:dyDescent="0.35">
      <c r="A178" t="s">
        <v>2496</v>
      </c>
      <c r="B178" s="309" t="s">
        <v>2497</v>
      </c>
      <c r="C178" t="s">
        <v>2498</v>
      </c>
      <c r="D178" t="str">
        <f>'List of all columns'!G176</f>
        <v>NLOAEL_FIN_CALL_COMMENTS</v>
      </c>
      <c r="E178" t="s">
        <v>523</v>
      </c>
      <c r="F178" t="str">
        <f>'List of all columns'!H176</f>
        <v>VARCHAR(200)</v>
      </c>
      <c r="G178" t="s">
        <v>2499</v>
      </c>
      <c r="H178" t="str">
        <f t="shared" si="2"/>
        <v>ALTER TABLE NES_PAN_UPLOAD_TOXICOLOGY  ADD NLOAEL_FIN_CALL_COMMENTS VARCHAR(200);</v>
      </c>
    </row>
    <row r="179" spans="1:8" x14ac:dyDescent="0.35">
      <c r="A179" t="s">
        <v>2496</v>
      </c>
      <c r="B179" s="309" t="s">
        <v>2497</v>
      </c>
      <c r="C179" t="s">
        <v>2498</v>
      </c>
      <c r="D179" t="str">
        <f>'List of all columns'!G177</f>
        <v>UF_SUBCRON_2_CRON</v>
      </c>
      <c r="E179" t="s">
        <v>523</v>
      </c>
      <c r="F179" t="str">
        <f>'List of all columns'!H177</f>
        <v>VARCHAR(200)</v>
      </c>
      <c r="G179" t="s">
        <v>2499</v>
      </c>
      <c r="H179" t="str">
        <f t="shared" si="2"/>
        <v>ALTER TABLE NES_PAN_UPLOAD_TOXICOLOGY  ADD UF_SUBCRON_2_CRON VARCHAR(200);</v>
      </c>
    </row>
    <row r="180" spans="1:8" x14ac:dyDescent="0.35">
      <c r="A180" t="s">
        <v>2496</v>
      </c>
      <c r="B180" s="309" t="s">
        <v>2497</v>
      </c>
      <c r="C180" t="s">
        <v>2498</v>
      </c>
      <c r="D180" t="str">
        <f>'List of all columns'!G178</f>
        <v>UF_INTER_SPECIES</v>
      </c>
      <c r="E180" t="s">
        <v>523</v>
      </c>
      <c r="F180" t="str">
        <f>'List of all columns'!H178</f>
        <v>VARCHAR(200)</v>
      </c>
      <c r="G180" t="s">
        <v>2499</v>
      </c>
      <c r="H180" t="str">
        <f t="shared" si="2"/>
        <v>ALTER TABLE NES_PAN_UPLOAD_TOXICOLOGY  ADD UF_INTER_SPECIES VARCHAR(200);</v>
      </c>
    </row>
    <row r="181" spans="1:8" x14ac:dyDescent="0.35">
      <c r="A181" t="s">
        <v>2496</v>
      </c>
      <c r="B181" s="309" t="s">
        <v>2497</v>
      </c>
      <c r="C181" t="s">
        <v>2498</v>
      </c>
      <c r="D181" t="str">
        <f>'List of all columns'!G179</f>
        <v>UF_INTRA_SPECIES</v>
      </c>
      <c r="E181" t="s">
        <v>523</v>
      </c>
      <c r="F181" t="str">
        <f>'List of all columns'!H179</f>
        <v>VARCHAR(200)</v>
      </c>
      <c r="G181" t="s">
        <v>2499</v>
      </c>
      <c r="H181" t="str">
        <f t="shared" si="2"/>
        <v>ALTER TABLE NES_PAN_UPLOAD_TOXICOLOGY  ADD UF_INTRA_SPECIES VARCHAR(200);</v>
      </c>
    </row>
    <row r="182" spans="1:8" x14ac:dyDescent="0.35">
      <c r="A182" t="s">
        <v>2496</v>
      </c>
      <c r="B182" s="309" t="s">
        <v>2497</v>
      </c>
      <c r="C182" t="s">
        <v>2498</v>
      </c>
      <c r="D182" t="str">
        <f>'List of all columns'!G180</f>
        <v>UF_LOAEL_2_NOAEL</v>
      </c>
      <c r="E182" t="s">
        <v>523</v>
      </c>
      <c r="F182" t="str">
        <f>'List of all columns'!H180</f>
        <v>VARCHAR(200)</v>
      </c>
      <c r="G182" t="s">
        <v>2499</v>
      </c>
      <c r="H182" t="str">
        <f t="shared" si="2"/>
        <v>ALTER TABLE NES_PAN_UPLOAD_TOXICOLOGY  ADD UF_LOAEL_2_NOAEL VARCHAR(200);</v>
      </c>
    </row>
    <row r="183" spans="1:8" x14ac:dyDescent="0.35">
      <c r="A183" t="s">
        <v>2496</v>
      </c>
      <c r="B183" s="309" t="s">
        <v>2497</v>
      </c>
      <c r="C183" t="s">
        <v>2498</v>
      </c>
      <c r="D183" t="str">
        <f>'List of all columns'!G181</f>
        <v>UF_DB_UF</v>
      </c>
      <c r="E183" t="s">
        <v>523</v>
      </c>
      <c r="F183" t="str">
        <f>'List of all columns'!H181</f>
        <v>VARCHAR(200)</v>
      </c>
      <c r="G183" t="s">
        <v>2499</v>
      </c>
      <c r="H183" t="str">
        <f t="shared" si="2"/>
        <v>ALTER TABLE NES_PAN_UPLOAD_TOXICOLOGY  ADD UF_DB_UF VARCHAR(200);</v>
      </c>
    </row>
    <row r="184" spans="1:8" x14ac:dyDescent="0.35">
      <c r="A184" t="s">
        <v>2496</v>
      </c>
      <c r="B184" s="309" t="s">
        <v>2497</v>
      </c>
      <c r="C184" t="s">
        <v>2498</v>
      </c>
      <c r="D184" t="str">
        <f>'List of all columns'!G182</f>
        <v>UF_SF_APPLIED</v>
      </c>
      <c r="E184" t="s">
        <v>523</v>
      </c>
      <c r="F184" t="str">
        <f>'List of all columns'!H182</f>
        <v>VARCHAR(200)</v>
      </c>
      <c r="G184" t="s">
        <v>2499</v>
      </c>
      <c r="H184" t="str">
        <f t="shared" si="2"/>
        <v>ALTER TABLE NES_PAN_UPLOAD_TOXICOLOGY  ADD UF_SF_APPLIED VARCHAR(200);</v>
      </c>
    </row>
    <row r="185" spans="1:8" x14ac:dyDescent="0.35">
      <c r="A185" t="s">
        <v>2496</v>
      </c>
      <c r="B185" s="309" t="s">
        <v>2497</v>
      </c>
      <c r="C185" t="s">
        <v>2498</v>
      </c>
      <c r="D185" t="str">
        <f>'List of all columns'!G183</f>
        <v>CRAMER_CLASS</v>
      </c>
      <c r="E185" t="s">
        <v>523</v>
      </c>
      <c r="F185" t="str">
        <f>'List of all columns'!H183</f>
        <v>VARCHAR(200)</v>
      </c>
      <c r="G185" t="s">
        <v>2499</v>
      </c>
      <c r="H185" t="str">
        <f t="shared" si="2"/>
        <v>ALTER TABLE NES_PAN_UPLOAD_TOXICOLOGY  ADD CRAMER_CLASS VARCHAR(200);</v>
      </c>
    </row>
    <row r="186" spans="1:8" x14ac:dyDescent="0.35">
      <c r="A186" t="s">
        <v>2496</v>
      </c>
      <c r="B186" s="309" t="s">
        <v>2497</v>
      </c>
      <c r="C186" t="s">
        <v>2498</v>
      </c>
      <c r="D186" t="str">
        <f>'List of all columns'!G184</f>
        <v>CRAMER_CLASS_WITH_EXT</v>
      </c>
      <c r="E186" t="s">
        <v>523</v>
      </c>
      <c r="F186" t="str">
        <f>'List of all columns'!H184</f>
        <v>VARCHAR(200)</v>
      </c>
      <c r="G186" t="s">
        <v>2499</v>
      </c>
      <c r="H186" t="str">
        <f t="shared" si="2"/>
        <v>ALTER TABLE NES_PAN_UPLOAD_TOXICOLOGY  ADD CRAMER_CLASS_WITH_EXT VARCHAR(200);</v>
      </c>
    </row>
    <row r="187" spans="1:8" x14ac:dyDescent="0.35">
      <c r="A187" t="s">
        <v>2496</v>
      </c>
      <c r="B187" s="309" t="s">
        <v>2497</v>
      </c>
      <c r="C187" t="s">
        <v>2498</v>
      </c>
      <c r="D187" t="str">
        <f>'List of all columns'!G185</f>
        <v>TTC_VALUE</v>
      </c>
      <c r="E187" t="s">
        <v>523</v>
      </c>
      <c r="F187" t="str">
        <f>'List of all columns'!H185</f>
        <v>VARCHAR(200)</v>
      </c>
      <c r="G187" t="s">
        <v>2499</v>
      </c>
      <c r="H187" t="str">
        <f t="shared" si="2"/>
        <v>ALTER TABLE NES_PAN_UPLOAD_TOXICOLOGY  ADD TTC_VALUE VARCHAR(200);</v>
      </c>
    </row>
    <row r="188" spans="1:8" x14ac:dyDescent="0.35">
      <c r="A188" t="s">
        <v>2496</v>
      </c>
      <c r="B188" s="309" t="s">
        <v>2497</v>
      </c>
      <c r="C188" t="s">
        <v>2498</v>
      </c>
      <c r="D188" t="str">
        <f>'List of all columns'!G186</f>
        <v>HBGV_EFSA_OFT</v>
      </c>
      <c r="E188" t="s">
        <v>523</v>
      </c>
      <c r="F188" t="str">
        <f>'List of all columns'!H186</f>
        <v>VARCHAR(200)</v>
      </c>
      <c r="G188" t="s">
        <v>2499</v>
      </c>
      <c r="H188" t="str">
        <f t="shared" si="2"/>
        <v>ALTER TABLE NES_PAN_UPLOAD_TOXICOLOGY  ADD HBGV_EFSA_OFT VARCHAR(200);</v>
      </c>
    </row>
    <row r="189" spans="1:8" x14ac:dyDescent="0.35">
      <c r="A189" t="s">
        <v>2496</v>
      </c>
      <c r="B189" s="309" t="s">
        <v>2497</v>
      </c>
      <c r="C189" t="s">
        <v>2498</v>
      </c>
      <c r="D189" t="str">
        <f>'List of all columns'!G187</f>
        <v>HBGV_1</v>
      </c>
      <c r="E189" t="s">
        <v>523</v>
      </c>
      <c r="F189" t="str">
        <f>'List of all columns'!H187</f>
        <v>VARCHAR(200)</v>
      </c>
      <c r="G189" t="s">
        <v>2499</v>
      </c>
      <c r="H189" t="str">
        <f t="shared" si="2"/>
        <v>ALTER TABLE NES_PAN_UPLOAD_TOXICOLOGY  ADD HBGV_1 VARCHAR(200);</v>
      </c>
    </row>
    <row r="190" spans="1:8" x14ac:dyDescent="0.35">
      <c r="A190" t="s">
        <v>2496</v>
      </c>
      <c r="B190" s="309" t="s">
        <v>2497</v>
      </c>
      <c r="C190" t="s">
        <v>2498</v>
      </c>
      <c r="D190" t="str">
        <f>'List of all columns'!G188</f>
        <v>HBGV_2</v>
      </c>
      <c r="E190" t="s">
        <v>523</v>
      </c>
      <c r="F190" t="str">
        <f>'List of all columns'!H188</f>
        <v>VARCHAR(200)</v>
      </c>
      <c r="G190" t="s">
        <v>2499</v>
      </c>
      <c r="H190" t="str">
        <f t="shared" si="2"/>
        <v>ALTER TABLE NES_PAN_UPLOAD_TOXICOLOGY  ADD HBGV_2 VARCHAR(200);</v>
      </c>
    </row>
    <row r="191" spans="1:8" x14ac:dyDescent="0.35">
      <c r="A191" t="s">
        <v>2496</v>
      </c>
      <c r="B191" s="309" t="s">
        <v>2497</v>
      </c>
      <c r="C191" t="s">
        <v>2498</v>
      </c>
      <c r="D191" t="str">
        <f>'List of all columns'!G189</f>
        <v>HBGV_3</v>
      </c>
      <c r="E191" t="s">
        <v>523</v>
      </c>
      <c r="F191" t="str">
        <f>'List of all columns'!H189</f>
        <v>VARCHAR(200)</v>
      </c>
      <c r="G191" t="s">
        <v>2499</v>
      </c>
      <c r="H191" t="str">
        <f t="shared" si="2"/>
        <v>ALTER TABLE NES_PAN_UPLOAD_TOXICOLOGY  ADD HBGV_3 VARCHAR(200);</v>
      </c>
    </row>
    <row r="192" spans="1:8" x14ac:dyDescent="0.35">
      <c r="A192" t="s">
        <v>2496</v>
      </c>
      <c r="B192" s="309" t="s">
        <v>2497</v>
      </c>
      <c r="C192" t="s">
        <v>2498</v>
      </c>
      <c r="D192" t="str">
        <f>'List of all columns'!G190</f>
        <v>CHEM_SPEC_SBL_1</v>
      </c>
      <c r="E192" t="s">
        <v>523</v>
      </c>
      <c r="F192" t="str">
        <f>'List of all columns'!H190</f>
        <v>VARCHAR(200)</v>
      </c>
      <c r="G192" t="s">
        <v>2499</v>
      </c>
      <c r="H192" t="str">
        <f t="shared" si="2"/>
        <v>ALTER TABLE NES_PAN_UPLOAD_TOXICOLOGY  ADD CHEM_SPEC_SBL_1 VARCHAR(200);</v>
      </c>
    </row>
    <row r="193" spans="1:8" x14ac:dyDescent="0.35">
      <c r="A193" t="s">
        <v>2496</v>
      </c>
      <c r="B193" s="309" t="s">
        <v>2497</v>
      </c>
      <c r="C193" t="s">
        <v>2498</v>
      </c>
      <c r="D193" t="str">
        <f>'List of all columns'!G191</f>
        <v>CHEM_SPEC_SBL_2</v>
      </c>
      <c r="E193" t="s">
        <v>523</v>
      </c>
      <c r="F193" t="str">
        <f>'List of all columns'!H191</f>
        <v>VARCHAR(200)</v>
      </c>
      <c r="G193" t="s">
        <v>2499</v>
      </c>
      <c r="H193" t="str">
        <f t="shared" si="2"/>
        <v>ALTER TABLE NES_PAN_UPLOAD_TOXICOLOGY  ADD CHEM_SPEC_SBL_2 VARCHAR(200);</v>
      </c>
    </row>
    <row r="194" spans="1:8" x14ac:dyDescent="0.35">
      <c r="A194" t="s">
        <v>2496</v>
      </c>
      <c r="B194" s="309" t="s">
        <v>2497</v>
      </c>
      <c r="C194" t="s">
        <v>2498</v>
      </c>
      <c r="D194" t="str">
        <f>'List of all columns'!G192</f>
        <v>CHEM_SPEC_SBL_3</v>
      </c>
      <c r="E194" t="s">
        <v>523</v>
      </c>
      <c r="F194" t="str">
        <f>'List of all columns'!H192</f>
        <v>VARCHAR(200)</v>
      </c>
      <c r="G194" t="s">
        <v>2499</v>
      </c>
      <c r="H194" t="str">
        <f t="shared" si="2"/>
        <v>ALTER TABLE NES_PAN_UPLOAD_TOXICOLOGY  ADD CHEM_SPEC_SBL_3 VARCHAR(200);</v>
      </c>
    </row>
    <row r="195" spans="1:8" x14ac:dyDescent="0.35">
      <c r="A195" t="s">
        <v>2496</v>
      </c>
      <c r="B195" s="309" t="s">
        <v>2497</v>
      </c>
      <c r="C195" t="s">
        <v>2498</v>
      </c>
      <c r="D195" t="str">
        <f>'List of all columns'!G193</f>
        <v>CHEM_SPEC_SBL_4</v>
      </c>
      <c r="E195" t="s">
        <v>523</v>
      </c>
      <c r="F195" t="str">
        <f>'List of all columns'!H193</f>
        <v>VARCHAR(200)</v>
      </c>
      <c r="G195" t="s">
        <v>2499</v>
      </c>
      <c r="H195" t="str">
        <f t="shared" si="2"/>
        <v>ALTER TABLE NES_PAN_UPLOAD_TOXICOLOGY  ADD CHEM_SPEC_SBL_4 VARCHAR(200);</v>
      </c>
    </row>
    <row r="196" spans="1:8" x14ac:dyDescent="0.35">
      <c r="A196" t="s">
        <v>2496</v>
      </c>
      <c r="B196" s="309" t="s">
        <v>2497</v>
      </c>
      <c r="C196" t="s">
        <v>2498</v>
      </c>
      <c r="D196" t="str">
        <f>'List of all columns'!G194</f>
        <v>TTC_DERIVED_SBL_1</v>
      </c>
      <c r="E196" t="s">
        <v>523</v>
      </c>
      <c r="F196" t="str">
        <f>'List of all columns'!H194</f>
        <v>VARCHAR(200)</v>
      </c>
      <c r="G196" t="s">
        <v>2499</v>
      </c>
      <c r="H196" t="str">
        <f t="shared" si="2"/>
        <v>ALTER TABLE NES_PAN_UPLOAD_TOXICOLOGY  ADD TTC_DERIVED_SBL_1 VARCHAR(200);</v>
      </c>
    </row>
    <row r="197" spans="1:8" x14ac:dyDescent="0.35">
      <c r="A197" t="s">
        <v>2496</v>
      </c>
      <c r="B197" s="309" t="s">
        <v>2497</v>
      </c>
      <c r="C197" t="s">
        <v>2498</v>
      </c>
      <c r="D197" t="str">
        <f>'List of all columns'!G195</f>
        <v>TTC_DERIVED_SBL_2</v>
      </c>
      <c r="E197" t="s">
        <v>523</v>
      </c>
      <c r="F197" t="str">
        <f>'List of all columns'!H195</f>
        <v>VARCHAR(200)</v>
      </c>
      <c r="G197" t="s">
        <v>2499</v>
      </c>
      <c r="H197" t="str">
        <f t="shared" si="2"/>
        <v>ALTER TABLE NES_PAN_UPLOAD_TOXICOLOGY  ADD TTC_DERIVED_SBL_2 VARCHAR(200);</v>
      </c>
    </row>
    <row r="198" spans="1:8" x14ac:dyDescent="0.35">
      <c r="A198" t="s">
        <v>2496</v>
      </c>
      <c r="B198" s="309" t="s">
        <v>2497</v>
      </c>
      <c r="C198" t="s">
        <v>2498</v>
      </c>
      <c r="D198" t="str">
        <f>'List of all columns'!G196</f>
        <v>TTC_DERIVED_SBL_3</v>
      </c>
      <c r="E198" t="s">
        <v>523</v>
      </c>
      <c r="F198" t="str">
        <f>'List of all columns'!H196</f>
        <v>VARCHAR(200)</v>
      </c>
      <c r="G198" t="s">
        <v>2499</v>
      </c>
      <c r="H198" t="str">
        <f t="shared" ref="H198:H235" si="3">_xlfn.CONCAT(A198:G198)</f>
        <v>ALTER TABLE NES_PAN_UPLOAD_TOXICOLOGY  ADD TTC_DERIVED_SBL_3 VARCHAR(200);</v>
      </c>
    </row>
    <row r="199" spans="1:8" x14ac:dyDescent="0.35">
      <c r="A199" t="s">
        <v>2496</v>
      </c>
      <c r="B199" s="309" t="s">
        <v>2497</v>
      </c>
      <c r="C199" t="s">
        <v>2498</v>
      </c>
      <c r="D199" t="str">
        <f>'List of all columns'!G197</f>
        <v>TTC_DERIVED_SBL_4</v>
      </c>
      <c r="E199" t="s">
        <v>523</v>
      </c>
      <c r="F199" t="str">
        <f>'List of all columns'!H197</f>
        <v>VARCHAR(200)</v>
      </c>
      <c r="G199" t="s">
        <v>2499</v>
      </c>
      <c r="H199" t="str">
        <f t="shared" si="3"/>
        <v>ALTER TABLE NES_PAN_UPLOAD_TOXICOLOGY  ADD TTC_DERIVED_SBL_4 VARCHAR(200);</v>
      </c>
    </row>
    <row r="200" spans="1:8" x14ac:dyDescent="0.35">
      <c r="A200" t="s">
        <v>2496</v>
      </c>
      <c r="B200" s="309" t="s">
        <v>2497</v>
      </c>
      <c r="C200" t="s">
        <v>2498</v>
      </c>
      <c r="D200" t="str">
        <f>'List of all columns'!G198</f>
        <v>DART_EXP_TOX_MODEL</v>
      </c>
      <c r="E200" t="s">
        <v>523</v>
      </c>
      <c r="F200" t="str">
        <f>'List of all columns'!H198</f>
        <v>VARCHAR(200)</v>
      </c>
      <c r="G200" t="s">
        <v>2499</v>
      </c>
      <c r="H200" t="str">
        <f t="shared" si="3"/>
        <v>ALTER TABLE NES_PAN_UPLOAD_TOXICOLOGY  ADD DART_EXP_TOX_MODEL VARCHAR(200);</v>
      </c>
    </row>
    <row r="201" spans="1:8" x14ac:dyDescent="0.35">
      <c r="A201" t="s">
        <v>2496</v>
      </c>
      <c r="B201" s="309" t="s">
        <v>2497</v>
      </c>
      <c r="C201" t="s">
        <v>2498</v>
      </c>
      <c r="D201" t="str">
        <f>'List of all columns'!G199</f>
        <v>DART_EXP_TOX_LIBRARY</v>
      </c>
      <c r="E201" t="s">
        <v>523</v>
      </c>
      <c r="F201" t="str">
        <f>'List of all columns'!H199</f>
        <v>VARCHAR(200)</v>
      </c>
      <c r="G201" t="s">
        <v>2499</v>
      </c>
      <c r="H201" t="str">
        <f t="shared" si="3"/>
        <v>ALTER TABLE NES_PAN_UPLOAD_TOXICOLOGY  ADD DART_EXP_TOX_LIBRARY VARCHAR(200);</v>
      </c>
    </row>
    <row r="202" spans="1:8" x14ac:dyDescent="0.35">
      <c r="A202" t="s">
        <v>2496</v>
      </c>
      <c r="B202" s="309" t="s">
        <v>2497</v>
      </c>
      <c r="C202" t="s">
        <v>2498</v>
      </c>
      <c r="D202" t="str">
        <f>'List of all columns'!G200</f>
        <v>DART_PRED_TOX_MODEL</v>
      </c>
      <c r="E202" t="s">
        <v>523</v>
      </c>
      <c r="F202" t="str">
        <f>'List of all columns'!H200</f>
        <v>VARCHAR(200)</v>
      </c>
      <c r="G202" t="s">
        <v>2499</v>
      </c>
      <c r="H202" t="str">
        <f t="shared" si="3"/>
        <v>ALTER TABLE NES_PAN_UPLOAD_TOXICOLOGY  ADD DART_PRED_TOX_MODEL VARCHAR(200);</v>
      </c>
    </row>
    <row r="203" spans="1:8" x14ac:dyDescent="0.35">
      <c r="A203" t="s">
        <v>2496</v>
      </c>
      <c r="B203" s="309" t="s">
        <v>2497</v>
      </c>
      <c r="C203" t="s">
        <v>2498</v>
      </c>
      <c r="D203" t="str">
        <f>'List of all columns'!G201</f>
        <v>DART_PRED_TOX_MODEL_REL</v>
      </c>
      <c r="E203" t="s">
        <v>523</v>
      </c>
      <c r="F203" t="str">
        <f>'List of all columns'!H201</f>
        <v>VARCHAR(200)</v>
      </c>
      <c r="G203" t="s">
        <v>2499</v>
      </c>
      <c r="H203" t="str">
        <f t="shared" si="3"/>
        <v>ALTER TABLE NES_PAN_UPLOAD_TOXICOLOGY  ADD DART_PRED_TOX_MODEL_REL VARCHAR(200);</v>
      </c>
    </row>
    <row r="204" spans="1:8" x14ac:dyDescent="0.35">
      <c r="A204" t="s">
        <v>2496</v>
      </c>
      <c r="B204" s="309" t="s">
        <v>2497</v>
      </c>
      <c r="C204" t="s">
        <v>2498</v>
      </c>
      <c r="D204" t="str">
        <f>'List of all columns'!G202</f>
        <v>DART_PRED_TOX_LIBRARY</v>
      </c>
      <c r="E204" t="s">
        <v>523</v>
      </c>
      <c r="F204" t="str">
        <f>'List of all columns'!H202</f>
        <v>VARCHAR(200)</v>
      </c>
      <c r="G204" t="s">
        <v>2499</v>
      </c>
      <c r="H204" t="str">
        <f t="shared" si="3"/>
        <v>ALTER TABLE NES_PAN_UPLOAD_TOXICOLOGY  ADD DART_PRED_TOX_LIBRARY VARCHAR(200);</v>
      </c>
    </row>
    <row r="205" spans="1:8" x14ac:dyDescent="0.35">
      <c r="A205" t="s">
        <v>2496</v>
      </c>
      <c r="B205" s="309" t="s">
        <v>2497</v>
      </c>
      <c r="C205" t="s">
        <v>2498</v>
      </c>
      <c r="D205" t="str">
        <f>'List of all columns'!G203</f>
        <v>DART_PRED_TOX_LIBRARY_REL</v>
      </c>
      <c r="E205" t="s">
        <v>523</v>
      </c>
      <c r="F205" t="str">
        <f>'List of all columns'!H203</f>
        <v>VARCHAR(200)</v>
      </c>
      <c r="G205" t="s">
        <v>2499</v>
      </c>
      <c r="H205" t="str">
        <f t="shared" si="3"/>
        <v>ALTER TABLE NES_PAN_UPLOAD_TOXICOLOGY  ADD DART_PRED_TOX_LIBRARY_REL VARCHAR(200);</v>
      </c>
    </row>
    <row r="206" spans="1:8" x14ac:dyDescent="0.35">
      <c r="A206" t="s">
        <v>2496</v>
      </c>
      <c r="B206" s="309" t="s">
        <v>2497</v>
      </c>
      <c r="C206" t="s">
        <v>2498</v>
      </c>
      <c r="D206" t="str">
        <f>'List of all columns'!G204</f>
        <v>DART_PRED_QSAR_TOOLBOX</v>
      </c>
      <c r="E206" t="s">
        <v>523</v>
      </c>
      <c r="F206" t="str">
        <f>'List of all columns'!H204</f>
        <v>VARCHAR(200)</v>
      </c>
      <c r="G206" t="s">
        <v>2499</v>
      </c>
      <c r="H206" t="str">
        <f t="shared" si="3"/>
        <v>ALTER TABLE NES_PAN_UPLOAD_TOXICOLOGY  ADD DART_PRED_QSAR_TOOLBOX VARCHAR(200);</v>
      </c>
    </row>
    <row r="207" spans="1:8" x14ac:dyDescent="0.35">
      <c r="A207" t="s">
        <v>2496</v>
      </c>
      <c r="B207" s="309" t="s">
        <v>2497</v>
      </c>
      <c r="C207" t="s">
        <v>2498</v>
      </c>
      <c r="D207" t="str">
        <f>'List of all columns'!G205</f>
        <v>ERAR_EXP_ESTROGEN_EFFECT</v>
      </c>
      <c r="E207" t="s">
        <v>523</v>
      </c>
      <c r="F207" t="str">
        <f>'List of all columns'!H205</f>
        <v>VARCHAR(200)</v>
      </c>
      <c r="G207" t="s">
        <v>2499</v>
      </c>
      <c r="H207" t="str">
        <f t="shared" si="3"/>
        <v>ALTER TABLE NES_PAN_UPLOAD_TOXICOLOGY  ADD ERAR_EXP_ESTROGEN_EFFECT VARCHAR(200);</v>
      </c>
    </row>
    <row r="208" spans="1:8" x14ac:dyDescent="0.35">
      <c r="A208" t="s">
        <v>2496</v>
      </c>
      <c r="B208" s="309" t="s">
        <v>2497</v>
      </c>
      <c r="C208" t="s">
        <v>2498</v>
      </c>
      <c r="D208" t="str">
        <f>'List of all columns'!G206</f>
        <v>ERAR_EXP_ESTROGEN_BINDING_AFF</v>
      </c>
      <c r="E208" t="s">
        <v>523</v>
      </c>
      <c r="F208" t="str">
        <f>'List of all columns'!H206</f>
        <v>VARCHAR(200)</v>
      </c>
      <c r="G208" t="s">
        <v>2499</v>
      </c>
      <c r="H208" t="str">
        <f t="shared" si="3"/>
        <v>ALTER TABLE NES_PAN_UPLOAD_TOXICOLOGY  ADD ERAR_EXP_ESTROGEN_BINDING_AFF VARCHAR(200);</v>
      </c>
    </row>
    <row r="209" spans="1:8" x14ac:dyDescent="0.35">
      <c r="A209" t="s">
        <v>2496</v>
      </c>
      <c r="B209" s="309" t="s">
        <v>2497</v>
      </c>
      <c r="C209" t="s">
        <v>2498</v>
      </c>
      <c r="D209" t="str">
        <f>'List of all columns'!G207</f>
        <v>ERAR_EXP_ANDROGEN_AFFECT</v>
      </c>
      <c r="E209" t="s">
        <v>523</v>
      </c>
      <c r="F209" t="str">
        <f>'List of all columns'!H207</f>
        <v>VARCHAR(200)</v>
      </c>
      <c r="G209" t="s">
        <v>2499</v>
      </c>
      <c r="H209" t="str">
        <f t="shared" si="3"/>
        <v>ALTER TABLE NES_PAN_UPLOAD_TOXICOLOGY  ADD ERAR_EXP_ANDROGEN_AFFECT VARCHAR(200);</v>
      </c>
    </row>
    <row r="210" spans="1:8" x14ac:dyDescent="0.35">
      <c r="A210" t="s">
        <v>2496</v>
      </c>
      <c r="B210" s="309" t="s">
        <v>2497</v>
      </c>
      <c r="C210" t="s">
        <v>2498</v>
      </c>
      <c r="D210" t="str">
        <f>'List of all columns'!G208</f>
        <v>ERAR_EXP_OTHER</v>
      </c>
      <c r="E210" t="s">
        <v>523</v>
      </c>
      <c r="F210" t="str">
        <f>'List of all columns'!H208</f>
        <v>VARCHAR(200)</v>
      </c>
      <c r="G210" t="s">
        <v>2499</v>
      </c>
      <c r="H210" t="str">
        <f t="shared" si="3"/>
        <v>ALTER TABLE NES_PAN_UPLOAD_TOXICOLOGY  ADD ERAR_EXP_OTHER VARCHAR(200);</v>
      </c>
    </row>
    <row r="211" spans="1:8" x14ac:dyDescent="0.35">
      <c r="A211" t="s">
        <v>2496</v>
      </c>
      <c r="B211" s="309" t="s">
        <v>2497</v>
      </c>
      <c r="C211" t="s">
        <v>2498</v>
      </c>
      <c r="D211" t="str">
        <f>'List of all columns'!G209</f>
        <v>ERAR_EXP_SOURCE</v>
      </c>
      <c r="E211" t="s">
        <v>523</v>
      </c>
      <c r="F211" t="str">
        <f>'List of all columns'!H209</f>
        <v>VARCHAR(200)</v>
      </c>
      <c r="G211" t="s">
        <v>2499</v>
      </c>
      <c r="H211" t="str">
        <f t="shared" si="3"/>
        <v>ALTER TABLE NES_PAN_UPLOAD_TOXICOLOGY  ADD ERAR_EXP_SOURCE VARCHAR(200);</v>
      </c>
    </row>
    <row r="212" spans="1:8" x14ac:dyDescent="0.35">
      <c r="A212" t="s">
        <v>2496</v>
      </c>
      <c r="B212" s="309" t="s">
        <v>2497</v>
      </c>
      <c r="C212" t="s">
        <v>2498</v>
      </c>
      <c r="D212" t="str">
        <f>'List of all columns'!G210</f>
        <v>ERAR_PRED_ESTROGEN_EFFECT</v>
      </c>
      <c r="E212" t="s">
        <v>523</v>
      </c>
      <c r="F212" t="str">
        <f>'List of all columns'!H210</f>
        <v>VARCHAR(200)</v>
      </c>
      <c r="G212" t="s">
        <v>2499</v>
      </c>
      <c r="H212" t="str">
        <f t="shared" si="3"/>
        <v>ALTER TABLE NES_PAN_UPLOAD_TOXICOLOGY  ADD ERAR_PRED_ESTROGEN_EFFECT VARCHAR(200);</v>
      </c>
    </row>
    <row r="213" spans="1:8" x14ac:dyDescent="0.35">
      <c r="A213" t="s">
        <v>2496</v>
      </c>
      <c r="B213" s="309" t="s">
        <v>2497</v>
      </c>
      <c r="C213" t="s">
        <v>2498</v>
      </c>
      <c r="D213" t="str">
        <f>'List of all columns'!G211</f>
        <v>ERAR_PRED_ESTROGEN_EFFECT_REL</v>
      </c>
      <c r="E213" t="s">
        <v>523</v>
      </c>
      <c r="F213" t="str">
        <f>'List of all columns'!H211</f>
        <v>VARCHAR(200)</v>
      </c>
      <c r="G213" t="s">
        <v>2499</v>
      </c>
      <c r="H213" t="str">
        <f t="shared" si="3"/>
        <v>ALTER TABLE NES_PAN_UPLOAD_TOXICOLOGY  ADD ERAR_PRED_ESTROGEN_EFFECT_REL VARCHAR(200);</v>
      </c>
    </row>
    <row r="214" spans="1:8" x14ac:dyDescent="0.35">
      <c r="A214" t="s">
        <v>2496</v>
      </c>
      <c r="B214" s="309" t="s">
        <v>2497</v>
      </c>
      <c r="C214" t="s">
        <v>2498</v>
      </c>
      <c r="D214" t="str">
        <f>'List of all columns'!G212</f>
        <v>ERAR_PRED_ESTROGEN_BINDING_AFF</v>
      </c>
      <c r="E214" t="s">
        <v>523</v>
      </c>
      <c r="F214" t="str">
        <f>'List of all columns'!H212</f>
        <v>VARCHAR(200)</v>
      </c>
      <c r="G214" t="s">
        <v>2499</v>
      </c>
      <c r="H214" t="str">
        <f t="shared" si="3"/>
        <v>ALTER TABLE NES_PAN_UPLOAD_TOXICOLOGY  ADD ERAR_PRED_ESTROGEN_BINDING_AFF VARCHAR(200);</v>
      </c>
    </row>
    <row r="215" spans="1:8" x14ac:dyDescent="0.35">
      <c r="A215" t="s">
        <v>2496</v>
      </c>
      <c r="B215" s="309" t="s">
        <v>2497</v>
      </c>
      <c r="C215" t="s">
        <v>2498</v>
      </c>
      <c r="D215" t="str">
        <f>'List of all columns'!G213</f>
        <v>ERAR_PRED_ESTROGEN_BINDING_AFF_REL</v>
      </c>
      <c r="E215" t="s">
        <v>523</v>
      </c>
      <c r="F215" t="str">
        <f>'List of all columns'!H213</f>
        <v>VARCHAR(200)</v>
      </c>
      <c r="G215" t="s">
        <v>2499</v>
      </c>
      <c r="H215" t="str">
        <f t="shared" si="3"/>
        <v>ALTER TABLE NES_PAN_UPLOAD_TOXICOLOGY  ADD ERAR_PRED_ESTROGEN_BINDING_AFF_REL VARCHAR(200);</v>
      </c>
    </row>
    <row r="216" spans="1:8" x14ac:dyDescent="0.35">
      <c r="A216" t="s">
        <v>2496</v>
      </c>
      <c r="B216" s="309" t="s">
        <v>2497</v>
      </c>
      <c r="C216" t="s">
        <v>2498</v>
      </c>
      <c r="D216" t="str">
        <f>'List of all columns'!G214</f>
        <v>ERAR_PRED_ANDROGEN_AFFECT</v>
      </c>
      <c r="E216" t="s">
        <v>523</v>
      </c>
      <c r="F216" t="str">
        <f>'List of all columns'!H214</f>
        <v>VARCHAR(200)</v>
      </c>
      <c r="G216" t="s">
        <v>2499</v>
      </c>
      <c r="H216" t="str">
        <f t="shared" si="3"/>
        <v>ALTER TABLE NES_PAN_UPLOAD_TOXICOLOGY  ADD ERAR_PRED_ANDROGEN_AFFECT VARCHAR(200);</v>
      </c>
    </row>
    <row r="217" spans="1:8" x14ac:dyDescent="0.35">
      <c r="A217" t="s">
        <v>2496</v>
      </c>
      <c r="B217" s="309" t="s">
        <v>2497</v>
      </c>
      <c r="C217" t="s">
        <v>2498</v>
      </c>
      <c r="D217" t="str">
        <f>'List of all columns'!G215</f>
        <v>ERAR_PRED_ANDROGEN_AFFECT_REL</v>
      </c>
      <c r="E217" t="s">
        <v>523</v>
      </c>
      <c r="F217" t="str">
        <f>'List of all columns'!H215</f>
        <v>VARCHAR(200)</v>
      </c>
      <c r="G217" t="s">
        <v>2499</v>
      </c>
      <c r="H217" t="str">
        <f t="shared" si="3"/>
        <v>ALTER TABLE NES_PAN_UPLOAD_TOXICOLOGY  ADD ERAR_PRED_ANDROGEN_AFFECT_REL VARCHAR(200);</v>
      </c>
    </row>
    <row r="218" spans="1:8" x14ac:dyDescent="0.35">
      <c r="A218" t="s">
        <v>2496</v>
      </c>
      <c r="B218" s="309" t="s">
        <v>2497</v>
      </c>
      <c r="C218" t="s">
        <v>2498</v>
      </c>
      <c r="D218" t="str">
        <f>'List of all columns'!G216</f>
        <v>ERAR_PRED_ESTROGEN_QSAR_TOOLBOX</v>
      </c>
      <c r="E218" t="s">
        <v>523</v>
      </c>
      <c r="F218" t="str">
        <f>'List of all columns'!H216</f>
        <v>VARCHAR(200)</v>
      </c>
      <c r="G218" t="s">
        <v>2499</v>
      </c>
      <c r="H218" t="str">
        <f t="shared" si="3"/>
        <v>ALTER TABLE NES_PAN_UPLOAD_TOXICOLOGY  ADD ERAR_PRED_ESTROGEN_QSAR_TOOLBOX VARCHAR(200);</v>
      </c>
    </row>
    <row r="219" spans="1:8" x14ac:dyDescent="0.35">
      <c r="A219" t="s">
        <v>2496</v>
      </c>
      <c r="B219" s="309" t="s">
        <v>2497</v>
      </c>
      <c r="C219" t="s">
        <v>2498</v>
      </c>
      <c r="D219" t="str">
        <f>'List of all columns'!G217</f>
        <v>THYROID_RECPT_PRED_THYROID_ALPHA</v>
      </c>
      <c r="E219" t="s">
        <v>523</v>
      </c>
      <c r="F219" t="str">
        <f>'List of all columns'!H217</f>
        <v>VARCHAR(200)</v>
      </c>
      <c r="G219" t="s">
        <v>2499</v>
      </c>
      <c r="H219" t="str">
        <f t="shared" si="3"/>
        <v>ALTER TABLE NES_PAN_UPLOAD_TOXICOLOGY  ADD THYROID_RECPT_PRED_THYROID_ALPHA VARCHAR(200);</v>
      </c>
    </row>
    <row r="220" spans="1:8" x14ac:dyDescent="0.35">
      <c r="A220" t="s">
        <v>2496</v>
      </c>
      <c r="B220" s="309" t="s">
        <v>2497</v>
      </c>
      <c r="C220" t="s">
        <v>2498</v>
      </c>
      <c r="D220" t="str">
        <f>'List of all columns'!G218</f>
        <v>THYROID_RECPT_PRED_THYROID_ALPHA_REL</v>
      </c>
      <c r="E220" t="s">
        <v>523</v>
      </c>
      <c r="F220" t="str">
        <f>'List of all columns'!H218</f>
        <v>VARCHAR(200)</v>
      </c>
      <c r="G220" t="s">
        <v>2499</v>
      </c>
      <c r="H220" t="str">
        <f t="shared" si="3"/>
        <v>ALTER TABLE NES_PAN_UPLOAD_TOXICOLOGY  ADD THYROID_RECPT_PRED_THYROID_ALPHA_REL VARCHAR(200);</v>
      </c>
    </row>
    <row r="221" spans="1:8" x14ac:dyDescent="0.35">
      <c r="A221" t="s">
        <v>2496</v>
      </c>
      <c r="B221" s="309" t="s">
        <v>2497</v>
      </c>
      <c r="C221" t="s">
        <v>2498</v>
      </c>
      <c r="D221" t="str">
        <f>'List of all columns'!G219</f>
        <v>THYROID_RECPT_PRED_THYROID_BETA</v>
      </c>
      <c r="E221" t="s">
        <v>523</v>
      </c>
      <c r="F221" t="str">
        <f>'List of all columns'!H219</f>
        <v>VARCHAR(200)</v>
      </c>
      <c r="G221" t="s">
        <v>2499</v>
      </c>
      <c r="H221" t="str">
        <f t="shared" si="3"/>
        <v>ALTER TABLE NES_PAN_UPLOAD_TOXICOLOGY  ADD THYROID_RECPT_PRED_THYROID_BETA VARCHAR(200);</v>
      </c>
    </row>
    <row r="222" spans="1:8" x14ac:dyDescent="0.35">
      <c r="A222" t="s">
        <v>2496</v>
      </c>
      <c r="B222" s="309" t="s">
        <v>2497</v>
      </c>
      <c r="C222" t="s">
        <v>2498</v>
      </c>
      <c r="D222" t="str">
        <f>'List of all columns'!G220</f>
        <v>THYROID_RECPT_PRED_THYROID_BETA_REL</v>
      </c>
      <c r="E222" t="s">
        <v>523</v>
      </c>
      <c r="F222" t="str">
        <f>'List of all columns'!H220</f>
        <v>VARCHAR(200)</v>
      </c>
      <c r="G222" t="s">
        <v>2499</v>
      </c>
      <c r="H222" t="str">
        <f t="shared" si="3"/>
        <v>ALTER TABLE NES_PAN_UPLOAD_TOXICOLOGY  ADD THYROID_RECPT_PRED_THYROID_BETA_REL VARCHAR(200);</v>
      </c>
    </row>
    <row r="223" spans="1:8" x14ac:dyDescent="0.35">
      <c r="A223" t="s">
        <v>2496</v>
      </c>
      <c r="B223" s="309" t="s">
        <v>2497</v>
      </c>
      <c r="C223" t="s">
        <v>2498</v>
      </c>
      <c r="D223" t="str">
        <f>'List of all columns'!G221</f>
        <v>THYROID_RECPT_EXP_THYROID_ALPHA</v>
      </c>
      <c r="E223" t="s">
        <v>523</v>
      </c>
      <c r="F223" t="str">
        <f>'List of all columns'!H221</f>
        <v>VARCHAR(200)</v>
      </c>
      <c r="G223" t="s">
        <v>2499</v>
      </c>
      <c r="H223" t="str">
        <f t="shared" si="3"/>
        <v>ALTER TABLE NES_PAN_UPLOAD_TOXICOLOGY  ADD THYROID_RECPT_EXP_THYROID_ALPHA VARCHAR(200);</v>
      </c>
    </row>
    <row r="224" spans="1:8" x14ac:dyDescent="0.35">
      <c r="A224" t="s">
        <v>2496</v>
      </c>
      <c r="B224" s="309" t="s">
        <v>2497</v>
      </c>
      <c r="C224" t="s">
        <v>2498</v>
      </c>
      <c r="D224" t="str">
        <f>'List of all columns'!G222</f>
        <v>THYROID_RECPT_EXP_THYROID_BETA</v>
      </c>
      <c r="E224" t="s">
        <v>523</v>
      </c>
      <c r="F224" t="str">
        <f>'List of all columns'!H222</f>
        <v>VARCHAR(200)</v>
      </c>
      <c r="G224" t="s">
        <v>2499</v>
      </c>
      <c r="H224" t="str">
        <f t="shared" si="3"/>
        <v>ALTER TABLE NES_PAN_UPLOAD_TOXICOLOGY  ADD THYROID_RECPT_EXP_THYROID_BETA VARCHAR(200);</v>
      </c>
    </row>
    <row r="225" spans="1:8" x14ac:dyDescent="0.35">
      <c r="A225" t="s">
        <v>2496</v>
      </c>
      <c r="B225" s="309" t="s">
        <v>2497</v>
      </c>
      <c r="C225" t="s">
        <v>2498</v>
      </c>
      <c r="D225" t="str">
        <f>'List of all columns'!G223</f>
        <v>THYROID_RECPT_EXP_OTHER</v>
      </c>
      <c r="E225" t="s">
        <v>523</v>
      </c>
      <c r="F225" t="str">
        <f>'List of all columns'!H223</f>
        <v>VARCHAR(200)</v>
      </c>
      <c r="G225" t="s">
        <v>2499</v>
      </c>
      <c r="H225" t="str">
        <f t="shared" si="3"/>
        <v>ALTER TABLE NES_PAN_UPLOAD_TOXICOLOGY  ADD THYROID_RECPT_EXP_OTHER VARCHAR(200);</v>
      </c>
    </row>
    <row r="226" spans="1:8" x14ac:dyDescent="0.35">
      <c r="A226" t="s">
        <v>2496</v>
      </c>
      <c r="B226" s="309" t="s">
        <v>2497</v>
      </c>
      <c r="C226" t="s">
        <v>2498</v>
      </c>
      <c r="D226" t="str">
        <f>'List of all columns'!G224</f>
        <v>AROMATASE_PRED_ACTIVITY_1</v>
      </c>
      <c r="E226" t="s">
        <v>523</v>
      </c>
      <c r="F226" t="str">
        <f>'List of all columns'!H224</f>
        <v>VARCHAR(200)</v>
      </c>
      <c r="G226" t="s">
        <v>2499</v>
      </c>
      <c r="H226" t="str">
        <f t="shared" si="3"/>
        <v>ALTER TABLE NES_PAN_UPLOAD_TOXICOLOGY  ADD AROMATASE_PRED_ACTIVITY_1 VARCHAR(200);</v>
      </c>
    </row>
    <row r="227" spans="1:8" x14ac:dyDescent="0.35">
      <c r="A227" t="s">
        <v>2496</v>
      </c>
      <c r="B227" s="309" t="s">
        <v>2497</v>
      </c>
      <c r="C227" t="s">
        <v>2498</v>
      </c>
      <c r="D227" t="str">
        <f>'List of all columns'!G225</f>
        <v>AROMATASE_PRED_ACTIVITY_1_REL</v>
      </c>
      <c r="E227" t="s">
        <v>523</v>
      </c>
      <c r="F227" t="str">
        <f>'List of all columns'!H225</f>
        <v>VARCHAR(200)</v>
      </c>
      <c r="G227" t="s">
        <v>2499</v>
      </c>
      <c r="H227" t="str">
        <f t="shared" si="3"/>
        <v>ALTER TABLE NES_PAN_UPLOAD_TOXICOLOGY  ADD AROMATASE_PRED_ACTIVITY_1_REL VARCHAR(200);</v>
      </c>
    </row>
    <row r="228" spans="1:8" x14ac:dyDescent="0.35">
      <c r="A228" t="s">
        <v>2496</v>
      </c>
      <c r="B228" s="309" t="s">
        <v>2497</v>
      </c>
      <c r="C228" t="s">
        <v>2498</v>
      </c>
      <c r="D228" t="str">
        <f>'List of all columns'!G226</f>
        <v>AROMATASE_PRED_ACTIVITY_2</v>
      </c>
      <c r="E228" t="s">
        <v>523</v>
      </c>
      <c r="F228" t="str">
        <f>'List of all columns'!H226</f>
        <v>VARCHAR(200)</v>
      </c>
      <c r="G228" t="s">
        <v>2499</v>
      </c>
      <c r="H228" t="str">
        <f t="shared" si="3"/>
        <v>ALTER TABLE NES_PAN_UPLOAD_TOXICOLOGY  ADD AROMATASE_PRED_ACTIVITY_2 VARCHAR(200);</v>
      </c>
    </row>
    <row r="229" spans="1:8" x14ac:dyDescent="0.35">
      <c r="A229" t="s">
        <v>2496</v>
      </c>
      <c r="B229" s="309" t="s">
        <v>2497</v>
      </c>
      <c r="C229" t="s">
        <v>2498</v>
      </c>
      <c r="D229" t="str">
        <f>'List of all columns'!G227</f>
        <v>AROMATASE_PRED_ACTIVITY_2_REL</v>
      </c>
      <c r="E229" t="s">
        <v>523</v>
      </c>
      <c r="F229" t="str">
        <f>'List of all columns'!H227</f>
        <v>VARCHAR(200)</v>
      </c>
      <c r="G229" t="s">
        <v>2499</v>
      </c>
      <c r="H229" t="str">
        <f t="shared" si="3"/>
        <v>ALTER TABLE NES_PAN_UPLOAD_TOXICOLOGY  ADD AROMATASE_PRED_ACTIVITY_2_REL VARCHAR(200);</v>
      </c>
    </row>
    <row r="230" spans="1:8" x14ac:dyDescent="0.35">
      <c r="A230" t="s">
        <v>2496</v>
      </c>
      <c r="B230" s="309" t="s">
        <v>2497</v>
      </c>
      <c r="C230" t="s">
        <v>2498</v>
      </c>
      <c r="D230" t="str">
        <f>'List of all columns'!G228</f>
        <v>AROMATASE_EXP_ACTIVITY_1</v>
      </c>
      <c r="E230" t="s">
        <v>523</v>
      </c>
      <c r="F230" t="str">
        <f>'List of all columns'!H228</f>
        <v>VARCHAR(200)</v>
      </c>
      <c r="G230" t="s">
        <v>2499</v>
      </c>
      <c r="H230" t="str">
        <f t="shared" si="3"/>
        <v>ALTER TABLE NES_PAN_UPLOAD_TOXICOLOGY  ADD AROMATASE_EXP_ACTIVITY_1 VARCHAR(200);</v>
      </c>
    </row>
    <row r="231" spans="1:8" x14ac:dyDescent="0.35">
      <c r="A231" t="s">
        <v>2496</v>
      </c>
      <c r="B231" s="309" t="s">
        <v>2497</v>
      </c>
      <c r="C231" t="s">
        <v>2498</v>
      </c>
      <c r="D231" t="str">
        <f>'List of all columns'!G229</f>
        <v>AROMATASE_EXP_ACTIVITY_2</v>
      </c>
      <c r="E231" t="s">
        <v>523</v>
      </c>
      <c r="F231" t="str">
        <f>'List of all columns'!H229</f>
        <v>VARCHAR(200)</v>
      </c>
      <c r="G231" t="s">
        <v>2499</v>
      </c>
      <c r="H231" t="str">
        <f t="shared" si="3"/>
        <v>ALTER TABLE NES_PAN_UPLOAD_TOXICOLOGY  ADD AROMATASE_EXP_ACTIVITY_2 VARCHAR(200);</v>
      </c>
    </row>
    <row r="232" spans="1:8" x14ac:dyDescent="0.35">
      <c r="A232" t="s">
        <v>2496</v>
      </c>
      <c r="B232" s="309" t="s">
        <v>2497</v>
      </c>
      <c r="C232" t="s">
        <v>2498</v>
      </c>
      <c r="D232" t="str">
        <f>'List of all columns'!G230</f>
        <v>ENDOCRINE_DISRUPT_EXP_SCREENING</v>
      </c>
      <c r="E232" t="s">
        <v>523</v>
      </c>
      <c r="F232" t="str">
        <f>'List of all columns'!H230</f>
        <v>VARCHAR(200)</v>
      </c>
      <c r="G232" t="s">
        <v>2499</v>
      </c>
      <c r="H232" t="str">
        <f t="shared" si="3"/>
        <v>ALTER TABLE NES_PAN_UPLOAD_TOXICOLOGY  ADD ENDOCRINE_DISRUPT_EXP_SCREENING VARCHAR(200);</v>
      </c>
    </row>
    <row r="233" spans="1:8" x14ac:dyDescent="0.35">
      <c r="A233" t="s">
        <v>2496</v>
      </c>
      <c r="B233" s="309" t="s">
        <v>2497</v>
      </c>
      <c r="C233" t="s">
        <v>2498</v>
      </c>
      <c r="D233" t="str">
        <f>'List of all columns'!G231</f>
        <v>ENDOCRINE_DISRUPT_EXP_SCREENING_REL</v>
      </c>
      <c r="E233" t="s">
        <v>523</v>
      </c>
      <c r="F233" t="str">
        <f>'List of all columns'!H231</f>
        <v>VARCHAR(200)</v>
      </c>
      <c r="G233" t="s">
        <v>2499</v>
      </c>
      <c r="H233" t="str">
        <f t="shared" si="3"/>
        <v>ALTER TABLE NES_PAN_UPLOAD_TOXICOLOGY  ADD ENDOCRINE_DISRUPT_EXP_SCREENING_REL VARCHAR(200);</v>
      </c>
    </row>
    <row r="234" spans="1:8" x14ac:dyDescent="0.35">
      <c r="A234" t="s">
        <v>2496</v>
      </c>
      <c r="B234" s="309" t="s">
        <v>2497</v>
      </c>
      <c r="C234" t="s">
        <v>2498</v>
      </c>
      <c r="D234" t="str">
        <f>'List of all columns'!G232</f>
        <v>ENDOCRINE_DISRUPT_PRED_SCREENING</v>
      </c>
      <c r="E234" t="s">
        <v>523</v>
      </c>
      <c r="F234" t="str">
        <f>'List of all columns'!H232</f>
        <v>VARCHAR(200)</v>
      </c>
      <c r="G234" t="s">
        <v>2499</v>
      </c>
      <c r="H234" t="str">
        <f t="shared" si="3"/>
        <v>ALTER TABLE NES_PAN_UPLOAD_TOXICOLOGY  ADD ENDOCRINE_DISRUPT_PRED_SCREENING VARCHAR(200);</v>
      </c>
    </row>
    <row r="235" spans="1:8" x14ac:dyDescent="0.35">
      <c r="A235" t="s">
        <v>2496</v>
      </c>
      <c r="B235" s="309" t="s">
        <v>2497</v>
      </c>
      <c r="C235" t="s">
        <v>2498</v>
      </c>
      <c r="D235" t="str">
        <f>'List of all columns'!G233</f>
        <v>ENDOCRINE_DISRUPT_PRED_SCREENING_REL</v>
      </c>
      <c r="E235" t="s">
        <v>523</v>
      </c>
      <c r="F235" t="str">
        <f>'List of all columns'!H233</f>
        <v>VARCHAR(200)</v>
      </c>
      <c r="G235" t="s">
        <v>2499</v>
      </c>
      <c r="H235" t="str">
        <f t="shared" si="3"/>
        <v>ALTER TABLE NES_PAN_UPLOAD_TOXICOLOGY  ADD ENDOCRINE_DISRUPT_PRED_SCREENING_REL VARCHAR(200);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37945-60F7-44D7-9805-EB36435E3916}">
  <dimension ref="A1:I233"/>
  <sheetViews>
    <sheetView topLeftCell="A28" zoomScaleNormal="100" workbookViewId="0">
      <selection activeCell="A37" sqref="A37"/>
    </sheetView>
  </sheetViews>
  <sheetFormatPr defaultColWidth="9.1796875" defaultRowHeight="14.5" x14ac:dyDescent="0.35"/>
  <cols>
    <col min="1" max="1" width="43.1796875" style="272" customWidth="1"/>
    <col min="2" max="2" width="45.81640625" style="272" bestFit="1" customWidth="1"/>
    <col min="3" max="3" width="64.26953125" style="272" customWidth="1"/>
    <col min="4" max="4" width="46.1796875" style="272" hidden="1" customWidth="1"/>
    <col min="5" max="5" width="24.54296875" style="272" hidden="1" customWidth="1"/>
    <col min="6" max="6" width="40.7265625" style="272" hidden="1" customWidth="1"/>
    <col min="7" max="7" width="52.54296875" style="272" customWidth="1"/>
    <col min="8" max="8" width="35.7265625" style="272" customWidth="1"/>
    <col min="9" max="9" width="35.7265625" style="274" customWidth="1"/>
    <col min="10" max="16384" width="9.1796875" style="272"/>
  </cols>
  <sheetData>
    <row r="1" spans="1:9" s="269" customFormat="1" x14ac:dyDescent="0.35">
      <c r="A1" s="269" t="s">
        <v>2500</v>
      </c>
      <c r="B1" s="269" t="s">
        <v>2501</v>
      </c>
      <c r="C1" s="269" t="s">
        <v>2502</v>
      </c>
      <c r="D1" s="269" t="s">
        <v>2503</v>
      </c>
      <c r="E1" s="270" t="s">
        <v>2504</v>
      </c>
      <c r="F1" s="270" t="s">
        <v>2505</v>
      </c>
      <c r="G1" s="270" t="s">
        <v>2506</v>
      </c>
      <c r="H1" s="269" t="s">
        <v>2507</v>
      </c>
      <c r="I1" s="271" t="s">
        <v>2508</v>
      </c>
    </row>
    <row r="2" spans="1:9" x14ac:dyDescent="0.35">
      <c r="A2" s="272" t="s">
        <v>2509</v>
      </c>
      <c r="E2" s="273"/>
      <c r="F2" s="273"/>
      <c r="G2" s="272" t="s">
        <v>2509</v>
      </c>
      <c r="H2" s="272" t="s">
        <v>2510</v>
      </c>
    </row>
    <row r="3" spans="1:9" x14ac:dyDescent="0.35">
      <c r="A3" s="275" t="s">
        <v>2511</v>
      </c>
      <c r="B3" s="276"/>
      <c r="C3" s="130" t="s">
        <v>2512</v>
      </c>
      <c r="D3" s="130"/>
      <c r="E3" s="130"/>
      <c r="F3" s="130"/>
      <c r="G3" s="130" t="s">
        <v>2513</v>
      </c>
      <c r="H3" s="130" t="s">
        <v>2514</v>
      </c>
      <c r="I3" s="233"/>
    </row>
    <row r="4" spans="1:9" x14ac:dyDescent="0.35">
      <c r="A4" s="275" t="s">
        <v>2511</v>
      </c>
      <c r="B4" s="276"/>
      <c r="C4" s="130" t="s">
        <v>70</v>
      </c>
      <c r="D4" s="130"/>
      <c r="E4" s="130"/>
      <c r="F4" s="130"/>
      <c r="G4" s="130" t="s">
        <v>2515</v>
      </c>
      <c r="H4" s="130" t="s">
        <v>2516</v>
      </c>
      <c r="I4" s="233">
        <v>200</v>
      </c>
    </row>
    <row r="5" spans="1:9" x14ac:dyDescent="0.35">
      <c r="A5" s="275" t="s">
        <v>2511</v>
      </c>
      <c r="B5" s="276"/>
      <c r="C5" s="131" t="s">
        <v>71</v>
      </c>
      <c r="D5" s="131"/>
      <c r="E5" s="131"/>
      <c r="F5" s="131"/>
      <c r="G5" s="131" t="s">
        <v>2517</v>
      </c>
      <c r="H5" s="131" t="s">
        <v>2516</v>
      </c>
      <c r="I5" s="234">
        <v>200</v>
      </c>
    </row>
    <row r="6" spans="1:9" x14ac:dyDescent="0.35">
      <c r="A6" s="275" t="s">
        <v>2511</v>
      </c>
      <c r="B6" s="276"/>
      <c r="C6" s="131" t="s">
        <v>72</v>
      </c>
      <c r="D6" s="131"/>
      <c r="E6" s="131"/>
      <c r="F6" s="131"/>
      <c r="G6" s="131" t="s">
        <v>2518</v>
      </c>
      <c r="H6" s="131" t="s">
        <v>2519</v>
      </c>
      <c r="I6" s="234">
        <v>4000</v>
      </c>
    </row>
    <row r="7" spans="1:9" x14ac:dyDescent="0.35">
      <c r="A7" s="275" t="s">
        <v>2511</v>
      </c>
      <c r="B7" s="276"/>
      <c r="C7" s="131" t="s">
        <v>73</v>
      </c>
      <c r="D7" s="131"/>
      <c r="E7" s="131"/>
      <c r="F7" s="131"/>
      <c r="G7" s="131" t="s">
        <v>2520</v>
      </c>
      <c r="H7" s="131" t="s">
        <v>2519</v>
      </c>
      <c r="I7" s="234">
        <v>4000</v>
      </c>
    </row>
    <row r="8" spans="1:9" x14ac:dyDescent="0.35">
      <c r="A8" s="275" t="s">
        <v>2511</v>
      </c>
      <c r="B8" s="276"/>
      <c r="C8" s="130" t="s">
        <v>74</v>
      </c>
      <c r="D8" s="130"/>
      <c r="E8" s="130"/>
      <c r="F8" s="130"/>
      <c r="G8" s="130" t="s">
        <v>2521</v>
      </c>
      <c r="H8" s="130" t="s">
        <v>2519</v>
      </c>
      <c r="I8" s="233">
        <v>4000</v>
      </c>
    </row>
    <row r="9" spans="1:9" x14ac:dyDescent="0.35">
      <c r="A9" s="275" t="s">
        <v>2511</v>
      </c>
      <c r="B9" s="276"/>
      <c r="C9" s="130" t="s">
        <v>75</v>
      </c>
      <c r="D9" s="130"/>
      <c r="E9" s="130"/>
      <c r="F9" s="130"/>
      <c r="G9" s="130" t="s">
        <v>2522</v>
      </c>
      <c r="H9" s="130" t="s">
        <v>2519</v>
      </c>
      <c r="I9" s="233">
        <v>4000</v>
      </c>
    </row>
    <row r="10" spans="1:9" x14ac:dyDescent="0.35">
      <c r="A10" s="275" t="s">
        <v>2511</v>
      </c>
      <c r="B10" s="276"/>
      <c r="C10" s="130" t="s">
        <v>76</v>
      </c>
      <c r="D10" s="130"/>
      <c r="E10" s="130"/>
      <c r="F10" s="130"/>
      <c r="G10" s="130" t="s">
        <v>2523</v>
      </c>
      <c r="H10" s="130" t="s">
        <v>2519</v>
      </c>
      <c r="I10" s="233">
        <v>4000</v>
      </c>
    </row>
    <row r="11" spans="1:9" x14ac:dyDescent="0.35">
      <c r="A11" s="275" t="s">
        <v>2511</v>
      </c>
      <c r="B11" s="276"/>
      <c r="C11" s="130" t="s">
        <v>77</v>
      </c>
      <c r="D11" s="130"/>
      <c r="E11" s="130"/>
      <c r="F11" s="130"/>
      <c r="G11" s="130" t="s">
        <v>2524</v>
      </c>
      <c r="H11" s="130" t="s">
        <v>2519</v>
      </c>
      <c r="I11" s="233">
        <v>4000</v>
      </c>
    </row>
    <row r="12" spans="1:9" x14ac:dyDescent="0.35">
      <c r="A12" s="275" t="s">
        <v>2511</v>
      </c>
      <c r="B12" s="276"/>
      <c r="C12" s="130" t="s">
        <v>78</v>
      </c>
      <c r="D12" s="130"/>
      <c r="E12" s="130"/>
      <c r="F12" s="130"/>
      <c r="G12" s="130" t="s">
        <v>2525</v>
      </c>
      <c r="H12" s="130" t="s">
        <v>2516</v>
      </c>
      <c r="I12" s="233">
        <v>200</v>
      </c>
    </row>
    <row r="13" spans="1:9" x14ac:dyDescent="0.35">
      <c r="A13" s="275" t="s">
        <v>15</v>
      </c>
      <c r="B13" s="276"/>
      <c r="C13" s="130" t="s">
        <v>2488</v>
      </c>
      <c r="D13" s="130"/>
      <c r="E13" s="130"/>
      <c r="F13" s="130"/>
      <c r="G13" s="130" t="s">
        <v>2526</v>
      </c>
      <c r="H13" s="130" t="s">
        <v>2516</v>
      </c>
      <c r="I13" s="233">
        <v>200</v>
      </c>
    </row>
    <row r="14" spans="1:9" x14ac:dyDescent="0.35">
      <c r="A14" s="275" t="s">
        <v>15</v>
      </c>
      <c r="B14" s="276"/>
      <c r="C14" s="131" t="s">
        <v>80</v>
      </c>
      <c r="D14" s="131"/>
      <c r="E14" s="131"/>
      <c r="F14" s="131"/>
      <c r="G14" s="131" t="s">
        <v>2527</v>
      </c>
      <c r="H14" s="131" t="s">
        <v>2516</v>
      </c>
      <c r="I14" s="234">
        <v>200</v>
      </c>
    </row>
    <row r="15" spans="1:9" x14ac:dyDescent="0.35">
      <c r="A15" s="275" t="s">
        <v>15</v>
      </c>
      <c r="B15" s="276"/>
      <c r="C15" s="131" t="s">
        <v>81</v>
      </c>
      <c r="D15" s="131"/>
      <c r="E15" s="131"/>
      <c r="F15" s="131"/>
      <c r="G15" s="131" t="s">
        <v>2528</v>
      </c>
      <c r="H15" s="131" t="s">
        <v>2516</v>
      </c>
      <c r="I15" s="234">
        <v>200</v>
      </c>
    </row>
    <row r="16" spans="1:9" x14ac:dyDescent="0.35">
      <c r="A16" s="275" t="s">
        <v>16</v>
      </c>
      <c r="B16" s="275" t="s">
        <v>51</v>
      </c>
      <c r="C16" s="130" t="s">
        <v>82</v>
      </c>
      <c r="D16" s="130"/>
      <c r="E16" s="130"/>
      <c r="F16" s="130"/>
      <c r="G16" s="130" t="s">
        <v>2529</v>
      </c>
      <c r="H16" s="130" t="s">
        <v>2516</v>
      </c>
      <c r="I16" s="233">
        <v>200</v>
      </c>
    </row>
    <row r="17" spans="1:9" x14ac:dyDescent="0.35">
      <c r="A17" s="275" t="s">
        <v>16</v>
      </c>
      <c r="B17" s="275" t="s">
        <v>51</v>
      </c>
      <c r="C17" s="130" t="s">
        <v>83</v>
      </c>
      <c r="D17" s="130"/>
      <c r="E17" s="130"/>
      <c r="F17" s="130"/>
      <c r="G17" s="130" t="s">
        <v>2530</v>
      </c>
      <c r="H17" s="130" t="s">
        <v>2516</v>
      </c>
      <c r="I17" s="233">
        <v>200</v>
      </c>
    </row>
    <row r="18" spans="1:9" x14ac:dyDescent="0.35">
      <c r="A18" s="277" t="s">
        <v>17</v>
      </c>
      <c r="B18" s="278" t="s">
        <v>52</v>
      </c>
      <c r="C18" s="197" t="s">
        <v>84</v>
      </c>
      <c r="D18" s="197"/>
      <c r="E18" s="197"/>
      <c r="F18" s="197"/>
      <c r="G18" s="197" t="s">
        <v>2531</v>
      </c>
      <c r="H18" s="197" t="s">
        <v>2516</v>
      </c>
      <c r="I18" s="424">
        <v>200</v>
      </c>
    </row>
    <row r="19" spans="1:9" x14ac:dyDescent="0.35">
      <c r="A19" s="277" t="s">
        <v>17</v>
      </c>
      <c r="B19" s="278" t="s">
        <v>52</v>
      </c>
      <c r="C19" s="202" t="s">
        <v>85</v>
      </c>
      <c r="D19" s="202"/>
      <c r="E19" s="202"/>
      <c r="F19" s="202"/>
      <c r="G19" s="202" t="s">
        <v>2532</v>
      </c>
      <c r="H19" s="202" t="s">
        <v>2516</v>
      </c>
      <c r="I19" s="235">
        <v>200</v>
      </c>
    </row>
    <row r="20" spans="1:9" x14ac:dyDescent="0.35">
      <c r="A20" s="277" t="s">
        <v>17</v>
      </c>
      <c r="B20" s="278" t="s">
        <v>52</v>
      </c>
      <c r="C20" s="197" t="s">
        <v>86</v>
      </c>
      <c r="D20" s="197"/>
      <c r="E20" s="197"/>
      <c r="F20" s="197"/>
      <c r="G20" s="197" t="s">
        <v>2533</v>
      </c>
      <c r="H20" s="197" t="s">
        <v>2516</v>
      </c>
      <c r="I20" s="424">
        <v>200</v>
      </c>
    </row>
    <row r="21" spans="1:9" x14ac:dyDescent="0.35">
      <c r="A21" s="277" t="s">
        <v>17</v>
      </c>
      <c r="B21" s="278" t="s">
        <v>52</v>
      </c>
      <c r="C21" s="202" t="s">
        <v>85</v>
      </c>
      <c r="D21" s="202"/>
      <c r="E21" s="202"/>
      <c r="F21" s="202"/>
      <c r="G21" s="202" t="s">
        <v>2534</v>
      </c>
      <c r="H21" s="202" t="s">
        <v>2516</v>
      </c>
      <c r="I21" s="235">
        <v>200</v>
      </c>
    </row>
    <row r="22" spans="1:9" x14ac:dyDescent="0.35">
      <c r="A22" s="277" t="s">
        <v>17</v>
      </c>
      <c r="B22" s="278" t="s">
        <v>52</v>
      </c>
      <c r="C22" s="197" t="s">
        <v>87</v>
      </c>
      <c r="D22" s="197"/>
      <c r="E22" s="197"/>
      <c r="F22" s="197"/>
      <c r="G22" s="197" t="s">
        <v>2535</v>
      </c>
      <c r="H22" s="197" t="s">
        <v>2516</v>
      </c>
      <c r="I22" s="424">
        <v>200</v>
      </c>
    </row>
    <row r="23" spans="1:9" x14ac:dyDescent="0.35">
      <c r="A23" s="277" t="s">
        <v>17</v>
      </c>
      <c r="B23" s="278" t="s">
        <v>52</v>
      </c>
      <c r="C23" s="202" t="s">
        <v>85</v>
      </c>
      <c r="D23" s="202"/>
      <c r="E23" s="202"/>
      <c r="F23" s="202"/>
      <c r="G23" s="202" t="s">
        <v>2536</v>
      </c>
      <c r="H23" s="202" t="s">
        <v>2516</v>
      </c>
      <c r="I23" s="235">
        <v>200</v>
      </c>
    </row>
    <row r="24" spans="1:9" x14ac:dyDescent="0.35">
      <c r="A24" s="277" t="s">
        <v>17</v>
      </c>
      <c r="B24" s="278" t="s">
        <v>52</v>
      </c>
      <c r="C24" s="197" t="s">
        <v>88</v>
      </c>
      <c r="D24" s="197"/>
      <c r="E24" s="197"/>
      <c r="F24" s="197"/>
      <c r="G24" s="197" t="s">
        <v>2537</v>
      </c>
      <c r="H24" s="197" t="s">
        <v>2516</v>
      </c>
      <c r="I24" s="424">
        <v>200</v>
      </c>
    </row>
    <row r="25" spans="1:9" x14ac:dyDescent="0.35">
      <c r="A25" s="277" t="s">
        <v>17</v>
      </c>
      <c r="B25" s="278" t="s">
        <v>52</v>
      </c>
      <c r="C25" s="202" t="s">
        <v>85</v>
      </c>
      <c r="D25" s="202"/>
      <c r="E25" s="202"/>
      <c r="F25" s="202"/>
      <c r="G25" s="202" t="s">
        <v>2538</v>
      </c>
      <c r="H25" s="202" t="s">
        <v>2516</v>
      </c>
      <c r="I25" s="235">
        <v>200</v>
      </c>
    </row>
    <row r="26" spans="1:9" x14ac:dyDescent="0.35">
      <c r="A26" s="277" t="s">
        <v>17</v>
      </c>
      <c r="B26" s="425" t="s">
        <v>53</v>
      </c>
      <c r="C26" s="199" t="s">
        <v>89</v>
      </c>
      <c r="D26" s="199"/>
      <c r="E26" s="199"/>
      <c r="F26" s="199"/>
      <c r="G26" s="199" t="s">
        <v>2539</v>
      </c>
      <c r="H26" s="199" t="s">
        <v>2516</v>
      </c>
      <c r="I26" s="426">
        <v>200</v>
      </c>
    </row>
    <row r="27" spans="1:9" x14ac:dyDescent="0.35">
      <c r="A27" s="277" t="s">
        <v>17</v>
      </c>
      <c r="B27" s="425" t="s">
        <v>53</v>
      </c>
      <c r="C27" s="199" t="s">
        <v>90</v>
      </c>
      <c r="D27" s="199"/>
      <c r="E27" s="199"/>
      <c r="F27" s="199"/>
      <c r="G27" s="199" t="s">
        <v>2540</v>
      </c>
      <c r="H27" s="199" t="s">
        <v>2516</v>
      </c>
      <c r="I27" s="426">
        <v>200</v>
      </c>
    </row>
    <row r="28" spans="1:9" x14ac:dyDescent="0.35">
      <c r="A28" s="277" t="s">
        <v>17</v>
      </c>
      <c r="B28" s="425" t="s">
        <v>53</v>
      </c>
      <c r="C28" s="200" t="s">
        <v>91</v>
      </c>
      <c r="D28" s="200"/>
      <c r="E28" s="200"/>
      <c r="F28" s="200"/>
      <c r="G28" s="200" t="s">
        <v>2541</v>
      </c>
      <c r="H28" s="200" t="s">
        <v>2516</v>
      </c>
      <c r="I28" s="236">
        <v>200</v>
      </c>
    </row>
    <row r="29" spans="1:9" x14ac:dyDescent="0.35">
      <c r="A29" s="277" t="s">
        <v>17</v>
      </c>
      <c r="B29" s="425" t="s">
        <v>53</v>
      </c>
      <c r="C29" s="201" t="s">
        <v>92</v>
      </c>
      <c r="D29" s="201"/>
      <c r="E29" s="201"/>
      <c r="F29" s="201"/>
      <c r="G29" s="201" t="s">
        <v>2542</v>
      </c>
      <c r="H29" s="201" t="s">
        <v>2516</v>
      </c>
      <c r="I29" s="427">
        <v>200</v>
      </c>
    </row>
    <row r="30" spans="1:9" x14ac:dyDescent="0.35">
      <c r="A30" s="277" t="s">
        <v>17</v>
      </c>
      <c r="B30" s="425" t="s">
        <v>53</v>
      </c>
      <c r="C30" s="202" t="s">
        <v>91</v>
      </c>
      <c r="D30" s="202"/>
      <c r="E30" s="202"/>
      <c r="F30" s="202"/>
      <c r="G30" s="202" t="s">
        <v>2543</v>
      </c>
      <c r="H30" s="202" t="s">
        <v>2516</v>
      </c>
      <c r="I30" s="235">
        <v>200</v>
      </c>
    </row>
    <row r="31" spans="1:9" x14ac:dyDescent="0.35">
      <c r="A31" s="277" t="s">
        <v>17</v>
      </c>
      <c r="B31" s="425" t="s">
        <v>53</v>
      </c>
      <c r="C31" s="197" t="s">
        <v>93</v>
      </c>
      <c r="D31" s="197"/>
      <c r="E31" s="197"/>
      <c r="F31" s="197"/>
      <c r="G31" s="197" t="s">
        <v>2544</v>
      </c>
      <c r="H31" s="197" t="s">
        <v>2516</v>
      </c>
      <c r="I31" s="424">
        <v>200</v>
      </c>
    </row>
    <row r="32" spans="1:9" x14ac:dyDescent="0.35">
      <c r="A32" s="277" t="s">
        <v>17</v>
      </c>
      <c r="B32" s="425" t="s">
        <v>53</v>
      </c>
      <c r="C32" s="203" t="s">
        <v>91</v>
      </c>
      <c r="D32" s="203"/>
      <c r="E32" s="203"/>
      <c r="F32" s="203"/>
      <c r="G32" s="203" t="s">
        <v>2545</v>
      </c>
      <c r="H32" s="203" t="s">
        <v>2516</v>
      </c>
      <c r="I32" s="237">
        <v>200</v>
      </c>
    </row>
    <row r="33" spans="1:9" x14ac:dyDescent="0.35">
      <c r="A33" s="277" t="s">
        <v>17</v>
      </c>
      <c r="B33" s="277" t="s">
        <v>54</v>
      </c>
      <c r="C33" s="218" t="s">
        <v>94</v>
      </c>
      <c r="D33" s="218"/>
      <c r="E33" s="218"/>
      <c r="F33" s="218"/>
      <c r="G33" s="218" t="s">
        <v>2546</v>
      </c>
      <c r="H33" s="218" t="s">
        <v>2516</v>
      </c>
      <c r="I33" s="238">
        <v>200</v>
      </c>
    </row>
    <row r="34" spans="1:9" x14ac:dyDescent="0.35">
      <c r="A34" s="277" t="s">
        <v>17</v>
      </c>
      <c r="B34" s="277" t="s">
        <v>54</v>
      </c>
      <c r="C34" s="203" t="s">
        <v>91</v>
      </c>
      <c r="D34" s="203"/>
      <c r="E34" s="203"/>
      <c r="F34" s="203"/>
      <c r="G34" s="203" t="s">
        <v>2547</v>
      </c>
      <c r="H34" s="203" t="s">
        <v>2516</v>
      </c>
      <c r="I34" s="237">
        <v>200</v>
      </c>
    </row>
    <row r="35" spans="1:9" x14ac:dyDescent="0.35">
      <c r="A35" s="277" t="s">
        <v>17</v>
      </c>
      <c r="B35" s="277" t="s">
        <v>54</v>
      </c>
      <c r="C35" s="203" t="s">
        <v>95</v>
      </c>
      <c r="D35" s="203"/>
      <c r="E35" s="203"/>
      <c r="F35" s="203"/>
      <c r="G35" s="203" t="s">
        <v>2548</v>
      </c>
      <c r="H35" s="203" t="s">
        <v>2516</v>
      </c>
      <c r="I35" s="237">
        <v>200</v>
      </c>
    </row>
    <row r="36" spans="1:9" x14ac:dyDescent="0.35">
      <c r="A36" s="277" t="s">
        <v>17</v>
      </c>
      <c r="B36" s="277" t="s">
        <v>54</v>
      </c>
      <c r="C36" s="219" t="s">
        <v>91</v>
      </c>
      <c r="D36" s="219"/>
      <c r="E36" s="219"/>
      <c r="F36" s="219"/>
      <c r="G36" s="219" t="s">
        <v>2549</v>
      </c>
      <c r="H36" s="219" t="s">
        <v>2516</v>
      </c>
      <c r="I36" s="239">
        <v>200</v>
      </c>
    </row>
    <row r="37" spans="1:9" x14ac:dyDescent="0.35">
      <c r="A37" s="277" t="s">
        <v>17</v>
      </c>
      <c r="B37" s="277" t="s">
        <v>54</v>
      </c>
      <c r="C37" s="220" t="s">
        <v>96</v>
      </c>
      <c r="D37" s="220"/>
      <c r="E37" s="220"/>
      <c r="F37" s="220"/>
      <c r="G37" s="220" t="s">
        <v>2550</v>
      </c>
      <c r="H37" s="220" t="s">
        <v>2516</v>
      </c>
      <c r="I37" s="240">
        <v>200</v>
      </c>
    </row>
    <row r="38" spans="1:9" x14ac:dyDescent="0.35">
      <c r="A38" s="277" t="s">
        <v>17</v>
      </c>
      <c r="B38" s="277" t="s">
        <v>54</v>
      </c>
      <c r="C38" s="219" t="s">
        <v>91</v>
      </c>
      <c r="D38" s="219"/>
      <c r="E38" s="219"/>
      <c r="F38" s="219"/>
      <c r="G38" s="219" t="s">
        <v>2551</v>
      </c>
      <c r="H38" s="219" t="s">
        <v>2516</v>
      </c>
      <c r="I38" s="239">
        <v>200</v>
      </c>
    </row>
    <row r="39" spans="1:9" x14ac:dyDescent="0.35">
      <c r="A39" s="279" t="s">
        <v>18</v>
      </c>
      <c r="B39" s="428" t="s">
        <v>55</v>
      </c>
      <c r="C39" s="429" t="s">
        <v>97</v>
      </c>
      <c r="D39" s="429"/>
      <c r="E39" s="429"/>
      <c r="F39" s="429"/>
      <c r="G39" s="429" t="s">
        <v>2552</v>
      </c>
      <c r="H39" s="429" t="s">
        <v>2516</v>
      </c>
      <c r="I39" s="430">
        <v>200</v>
      </c>
    </row>
    <row r="40" spans="1:9" x14ac:dyDescent="0.35">
      <c r="A40" s="279" t="s">
        <v>18</v>
      </c>
      <c r="B40" s="428" t="s">
        <v>55</v>
      </c>
      <c r="C40" s="141" t="s">
        <v>2553</v>
      </c>
      <c r="D40" s="141"/>
      <c r="E40" s="141"/>
      <c r="F40" s="141"/>
      <c r="G40" s="141" t="s">
        <v>2554</v>
      </c>
      <c r="H40" s="141" t="s">
        <v>2516</v>
      </c>
      <c r="I40" s="241">
        <v>200</v>
      </c>
    </row>
    <row r="41" spans="1:9" x14ac:dyDescent="0.35">
      <c r="A41" s="279" t="s">
        <v>18</v>
      </c>
      <c r="B41" s="428" t="s">
        <v>55</v>
      </c>
      <c r="C41" s="135" t="s">
        <v>84</v>
      </c>
      <c r="D41" s="135"/>
      <c r="E41" s="135"/>
      <c r="F41" s="135"/>
      <c r="G41" s="135" t="s">
        <v>2555</v>
      </c>
      <c r="H41" s="135" t="s">
        <v>2516</v>
      </c>
      <c r="I41" s="431">
        <v>200</v>
      </c>
    </row>
    <row r="42" spans="1:9" x14ac:dyDescent="0.35">
      <c r="A42" s="279" t="s">
        <v>18</v>
      </c>
      <c r="B42" s="428" t="s">
        <v>55</v>
      </c>
      <c r="C42" s="221" t="s">
        <v>91</v>
      </c>
      <c r="D42" s="221"/>
      <c r="E42" s="221"/>
      <c r="F42" s="221"/>
      <c r="G42" s="221" t="s">
        <v>2556</v>
      </c>
      <c r="H42" s="221" t="s">
        <v>2516</v>
      </c>
      <c r="I42" s="242">
        <v>200</v>
      </c>
    </row>
    <row r="43" spans="1:9" x14ac:dyDescent="0.35">
      <c r="A43" s="279" t="s">
        <v>18</v>
      </c>
      <c r="B43" s="428" t="s">
        <v>55</v>
      </c>
      <c r="C43" s="135" t="s">
        <v>100</v>
      </c>
      <c r="D43" s="135"/>
      <c r="E43" s="135"/>
      <c r="F43" s="135"/>
      <c r="G43" s="135" t="s">
        <v>2557</v>
      </c>
      <c r="H43" s="135" t="s">
        <v>2516</v>
      </c>
      <c r="I43" s="431">
        <v>200</v>
      </c>
    </row>
    <row r="44" spans="1:9" x14ac:dyDescent="0.35">
      <c r="A44" s="279" t="s">
        <v>18</v>
      </c>
      <c r="B44" s="428" t="s">
        <v>55</v>
      </c>
      <c r="C44" s="221" t="s">
        <v>91</v>
      </c>
      <c r="D44" s="221"/>
      <c r="E44" s="221"/>
      <c r="F44" s="221"/>
      <c r="G44" s="221" t="s">
        <v>2558</v>
      </c>
      <c r="H44" s="221" t="s">
        <v>2516</v>
      </c>
      <c r="I44" s="242">
        <v>200</v>
      </c>
    </row>
    <row r="45" spans="1:9" x14ac:dyDescent="0.35">
      <c r="A45" s="279" t="s">
        <v>18</v>
      </c>
      <c r="B45" s="428" t="s">
        <v>55</v>
      </c>
      <c r="C45" s="135" t="s">
        <v>87</v>
      </c>
      <c r="D45" s="135"/>
      <c r="E45" s="135"/>
      <c r="F45" s="135"/>
      <c r="G45" s="135" t="s">
        <v>2559</v>
      </c>
      <c r="H45" s="135" t="s">
        <v>2516</v>
      </c>
      <c r="I45" s="431">
        <v>200</v>
      </c>
    </row>
    <row r="46" spans="1:9" x14ac:dyDescent="0.35">
      <c r="A46" s="279" t="s">
        <v>18</v>
      </c>
      <c r="B46" s="428" t="s">
        <v>55</v>
      </c>
      <c r="C46" s="221" t="s">
        <v>91</v>
      </c>
      <c r="D46" s="221"/>
      <c r="E46" s="221"/>
      <c r="F46" s="221"/>
      <c r="G46" s="221" t="s">
        <v>2560</v>
      </c>
      <c r="H46" s="221" t="s">
        <v>2516</v>
      </c>
      <c r="I46" s="242">
        <v>200</v>
      </c>
    </row>
    <row r="47" spans="1:9" x14ac:dyDescent="0.35">
      <c r="A47" s="279" t="s">
        <v>18</v>
      </c>
      <c r="B47" s="428" t="s">
        <v>55</v>
      </c>
      <c r="C47" s="221" t="s">
        <v>88</v>
      </c>
      <c r="D47" s="221"/>
      <c r="E47" s="221"/>
      <c r="F47" s="221"/>
      <c r="G47" s="221" t="s">
        <v>2561</v>
      </c>
      <c r="H47" s="221" t="s">
        <v>2516</v>
      </c>
      <c r="I47" s="242">
        <v>200</v>
      </c>
    </row>
    <row r="48" spans="1:9" x14ac:dyDescent="0.35">
      <c r="A48" s="279" t="s">
        <v>18</v>
      </c>
      <c r="B48" s="428" t="s">
        <v>55</v>
      </c>
      <c r="C48" s="221" t="s">
        <v>91</v>
      </c>
      <c r="D48" s="221"/>
      <c r="E48" s="221"/>
      <c r="F48" s="221"/>
      <c r="G48" s="221" t="s">
        <v>2562</v>
      </c>
      <c r="H48" s="221" t="s">
        <v>2516</v>
      </c>
      <c r="I48" s="242">
        <v>200</v>
      </c>
    </row>
    <row r="49" spans="1:9" x14ac:dyDescent="0.35">
      <c r="A49" s="279" t="s">
        <v>18</v>
      </c>
      <c r="B49" s="432" t="s">
        <v>56</v>
      </c>
      <c r="C49" s="141" t="s">
        <v>101</v>
      </c>
      <c r="D49" s="141"/>
      <c r="E49" s="141"/>
      <c r="F49" s="141"/>
      <c r="G49" s="141" t="s">
        <v>2563</v>
      </c>
      <c r="H49" s="141" t="s">
        <v>2516</v>
      </c>
      <c r="I49" s="241">
        <v>200</v>
      </c>
    </row>
    <row r="50" spans="1:9" x14ac:dyDescent="0.35">
      <c r="A50" s="279" t="s">
        <v>18</v>
      </c>
      <c r="B50" s="432" t="s">
        <v>56</v>
      </c>
      <c r="C50" s="142" t="s">
        <v>91</v>
      </c>
      <c r="D50" s="142"/>
      <c r="E50" s="142"/>
      <c r="F50" s="142"/>
      <c r="G50" s="142" t="s">
        <v>2564</v>
      </c>
      <c r="H50" s="142" t="s">
        <v>2516</v>
      </c>
      <c r="I50" s="243">
        <v>200</v>
      </c>
    </row>
    <row r="51" spans="1:9" x14ac:dyDescent="0.35">
      <c r="A51" s="279" t="s">
        <v>18</v>
      </c>
      <c r="B51" s="432" t="s">
        <v>56</v>
      </c>
      <c r="C51" s="129" t="s">
        <v>89</v>
      </c>
      <c r="D51" s="129"/>
      <c r="E51" s="129"/>
      <c r="F51" s="129"/>
      <c r="G51" s="129" t="s">
        <v>2565</v>
      </c>
      <c r="H51" s="129" t="s">
        <v>2516</v>
      </c>
      <c r="I51" s="433">
        <v>200</v>
      </c>
    </row>
    <row r="52" spans="1:9" x14ac:dyDescent="0.35">
      <c r="A52" s="279" t="s">
        <v>18</v>
      </c>
      <c r="B52" s="432" t="s">
        <v>56</v>
      </c>
      <c r="C52" s="129" t="s">
        <v>102</v>
      </c>
      <c r="D52" s="129"/>
      <c r="E52" s="129"/>
      <c r="F52" s="129"/>
      <c r="G52" s="129" t="s">
        <v>2566</v>
      </c>
      <c r="H52" s="129" t="s">
        <v>2516</v>
      </c>
      <c r="I52" s="433">
        <v>200</v>
      </c>
    </row>
    <row r="53" spans="1:9" x14ac:dyDescent="0.35">
      <c r="A53" s="279" t="s">
        <v>18</v>
      </c>
      <c r="B53" s="432" t="s">
        <v>56</v>
      </c>
      <c r="C53" s="129" t="s">
        <v>103</v>
      </c>
      <c r="D53" s="129"/>
      <c r="E53" s="129"/>
      <c r="F53" s="129"/>
      <c r="G53" s="129" t="s">
        <v>2567</v>
      </c>
      <c r="H53" s="129" t="s">
        <v>2516</v>
      </c>
      <c r="I53" s="433">
        <v>200</v>
      </c>
    </row>
    <row r="54" spans="1:9" x14ac:dyDescent="0.35">
      <c r="A54" s="279" t="s">
        <v>18</v>
      </c>
      <c r="B54" s="432" t="s">
        <v>56</v>
      </c>
      <c r="C54" s="129" t="s">
        <v>104</v>
      </c>
      <c r="D54" s="129"/>
      <c r="E54" s="129"/>
      <c r="F54" s="129"/>
      <c r="G54" s="129" t="s">
        <v>2568</v>
      </c>
      <c r="H54" s="129" t="s">
        <v>2516</v>
      </c>
      <c r="I54" s="433">
        <v>200</v>
      </c>
    </row>
    <row r="55" spans="1:9" x14ac:dyDescent="0.35">
      <c r="A55" s="279" t="s">
        <v>18</v>
      </c>
      <c r="B55" s="432" t="s">
        <v>56</v>
      </c>
      <c r="C55" s="136" t="s">
        <v>91</v>
      </c>
      <c r="D55" s="136"/>
      <c r="E55" s="136"/>
      <c r="F55" s="136"/>
      <c r="G55" s="136" t="s">
        <v>2569</v>
      </c>
      <c r="H55" s="136" t="s">
        <v>2516</v>
      </c>
      <c r="I55" s="244">
        <v>200</v>
      </c>
    </row>
    <row r="56" spans="1:9" x14ac:dyDescent="0.35">
      <c r="A56" s="279" t="s">
        <v>18</v>
      </c>
      <c r="B56" s="279" t="s">
        <v>57</v>
      </c>
      <c r="C56" s="136" t="s">
        <v>105</v>
      </c>
      <c r="D56" s="136"/>
      <c r="E56" s="136"/>
      <c r="F56" s="136"/>
      <c r="G56" s="136" t="s">
        <v>2570</v>
      </c>
      <c r="H56" s="136" t="s">
        <v>2516</v>
      </c>
      <c r="I56" s="244">
        <v>200</v>
      </c>
    </row>
    <row r="57" spans="1:9" x14ac:dyDescent="0.35">
      <c r="A57" s="279" t="s">
        <v>18</v>
      </c>
      <c r="B57" s="279" t="s">
        <v>57</v>
      </c>
      <c r="C57" s="136" t="s">
        <v>91</v>
      </c>
      <c r="D57" s="136"/>
      <c r="E57" s="136"/>
      <c r="F57" s="136"/>
      <c r="G57" s="136" t="s">
        <v>2571</v>
      </c>
      <c r="H57" s="136" t="s">
        <v>2516</v>
      </c>
      <c r="I57" s="244">
        <v>200</v>
      </c>
    </row>
    <row r="58" spans="1:9" x14ac:dyDescent="0.35">
      <c r="A58" s="279" t="s">
        <v>18</v>
      </c>
      <c r="B58" s="279" t="s">
        <v>57</v>
      </c>
      <c r="C58" s="136" t="s">
        <v>93</v>
      </c>
      <c r="D58" s="136"/>
      <c r="E58" s="136"/>
      <c r="F58" s="136"/>
      <c r="G58" s="136" t="s">
        <v>2572</v>
      </c>
      <c r="H58" s="136" t="s">
        <v>2516</v>
      </c>
      <c r="I58" s="244">
        <v>200</v>
      </c>
    </row>
    <row r="59" spans="1:9" x14ac:dyDescent="0.35">
      <c r="A59" s="279" t="s">
        <v>18</v>
      </c>
      <c r="B59" s="279" t="s">
        <v>57</v>
      </c>
      <c r="C59" s="136" t="s">
        <v>91</v>
      </c>
      <c r="D59" s="136"/>
      <c r="E59" s="136"/>
      <c r="F59" s="136"/>
      <c r="G59" s="136" t="s">
        <v>2573</v>
      </c>
      <c r="H59" s="136" t="s">
        <v>2516</v>
      </c>
      <c r="I59" s="244">
        <v>200</v>
      </c>
    </row>
    <row r="60" spans="1:9" x14ac:dyDescent="0.35">
      <c r="A60" s="275" t="s">
        <v>19</v>
      </c>
      <c r="B60" s="280"/>
      <c r="C60" s="131" t="s">
        <v>108</v>
      </c>
      <c r="D60" s="131"/>
      <c r="E60" s="131"/>
      <c r="F60" s="131"/>
      <c r="G60" s="131" t="s">
        <v>2574</v>
      </c>
      <c r="H60" s="131" t="s">
        <v>2516</v>
      </c>
      <c r="I60" s="234">
        <v>200</v>
      </c>
    </row>
    <row r="61" spans="1:9" x14ac:dyDescent="0.35">
      <c r="A61" s="275" t="s">
        <v>19</v>
      </c>
      <c r="B61" s="280"/>
      <c r="C61" s="131" t="s">
        <v>91</v>
      </c>
      <c r="D61" s="131"/>
      <c r="E61" s="131"/>
      <c r="F61" s="131"/>
      <c r="G61" s="131" t="s">
        <v>2575</v>
      </c>
      <c r="H61" s="131" t="s">
        <v>2516</v>
      </c>
      <c r="I61" s="234">
        <v>200</v>
      </c>
    </row>
    <row r="62" spans="1:9" x14ac:dyDescent="0.35">
      <c r="A62" s="275" t="s">
        <v>19</v>
      </c>
      <c r="B62" s="280"/>
      <c r="C62" s="130" t="s">
        <v>110</v>
      </c>
      <c r="D62" s="130"/>
      <c r="E62" s="130"/>
      <c r="F62" s="130"/>
      <c r="G62" s="130" t="s">
        <v>2576</v>
      </c>
      <c r="H62" s="130" t="s">
        <v>2516</v>
      </c>
      <c r="I62" s="233">
        <v>200</v>
      </c>
    </row>
    <row r="63" spans="1:9" x14ac:dyDescent="0.35">
      <c r="A63" s="275" t="s">
        <v>19</v>
      </c>
      <c r="B63" s="280"/>
      <c r="C63" s="131" t="s">
        <v>111</v>
      </c>
      <c r="D63" s="131"/>
      <c r="E63" s="131"/>
      <c r="F63" s="131"/>
      <c r="G63" s="131" t="s">
        <v>2577</v>
      </c>
      <c r="H63" s="131" t="s">
        <v>2516</v>
      </c>
      <c r="I63" s="234">
        <v>200</v>
      </c>
    </row>
    <row r="64" spans="1:9" x14ac:dyDescent="0.35">
      <c r="A64" s="275" t="s">
        <v>19</v>
      </c>
      <c r="B64" s="280"/>
      <c r="C64" s="131" t="s">
        <v>112</v>
      </c>
      <c r="D64" s="131"/>
      <c r="E64" s="131"/>
      <c r="F64" s="131"/>
      <c r="G64" s="131" t="s">
        <v>2578</v>
      </c>
      <c r="H64" s="131" t="s">
        <v>2516</v>
      </c>
      <c r="I64" s="234">
        <v>200</v>
      </c>
    </row>
    <row r="65" spans="1:9" x14ac:dyDescent="0.35">
      <c r="A65" s="281" t="s">
        <v>20</v>
      </c>
      <c r="B65" s="281" t="s">
        <v>58</v>
      </c>
      <c r="C65" s="147" t="s">
        <v>113</v>
      </c>
      <c r="D65" s="147"/>
      <c r="E65" s="147"/>
      <c r="F65" s="147"/>
      <c r="G65" s="147" t="s">
        <v>2579</v>
      </c>
      <c r="H65" s="147" t="s">
        <v>2516</v>
      </c>
      <c r="I65" s="434">
        <v>200</v>
      </c>
    </row>
    <row r="66" spans="1:9" x14ac:dyDescent="0.35">
      <c r="A66" s="281" t="s">
        <v>20</v>
      </c>
      <c r="B66" s="281" t="s">
        <v>58</v>
      </c>
      <c r="C66" s="148" t="s">
        <v>96</v>
      </c>
      <c r="D66" s="148" t="s">
        <v>2580</v>
      </c>
      <c r="E66" s="148" t="s">
        <v>2581</v>
      </c>
      <c r="F66" s="148" t="s">
        <v>96</v>
      </c>
      <c r="G66" s="148" t="str">
        <f>_xlfn.CONCAT(D66:F66)</f>
        <v>MN_EXP_INVITRO_ECVAM</v>
      </c>
      <c r="H66" s="148" t="s">
        <v>2516</v>
      </c>
      <c r="I66" s="245">
        <v>200</v>
      </c>
    </row>
    <row r="67" spans="1:9" x14ac:dyDescent="0.35">
      <c r="A67" s="281" t="s">
        <v>20</v>
      </c>
      <c r="B67" s="281" t="s">
        <v>58</v>
      </c>
      <c r="C67" s="147" t="s">
        <v>114</v>
      </c>
      <c r="D67" s="148" t="s">
        <v>2580</v>
      </c>
      <c r="E67" s="148" t="s">
        <v>2581</v>
      </c>
      <c r="F67" s="147" t="s">
        <v>275</v>
      </c>
      <c r="G67" s="147" t="str">
        <f t="shared" ref="G67:G130" si="0">_xlfn.CONCAT(D67:F67)</f>
        <v>MN_EXP_INVITRO_VEGA</v>
      </c>
      <c r="H67" s="147" t="s">
        <v>2516</v>
      </c>
      <c r="I67" s="434">
        <v>200</v>
      </c>
    </row>
    <row r="68" spans="1:9" x14ac:dyDescent="0.35">
      <c r="A68" s="281" t="s">
        <v>20</v>
      </c>
      <c r="B68" s="281" t="s">
        <v>58</v>
      </c>
      <c r="C68" s="148" t="s">
        <v>112</v>
      </c>
      <c r="D68" s="148" t="s">
        <v>2580</v>
      </c>
      <c r="E68" s="148" t="s">
        <v>2581</v>
      </c>
      <c r="F68" s="148" t="s">
        <v>2582</v>
      </c>
      <c r="G68" s="148" t="str">
        <f t="shared" si="0"/>
        <v>MN_EXP_INVITRO_COMMENTS</v>
      </c>
      <c r="H68" s="148" t="s">
        <v>2516</v>
      </c>
      <c r="I68" s="245">
        <v>200</v>
      </c>
    </row>
    <row r="69" spans="1:9" x14ac:dyDescent="0.35">
      <c r="A69" s="281" t="s">
        <v>20</v>
      </c>
      <c r="B69" s="281" t="s">
        <v>59</v>
      </c>
      <c r="C69" s="153" t="s">
        <v>115</v>
      </c>
      <c r="D69" s="148" t="s">
        <v>2580</v>
      </c>
      <c r="E69" s="153" t="s">
        <v>2583</v>
      </c>
      <c r="F69" s="153" t="s">
        <v>115</v>
      </c>
      <c r="G69" s="153" t="str">
        <f t="shared" si="0"/>
        <v>MN_EXP_INVIVO_LS</v>
      </c>
      <c r="H69" s="153" t="s">
        <v>2516</v>
      </c>
      <c r="I69" s="246">
        <v>200</v>
      </c>
    </row>
    <row r="70" spans="1:9" x14ac:dyDescent="0.35">
      <c r="A70" s="281" t="s">
        <v>20</v>
      </c>
      <c r="B70" s="281" t="s">
        <v>59</v>
      </c>
      <c r="C70" s="153" t="s">
        <v>96</v>
      </c>
      <c r="D70" s="148" t="s">
        <v>2580</v>
      </c>
      <c r="E70" s="153" t="s">
        <v>2583</v>
      </c>
      <c r="F70" s="153" t="s">
        <v>96</v>
      </c>
      <c r="G70" s="153" t="str">
        <f t="shared" si="0"/>
        <v>MN_EXP_INVIVO_ECVAM</v>
      </c>
      <c r="H70" s="153" t="s">
        <v>2516</v>
      </c>
      <c r="I70" s="246">
        <v>200</v>
      </c>
    </row>
    <row r="71" spans="1:9" x14ac:dyDescent="0.35">
      <c r="A71" s="281" t="s">
        <v>20</v>
      </c>
      <c r="B71" s="281" t="s">
        <v>59</v>
      </c>
      <c r="C71" s="153" t="s">
        <v>116</v>
      </c>
      <c r="D71" s="148" t="s">
        <v>2580</v>
      </c>
      <c r="E71" s="153" t="s">
        <v>2583</v>
      </c>
      <c r="F71" s="153" t="s">
        <v>116</v>
      </c>
      <c r="G71" s="153" t="str">
        <f t="shared" si="0"/>
        <v>MN_EXP_INVIVO_ICE</v>
      </c>
      <c r="H71" s="153" t="s">
        <v>2516</v>
      </c>
      <c r="I71" s="246">
        <v>200</v>
      </c>
    </row>
    <row r="72" spans="1:9" x14ac:dyDescent="0.35">
      <c r="A72" s="281" t="s">
        <v>20</v>
      </c>
      <c r="B72" s="281" t="s">
        <v>59</v>
      </c>
      <c r="C72" s="147" t="s">
        <v>117</v>
      </c>
      <c r="D72" s="148" t="s">
        <v>2580</v>
      </c>
      <c r="E72" s="153" t="s">
        <v>2583</v>
      </c>
      <c r="F72" s="147" t="s">
        <v>2584</v>
      </c>
      <c r="G72" s="147" t="str">
        <f t="shared" si="0"/>
        <v>MN_EXP_INVIVO_ECHA_REACH</v>
      </c>
      <c r="H72" s="147" t="s">
        <v>2516</v>
      </c>
      <c r="I72" s="434">
        <v>200</v>
      </c>
    </row>
    <row r="73" spans="1:9" x14ac:dyDescent="0.35">
      <c r="A73" s="281" t="s">
        <v>20</v>
      </c>
      <c r="B73" s="281" t="s">
        <v>59</v>
      </c>
      <c r="C73" s="435" t="s">
        <v>118</v>
      </c>
      <c r="D73" s="148" t="s">
        <v>2580</v>
      </c>
      <c r="E73" s="153" t="s">
        <v>2583</v>
      </c>
      <c r="F73" s="435" t="s">
        <v>275</v>
      </c>
      <c r="G73" s="435" t="str">
        <f t="shared" si="0"/>
        <v>MN_EXP_INVIVO_VEGA</v>
      </c>
      <c r="H73" s="435" t="s">
        <v>2516</v>
      </c>
      <c r="I73" s="436">
        <v>200</v>
      </c>
    </row>
    <row r="74" spans="1:9" x14ac:dyDescent="0.35">
      <c r="A74" s="281" t="s">
        <v>20</v>
      </c>
      <c r="B74" s="281" t="s">
        <v>59</v>
      </c>
      <c r="C74" s="148" t="s">
        <v>112</v>
      </c>
      <c r="D74" s="148" t="s">
        <v>2580</v>
      </c>
      <c r="E74" s="153" t="s">
        <v>2583</v>
      </c>
      <c r="F74" s="148" t="s">
        <v>2582</v>
      </c>
      <c r="G74" s="148" t="str">
        <f t="shared" si="0"/>
        <v>MN_EXP_INVIVO_COMMENTS</v>
      </c>
      <c r="H74" s="148" t="s">
        <v>2516</v>
      </c>
      <c r="I74" s="245">
        <v>200</v>
      </c>
    </row>
    <row r="75" spans="1:9" x14ac:dyDescent="0.35">
      <c r="A75" s="281" t="s">
        <v>21</v>
      </c>
      <c r="B75" s="281" t="s">
        <v>58</v>
      </c>
      <c r="C75" s="147" t="s">
        <v>119</v>
      </c>
      <c r="D75" s="148" t="s">
        <v>2585</v>
      </c>
      <c r="E75" s="148" t="s">
        <v>2581</v>
      </c>
      <c r="F75" s="147" t="s">
        <v>275</v>
      </c>
      <c r="G75" s="147" t="str">
        <f t="shared" si="0"/>
        <v>MN_PRED_INVITRO_VEGA</v>
      </c>
      <c r="H75" s="147" t="s">
        <v>2516</v>
      </c>
      <c r="I75" s="434">
        <v>200</v>
      </c>
    </row>
    <row r="76" spans="1:9" x14ac:dyDescent="0.35">
      <c r="A76" s="281" t="s">
        <v>21</v>
      </c>
      <c r="B76" s="281" t="s">
        <v>58</v>
      </c>
      <c r="C76" s="148" t="s">
        <v>91</v>
      </c>
      <c r="D76" s="148" t="s">
        <v>2585</v>
      </c>
      <c r="E76" s="148" t="s">
        <v>2581</v>
      </c>
      <c r="F76" s="148" t="s">
        <v>2586</v>
      </c>
      <c r="G76" s="148" t="str">
        <f t="shared" si="0"/>
        <v>MN_PRED_INVITRO_VEGA_REL</v>
      </c>
      <c r="H76" s="148" t="s">
        <v>2516</v>
      </c>
      <c r="I76" s="245">
        <v>200</v>
      </c>
    </row>
    <row r="77" spans="1:9" x14ac:dyDescent="0.35">
      <c r="A77" s="281" t="s">
        <v>21</v>
      </c>
      <c r="B77" s="281" t="s">
        <v>59</v>
      </c>
      <c r="C77" s="147" t="s">
        <v>2587</v>
      </c>
      <c r="D77" s="148" t="s">
        <v>2585</v>
      </c>
      <c r="E77" s="153" t="s">
        <v>2583</v>
      </c>
      <c r="F77" s="147" t="s">
        <v>275</v>
      </c>
      <c r="G77" s="147" t="str">
        <f t="shared" si="0"/>
        <v>MN_PRED_INVIVO_VEGA</v>
      </c>
      <c r="H77" s="147" t="s">
        <v>2516</v>
      </c>
      <c r="I77" s="434">
        <v>200</v>
      </c>
    </row>
    <row r="78" spans="1:9" x14ac:dyDescent="0.35">
      <c r="A78" s="281" t="s">
        <v>21</v>
      </c>
      <c r="B78" s="281" t="s">
        <v>59</v>
      </c>
      <c r="C78" s="148" t="s">
        <v>91</v>
      </c>
      <c r="D78" s="148" t="s">
        <v>2585</v>
      </c>
      <c r="E78" s="153" t="s">
        <v>2583</v>
      </c>
      <c r="F78" s="148" t="s">
        <v>2586</v>
      </c>
      <c r="G78" s="148" t="str">
        <f t="shared" si="0"/>
        <v>MN_PRED_INVIVO_VEGA_REL</v>
      </c>
      <c r="H78" s="148" t="s">
        <v>2516</v>
      </c>
      <c r="I78" s="245">
        <v>200</v>
      </c>
    </row>
    <row r="79" spans="1:9" x14ac:dyDescent="0.35">
      <c r="A79" s="281" t="s">
        <v>21</v>
      </c>
      <c r="B79" s="281" t="s">
        <v>59</v>
      </c>
      <c r="C79" s="147" t="s">
        <v>122</v>
      </c>
      <c r="D79" s="148" t="s">
        <v>2585</v>
      </c>
      <c r="E79" s="153" t="s">
        <v>2583</v>
      </c>
      <c r="F79" s="147" t="s">
        <v>2588</v>
      </c>
      <c r="G79" s="147" t="str">
        <f t="shared" si="0"/>
        <v>MN_PRED_INVIVO_LS_VIVO_MOUSE</v>
      </c>
      <c r="H79" s="147" t="s">
        <v>2516</v>
      </c>
      <c r="I79" s="434">
        <v>200</v>
      </c>
    </row>
    <row r="80" spans="1:9" x14ac:dyDescent="0.35">
      <c r="A80" s="281" t="s">
        <v>21</v>
      </c>
      <c r="B80" s="281" t="s">
        <v>59</v>
      </c>
      <c r="C80" s="153" t="s">
        <v>91</v>
      </c>
      <c r="D80" s="148" t="s">
        <v>2585</v>
      </c>
      <c r="E80" s="153" t="s">
        <v>2583</v>
      </c>
      <c r="F80" s="147" t="s">
        <v>2589</v>
      </c>
      <c r="G80" s="153" t="str">
        <f t="shared" si="0"/>
        <v>MN_PRED_INVIVO_LS_VIVO_MOUSE_REL</v>
      </c>
      <c r="H80" s="153" t="s">
        <v>2516</v>
      </c>
      <c r="I80" s="246">
        <v>200</v>
      </c>
    </row>
    <row r="81" spans="1:9" x14ac:dyDescent="0.35">
      <c r="A81" s="281" t="s">
        <v>21</v>
      </c>
      <c r="B81" s="281" t="s">
        <v>59</v>
      </c>
      <c r="C81" s="148" t="s">
        <v>124</v>
      </c>
      <c r="D81" s="148" t="s">
        <v>2585</v>
      </c>
      <c r="E81" s="153" t="s">
        <v>2583</v>
      </c>
      <c r="F81" s="148" t="s">
        <v>2590</v>
      </c>
      <c r="G81" s="148" t="str">
        <f t="shared" si="0"/>
        <v>MN_PRED_INVIVO_TOXTREE_STRUCT_ALERT</v>
      </c>
      <c r="H81" s="148" t="s">
        <v>2516</v>
      </c>
      <c r="I81" s="245">
        <v>200</v>
      </c>
    </row>
    <row r="82" spans="1:9" x14ac:dyDescent="0.35">
      <c r="A82" s="281" t="s">
        <v>21</v>
      </c>
      <c r="B82" s="281" t="s">
        <v>59</v>
      </c>
      <c r="C82" s="153" t="s">
        <v>112</v>
      </c>
      <c r="D82" s="148" t="s">
        <v>2585</v>
      </c>
      <c r="E82" s="153" t="s">
        <v>2583</v>
      </c>
      <c r="F82" s="148" t="s">
        <v>2591</v>
      </c>
      <c r="G82" s="153" t="str">
        <f t="shared" si="0"/>
        <v>MN_PRED_INVIVO_TOXTREE_STRUCT_ALERT_COMMENTS</v>
      </c>
      <c r="H82" s="153" t="s">
        <v>2516</v>
      </c>
      <c r="I82" s="246">
        <v>200</v>
      </c>
    </row>
    <row r="83" spans="1:9" x14ac:dyDescent="0.35">
      <c r="A83" s="282" t="s">
        <v>22</v>
      </c>
      <c r="B83" s="282" t="s">
        <v>60</v>
      </c>
      <c r="C83" s="222" t="s">
        <v>125</v>
      </c>
      <c r="D83" s="222" t="s">
        <v>2592</v>
      </c>
      <c r="E83" s="222" t="s">
        <v>2581</v>
      </c>
      <c r="F83" s="222" t="s">
        <v>2593</v>
      </c>
      <c r="G83" s="222" t="str">
        <f t="shared" si="0"/>
        <v>MOUSE_LYM_EXP_INVITRO_ACT</v>
      </c>
      <c r="H83" s="222" t="s">
        <v>2516</v>
      </c>
      <c r="I83" s="247">
        <v>200</v>
      </c>
    </row>
    <row r="84" spans="1:9" x14ac:dyDescent="0.35">
      <c r="A84" s="282" t="s">
        <v>22</v>
      </c>
      <c r="B84" s="282" t="s">
        <v>60</v>
      </c>
      <c r="C84" s="222" t="s">
        <v>126</v>
      </c>
      <c r="D84" s="222" t="s">
        <v>2592</v>
      </c>
      <c r="E84" s="222" t="s">
        <v>2581</v>
      </c>
      <c r="F84" s="222" t="s">
        <v>2594</v>
      </c>
      <c r="G84" s="222" t="str">
        <f t="shared" si="0"/>
        <v>MOUSE_LYM_EXP_INVITRO_UNACT</v>
      </c>
      <c r="H84" s="222" t="s">
        <v>2516</v>
      </c>
      <c r="I84" s="247">
        <v>200</v>
      </c>
    </row>
    <row r="85" spans="1:9" x14ac:dyDescent="0.35">
      <c r="A85" s="282" t="s">
        <v>22</v>
      </c>
      <c r="B85" s="282" t="s">
        <v>60</v>
      </c>
      <c r="C85" s="223" t="s">
        <v>112</v>
      </c>
      <c r="D85" s="222" t="s">
        <v>2592</v>
      </c>
      <c r="E85" s="222" t="s">
        <v>2581</v>
      </c>
      <c r="F85" s="223" t="s">
        <v>2582</v>
      </c>
      <c r="G85" s="223" t="str">
        <f t="shared" si="0"/>
        <v>MOUSE_LYM_EXP_INVITRO_COMMENTS</v>
      </c>
      <c r="H85" s="223" t="s">
        <v>2516</v>
      </c>
      <c r="I85" s="248">
        <v>200</v>
      </c>
    </row>
    <row r="86" spans="1:9" x14ac:dyDescent="0.35">
      <c r="A86" s="282" t="s">
        <v>23</v>
      </c>
      <c r="B86" s="282" t="s">
        <v>60</v>
      </c>
      <c r="C86" s="222" t="s">
        <v>127</v>
      </c>
      <c r="D86" s="222" t="s">
        <v>2595</v>
      </c>
      <c r="E86" s="222" t="s">
        <v>2581</v>
      </c>
      <c r="F86" s="222" t="s">
        <v>2593</v>
      </c>
      <c r="G86" s="222" t="str">
        <f t="shared" si="0"/>
        <v>MOUSE_LYM_PRED_INVITRO_ACT</v>
      </c>
      <c r="H86" s="222" t="s">
        <v>2516</v>
      </c>
      <c r="I86" s="247">
        <v>200</v>
      </c>
    </row>
    <row r="87" spans="1:9" x14ac:dyDescent="0.35">
      <c r="A87" s="282" t="s">
        <v>23</v>
      </c>
      <c r="B87" s="282" t="s">
        <v>60</v>
      </c>
      <c r="C87" s="222" t="s">
        <v>128</v>
      </c>
      <c r="D87" s="222" t="s">
        <v>2595</v>
      </c>
      <c r="E87" s="222" t="s">
        <v>2581</v>
      </c>
      <c r="F87" s="222" t="s">
        <v>2596</v>
      </c>
      <c r="G87" s="222" t="str">
        <f t="shared" si="0"/>
        <v>MOUSE_LYM_PRED_INVITRO_ACT_POS_PRED_PROB</v>
      </c>
      <c r="H87" s="222" t="s">
        <v>2516</v>
      </c>
      <c r="I87" s="247">
        <v>200</v>
      </c>
    </row>
    <row r="88" spans="1:9" x14ac:dyDescent="0.35">
      <c r="A88" s="282" t="s">
        <v>23</v>
      </c>
      <c r="B88" s="282" t="s">
        <v>60</v>
      </c>
      <c r="C88" s="222" t="s">
        <v>129</v>
      </c>
      <c r="D88" s="222" t="s">
        <v>2595</v>
      </c>
      <c r="E88" s="222" t="s">
        <v>2581</v>
      </c>
      <c r="F88" s="222" t="s">
        <v>2594</v>
      </c>
      <c r="G88" s="222" t="str">
        <f t="shared" si="0"/>
        <v>MOUSE_LYM_PRED_INVITRO_UNACT</v>
      </c>
      <c r="H88" s="222" t="s">
        <v>2516</v>
      </c>
      <c r="I88" s="247">
        <v>200</v>
      </c>
    </row>
    <row r="89" spans="1:9" x14ac:dyDescent="0.35">
      <c r="A89" s="282" t="s">
        <v>23</v>
      </c>
      <c r="B89" s="282" t="s">
        <v>60</v>
      </c>
      <c r="C89" s="222" t="s">
        <v>130</v>
      </c>
      <c r="D89" s="222" t="s">
        <v>2595</v>
      </c>
      <c r="E89" s="222" t="s">
        <v>2581</v>
      </c>
      <c r="F89" s="222" t="s">
        <v>2597</v>
      </c>
      <c r="G89" s="222" t="str">
        <f t="shared" si="0"/>
        <v>MOUSE_LYM_PRED_INVITRO_UNACT_POS_PRED_PROB</v>
      </c>
      <c r="H89" s="222" t="s">
        <v>2516</v>
      </c>
      <c r="I89" s="247">
        <v>200</v>
      </c>
    </row>
    <row r="90" spans="1:9" x14ac:dyDescent="0.35">
      <c r="A90" s="281" t="s">
        <v>24</v>
      </c>
      <c r="B90" s="281" t="s">
        <v>61</v>
      </c>
      <c r="C90" s="147" t="s">
        <v>113</v>
      </c>
      <c r="D90" s="147" t="s">
        <v>2598</v>
      </c>
      <c r="E90" s="148" t="s">
        <v>2581</v>
      </c>
      <c r="F90" s="147" t="s">
        <v>2584</v>
      </c>
      <c r="G90" s="147" t="str">
        <f t="shared" si="0"/>
        <v>CHROM_AB_EXP_INVITRO_ECHA_REACH</v>
      </c>
      <c r="H90" s="147" t="s">
        <v>2516</v>
      </c>
      <c r="I90" s="434">
        <v>200</v>
      </c>
    </row>
    <row r="91" spans="1:9" x14ac:dyDescent="0.35">
      <c r="A91" s="281" t="s">
        <v>24</v>
      </c>
      <c r="B91" s="281" t="s">
        <v>61</v>
      </c>
      <c r="C91" s="147" t="s">
        <v>131</v>
      </c>
      <c r="D91" s="147" t="s">
        <v>2598</v>
      </c>
      <c r="E91" s="148" t="s">
        <v>2581</v>
      </c>
      <c r="F91" s="147" t="s">
        <v>2599</v>
      </c>
      <c r="G91" s="147" t="str">
        <f t="shared" si="0"/>
        <v>CHROM_AB_EXP_INVITRO_LS_CHO</v>
      </c>
      <c r="H91" s="147" t="s">
        <v>2516</v>
      </c>
      <c r="I91" s="434">
        <v>200</v>
      </c>
    </row>
    <row r="92" spans="1:9" x14ac:dyDescent="0.35">
      <c r="A92" s="281" t="s">
        <v>24</v>
      </c>
      <c r="B92" s="281" t="s">
        <v>61</v>
      </c>
      <c r="C92" s="147" t="s">
        <v>132</v>
      </c>
      <c r="D92" s="147" t="s">
        <v>2598</v>
      </c>
      <c r="E92" s="148" t="s">
        <v>2581</v>
      </c>
      <c r="F92" s="147" t="s">
        <v>2600</v>
      </c>
      <c r="G92" s="147" t="str">
        <f t="shared" si="0"/>
        <v>CHROM_AB_EXP_INVITRO_LS_CHL</v>
      </c>
      <c r="H92" s="147" t="s">
        <v>2516</v>
      </c>
      <c r="I92" s="434">
        <v>200</v>
      </c>
    </row>
    <row r="93" spans="1:9" x14ac:dyDescent="0.35">
      <c r="A93" s="281" t="s">
        <v>24</v>
      </c>
      <c r="B93" s="281" t="s">
        <v>61</v>
      </c>
      <c r="C93" s="147" t="s">
        <v>133</v>
      </c>
      <c r="D93" s="147" t="s">
        <v>2598</v>
      </c>
      <c r="E93" s="148" t="s">
        <v>2581</v>
      </c>
      <c r="F93" s="147" t="s">
        <v>2601</v>
      </c>
      <c r="G93" s="147" t="str">
        <f t="shared" si="0"/>
        <v>CHROM_AB_EXP_INVITRO_VEGA_CORAL</v>
      </c>
      <c r="H93" s="147" t="s">
        <v>2516</v>
      </c>
      <c r="I93" s="434">
        <v>200</v>
      </c>
    </row>
    <row r="94" spans="1:9" x14ac:dyDescent="0.35">
      <c r="A94" s="281" t="s">
        <v>24</v>
      </c>
      <c r="B94" s="281" t="s">
        <v>61</v>
      </c>
      <c r="C94" s="148" t="s">
        <v>96</v>
      </c>
      <c r="D94" s="147" t="s">
        <v>2598</v>
      </c>
      <c r="E94" s="148" t="s">
        <v>2581</v>
      </c>
      <c r="F94" s="148" t="s">
        <v>96</v>
      </c>
      <c r="G94" s="148" t="str">
        <f t="shared" si="0"/>
        <v>CHROM_AB_EXP_INVITRO_ECVAM</v>
      </c>
      <c r="H94" s="148" t="s">
        <v>2516</v>
      </c>
      <c r="I94" s="245">
        <v>200</v>
      </c>
    </row>
    <row r="95" spans="1:9" x14ac:dyDescent="0.35">
      <c r="A95" s="281" t="s">
        <v>24</v>
      </c>
      <c r="B95" s="281" t="s">
        <v>61</v>
      </c>
      <c r="C95" s="148" t="s">
        <v>112</v>
      </c>
      <c r="D95" s="147" t="s">
        <v>2598</v>
      </c>
      <c r="E95" s="148" t="s">
        <v>2581</v>
      </c>
      <c r="F95" s="148" t="s">
        <v>2582</v>
      </c>
      <c r="G95" s="148" t="str">
        <f t="shared" si="0"/>
        <v>CHROM_AB_EXP_INVITRO_COMMENTS</v>
      </c>
      <c r="H95" s="148" t="s">
        <v>2516</v>
      </c>
      <c r="I95" s="245">
        <v>200</v>
      </c>
    </row>
    <row r="96" spans="1:9" x14ac:dyDescent="0.35">
      <c r="A96" s="281" t="s">
        <v>24</v>
      </c>
      <c r="B96" s="281" t="s">
        <v>62</v>
      </c>
      <c r="C96" s="147" t="s">
        <v>2602</v>
      </c>
      <c r="D96" s="147" t="s">
        <v>2598</v>
      </c>
      <c r="E96" s="153" t="s">
        <v>2583</v>
      </c>
      <c r="F96" s="147" t="s">
        <v>2603</v>
      </c>
      <c r="G96" s="147" t="str">
        <f t="shared" si="0"/>
        <v>CHROM_AB_EXP_INVIVO_VEGA_A7P</v>
      </c>
      <c r="H96" s="147" t="s">
        <v>2516</v>
      </c>
      <c r="I96" s="434">
        <v>200</v>
      </c>
    </row>
    <row r="97" spans="1:9" x14ac:dyDescent="0.35">
      <c r="A97" s="281" t="s">
        <v>24</v>
      </c>
      <c r="B97" s="281" t="s">
        <v>62</v>
      </c>
      <c r="C97" s="147" t="s">
        <v>2604</v>
      </c>
      <c r="D97" s="147" t="s">
        <v>2598</v>
      </c>
      <c r="E97" s="153" t="s">
        <v>2583</v>
      </c>
      <c r="F97" s="147" t="s">
        <v>2605</v>
      </c>
      <c r="G97" s="147" t="str">
        <f t="shared" si="0"/>
        <v>CHROM_AB_EXP_INVIVO_VEGA_A7R</v>
      </c>
      <c r="H97" s="147" t="s">
        <v>2516</v>
      </c>
      <c r="I97" s="434">
        <v>200</v>
      </c>
    </row>
    <row r="98" spans="1:9" x14ac:dyDescent="0.35">
      <c r="A98" s="281" t="s">
        <v>24</v>
      </c>
      <c r="B98" s="281" t="s">
        <v>62</v>
      </c>
      <c r="C98" s="147" t="s">
        <v>2606</v>
      </c>
      <c r="D98" s="147" t="s">
        <v>2598</v>
      </c>
      <c r="E98" s="153" t="s">
        <v>2583</v>
      </c>
      <c r="F98" s="147" t="s">
        <v>2607</v>
      </c>
      <c r="G98" s="147" t="str">
        <f t="shared" si="0"/>
        <v>CHROM_AB_EXP_INVIVO_VEGA_A7Q</v>
      </c>
      <c r="H98" s="147" t="s">
        <v>2516</v>
      </c>
      <c r="I98" s="434">
        <v>200</v>
      </c>
    </row>
    <row r="99" spans="1:9" x14ac:dyDescent="0.35">
      <c r="A99" s="281" t="s">
        <v>24</v>
      </c>
      <c r="B99" s="281" t="s">
        <v>62</v>
      </c>
      <c r="C99" s="224" t="s">
        <v>96</v>
      </c>
      <c r="D99" s="147" t="s">
        <v>2598</v>
      </c>
      <c r="E99" s="153" t="s">
        <v>2583</v>
      </c>
      <c r="F99" s="224" t="s">
        <v>96</v>
      </c>
      <c r="G99" s="224" t="str">
        <f t="shared" si="0"/>
        <v>CHROM_AB_EXP_INVIVO_ECVAM</v>
      </c>
      <c r="H99" s="224" t="s">
        <v>2516</v>
      </c>
      <c r="I99" s="249">
        <v>200</v>
      </c>
    </row>
    <row r="100" spans="1:9" x14ac:dyDescent="0.35">
      <c r="A100" s="281" t="s">
        <v>24</v>
      </c>
      <c r="B100" s="281" t="s">
        <v>62</v>
      </c>
      <c r="C100" s="148" t="s">
        <v>116</v>
      </c>
      <c r="D100" s="147" t="s">
        <v>2598</v>
      </c>
      <c r="E100" s="153" t="s">
        <v>2583</v>
      </c>
      <c r="F100" s="148" t="s">
        <v>116</v>
      </c>
      <c r="G100" s="148" t="str">
        <f t="shared" si="0"/>
        <v>CHROM_AB_EXP_INVIVO_ICE</v>
      </c>
      <c r="H100" s="148" t="s">
        <v>2516</v>
      </c>
      <c r="I100" s="245">
        <v>200</v>
      </c>
    </row>
    <row r="101" spans="1:9" x14ac:dyDescent="0.35">
      <c r="A101" s="281" t="s">
        <v>24</v>
      </c>
      <c r="B101" s="281" t="s">
        <v>62</v>
      </c>
      <c r="C101" s="148" t="s">
        <v>94</v>
      </c>
      <c r="D101" s="147" t="s">
        <v>2598</v>
      </c>
      <c r="E101" s="153" t="s">
        <v>2583</v>
      </c>
      <c r="F101" s="148" t="s">
        <v>2584</v>
      </c>
      <c r="G101" s="148" t="str">
        <f t="shared" si="0"/>
        <v>CHROM_AB_EXP_INVIVO_ECHA_REACH</v>
      </c>
      <c r="H101" s="148" t="s">
        <v>2516</v>
      </c>
      <c r="I101" s="245">
        <v>200</v>
      </c>
    </row>
    <row r="102" spans="1:9" x14ac:dyDescent="0.35">
      <c r="A102" s="281" t="s">
        <v>24</v>
      </c>
      <c r="B102" s="281" t="s">
        <v>62</v>
      </c>
      <c r="C102" s="148" t="s">
        <v>112</v>
      </c>
      <c r="D102" s="147" t="s">
        <v>2598</v>
      </c>
      <c r="E102" s="153" t="s">
        <v>2583</v>
      </c>
      <c r="F102" s="148" t="s">
        <v>2582</v>
      </c>
      <c r="G102" s="148" t="str">
        <f t="shared" si="0"/>
        <v>CHROM_AB_EXP_INVIVO_COMMENTS</v>
      </c>
      <c r="H102" s="148" t="s">
        <v>2516</v>
      </c>
      <c r="I102" s="245">
        <v>200</v>
      </c>
    </row>
    <row r="103" spans="1:9" x14ac:dyDescent="0.35">
      <c r="A103" s="281" t="s">
        <v>25</v>
      </c>
      <c r="B103" s="281" t="s">
        <v>61</v>
      </c>
      <c r="C103" s="147" t="s">
        <v>137</v>
      </c>
      <c r="D103" s="147" t="s">
        <v>2608</v>
      </c>
      <c r="E103" s="148" t="s">
        <v>2581</v>
      </c>
      <c r="F103" s="147" t="s">
        <v>2599</v>
      </c>
      <c r="G103" s="147" t="str">
        <f t="shared" si="0"/>
        <v>CHROM_AB_PRED_INVITRO_LS_CHO</v>
      </c>
      <c r="H103" s="147" t="s">
        <v>2516</v>
      </c>
      <c r="I103" s="434">
        <v>200</v>
      </c>
    </row>
    <row r="104" spans="1:9" x14ac:dyDescent="0.35">
      <c r="A104" s="281" t="s">
        <v>25</v>
      </c>
      <c r="B104" s="281" t="s">
        <v>61</v>
      </c>
      <c r="C104" s="147" t="s">
        <v>138</v>
      </c>
      <c r="D104" s="147" t="s">
        <v>2608</v>
      </c>
      <c r="E104" s="148" t="s">
        <v>2581</v>
      </c>
      <c r="F104" s="147" t="s">
        <v>2600</v>
      </c>
      <c r="G104" s="147" t="str">
        <f t="shared" si="0"/>
        <v>CHROM_AB_PRED_INVITRO_LS_CHL</v>
      </c>
      <c r="H104" s="147" t="s">
        <v>2516</v>
      </c>
      <c r="I104" s="434">
        <v>200</v>
      </c>
    </row>
    <row r="105" spans="1:9" x14ac:dyDescent="0.35">
      <c r="A105" s="281" t="s">
        <v>25</v>
      </c>
      <c r="B105" s="281" t="s">
        <v>61</v>
      </c>
      <c r="C105" s="147" t="s">
        <v>139</v>
      </c>
      <c r="D105" s="147" t="s">
        <v>2608</v>
      </c>
      <c r="E105" s="148" t="s">
        <v>2581</v>
      </c>
      <c r="F105" s="147" t="s">
        <v>2601</v>
      </c>
      <c r="G105" s="147" t="str">
        <f t="shared" si="0"/>
        <v>CHROM_AB_PRED_INVITRO_VEGA_CORAL</v>
      </c>
      <c r="H105" s="147" t="s">
        <v>2516</v>
      </c>
      <c r="I105" s="434">
        <v>200</v>
      </c>
    </row>
    <row r="106" spans="1:9" x14ac:dyDescent="0.35">
      <c r="A106" s="281" t="s">
        <v>25</v>
      </c>
      <c r="B106" s="281" t="s">
        <v>62</v>
      </c>
      <c r="C106" s="147" t="s">
        <v>140</v>
      </c>
      <c r="D106" s="147" t="s">
        <v>2608</v>
      </c>
      <c r="E106" s="153" t="s">
        <v>2583</v>
      </c>
      <c r="F106" s="147" t="s">
        <v>2609</v>
      </c>
      <c r="G106" s="147" t="str">
        <f t="shared" si="0"/>
        <v>CHROM_AB_PRED_INVIVO_LS_A7P</v>
      </c>
      <c r="H106" s="147" t="s">
        <v>2516</v>
      </c>
      <c r="I106" s="434">
        <v>200</v>
      </c>
    </row>
    <row r="107" spans="1:9" x14ac:dyDescent="0.35">
      <c r="A107" s="281" t="s">
        <v>25</v>
      </c>
      <c r="B107" s="281" t="s">
        <v>62</v>
      </c>
      <c r="C107" s="147" t="s">
        <v>135</v>
      </c>
      <c r="D107" s="147" t="s">
        <v>2608</v>
      </c>
      <c r="E107" s="153" t="s">
        <v>2583</v>
      </c>
      <c r="F107" s="147" t="s">
        <v>2610</v>
      </c>
      <c r="G107" s="147" t="str">
        <f t="shared" si="0"/>
        <v>CHROM_AB_PRED_INVIVO_LS_A7R</v>
      </c>
      <c r="H107" s="147" t="s">
        <v>2516</v>
      </c>
      <c r="I107" s="434">
        <v>200</v>
      </c>
    </row>
    <row r="108" spans="1:9" x14ac:dyDescent="0.35">
      <c r="A108" s="281" t="s">
        <v>25</v>
      </c>
      <c r="B108" s="281" t="s">
        <v>62</v>
      </c>
      <c r="C108" s="147" t="s">
        <v>141</v>
      </c>
      <c r="D108" s="147" t="s">
        <v>2608</v>
      </c>
      <c r="E108" s="153" t="s">
        <v>2583</v>
      </c>
      <c r="F108" s="147" t="s">
        <v>2611</v>
      </c>
      <c r="G108" s="147" t="str">
        <f t="shared" si="0"/>
        <v>CHROM_AB_PRED_INVIVO_LS_A7Q</v>
      </c>
      <c r="H108" s="147" t="s">
        <v>2516</v>
      </c>
      <c r="I108" s="434">
        <v>200</v>
      </c>
    </row>
    <row r="109" spans="1:9" x14ac:dyDescent="0.35">
      <c r="A109" s="270" t="s">
        <v>26</v>
      </c>
      <c r="B109" s="270" t="s">
        <v>60</v>
      </c>
      <c r="C109" s="225" t="s">
        <v>142</v>
      </c>
      <c r="D109" s="225" t="s">
        <v>2612</v>
      </c>
      <c r="E109" s="226" t="s">
        <v>2581</v>
      </c>
      <c r="F109" s="225" t="s">
        <v>2599</v>
      </c>
      <c r="G109" s="225" t="str">
        <f t="shared" si="0"/>
        <v>OGE_EXP_INVITRO_LS_CHO</v>
      </c>
      <c r="H109" s="225" t="s">
        <v>2516</v>
      </c>
      <c r="I109" s="250">
        <v>200</v>
      </c>
    </row>
    <row r="110" spans="1:9" x14ac:dyDescent="0.35">
      <c r="A110" s="270" t="s">
        <v>26</v>
      </c>
      <c r="B110" s="270" t="s">
        <v>60</v>
      </c>
      <c r="C110" s="225" t="s">
        <v>143</v>
      </c>
      <c r="D110" s="225" t="s">
        <v>2612</v>
      </c>
      <c r="E110" s="226" t="s">
        <v>2581</v>
      </c>
      <c r="F110" s="225" t="s">
        <v>2613</v>
      </c>
      <c r="G110" s="225" t="str">
        <f t="shared" si="0"/>
        <v>OGE_EXP_INVITRO_LS_COMP</v>
      </c>
      <c r="H110" s="225" t="s">
        <v>2516</v>
      </c>
      <c r="I110" s="250">
        <v>200</v>
      </c>
    </row>
    <row r="111" spans="1:9" x14ac:dyDescent="0.35">
      <c r="A111" s="270" t="s">
        <v>26</v>
      </c>
      <c r="B111" s="270" t="s">
        <v>60</v>
      </c>
      <c r="C111" s="225" t="s">
        <v>144</v>
      </c>
      <c r="D111" s="225" t="s">
        <v>2612</v>
      </c>
      <c r="E111" s="226" t="s">
        <v>2581</v>
      </c>
      <c r="F111" s="225" t="s">
        <v>2614</v>
      </c>
      <c r="G111" s="225" t="str">
        <f t="shared" si="0"/>
        <v>OGE_EXP_INVITRO_LS_SCE</v>
      </c>
      <c r="H111" s="225" t="s">
        <v>2516</v>
      </c>
      <c r="I111" s="250">
        <v>200</v>
      </c>
    </row>
    <row r="112" spans="1:9" x14ac:dyDescent="0.35">
      <c r="A112" s="270" t="s">
        <v>26</v>
      </c>
      <c r="B112" s="270" t="s">
        <v>63</v>
      </c>
      <c r="C112" s="225" t="s">
        <v>145</v>
      </c>
      <c r="D112" s="225" t="s">
        <v>2612</v>
      </c>
      <c r="E112" s="226" t="s">
        <v>2583</v>
      </c>
      <c r="F112" s="225" t="s">
        <v>2615</v>
      </c>
      <c r="G112" s="225" t="str">
        <f t="shared" si="0"/>
        <v>OGE_EXP_INVIVO_LS_RODENT_MUT_VAL</v>
      </c>
      <c r="H112" s="225" t="s">
        <v>2516</v>
      </c>
      <c r="I112" s="250">
        <v>200</v>
      </c>
    </row>
    <row r="113" spans="1:9" x14ac:dyDescent="0.35">
      <c r="A113" s="270" t="s">
        <v>26</v>
      </c>
      <c r="B113" s="270" t="s">
        <v>63</v>
      </c>
      <c r="C113" s="226" t="s">
        <v>146</v>
      </c>
      <c r="D113" s="225" t="s">
        <v>2612</v>
      </c>
      <c r="E113" s="226" t="s">
        <v>2583</v>
      </c>
      <c r="F113" s="225" t="s">
        <v>2616</v>
      </c>
      <c r="G113" s="226" t="str">
        <f t="shared" si="0"/>
        <v>OGE_EXP_INVIVO_LS_RODENT_MUT_DL</v>
      </c>
      <c r="H113" s="226" t="s">
        <v>2516</v>
      </c>
      <c r="I113" s="250">
        <v>200</v>
      </c>
    </row>
    <row r="114" spans="1:9" x14ac:dyDescent="0.35">
      <c r="A114" s="270" t="s">
        <v>26</v>
      </c>
      <c r="B114" s="270" t="s">
        <v>63</v>
      </c>
      <c r="C114" s="226" t="s">
        <v>147</v>
      </c>
      <c r="D114" s="225" t="s">
        <v>2612</v>
      </c>
      <c r="E114" s="226" t="s">
        <v>2583</v>
      </c>
      <c r="F114" s="226" t="s">
        <v>2617</v>
      </c>
      <c r="G114" s="226" t="str">
        <f t="shared" si="0"/>
        <v>OGE_EXP_INVIVO_ECVAM_TDR</v>
      </c>
      <c r="H114" s="226" t="s">
        <v>2516</v>
      </c>
      <c r="I114" s="250">
        <v>200</v>
      </c>
    </row>
    <row r="115" spans="1:9" x14ac:dyDescent="0.35">
      <c r="A115" s="270" t="s">
        <v>26</v>
      </c>
      <c r="B115" s="270" t="s">
        <v>63</v>
      </c>
      <c r="C115" s="225" t="s">
        <v>148</v>
      </c>
      <c r="D115" s="225" t="s">
        <v>2612</v>
      </c>
      <c r="E115" s="226" t="s">
        <v>2583</v>
      </c>
      <c r="F115" s="225" t="s">
        <v>2618</v>
      </c>
      <c r="G115" s="225" t="str">
        <f t="shared" si="0"/>
        <v>OGE_EXP_INVIVO_ECVAM_UDS</v>
      </c>
      <c r="H115" s="225" t="s">
        <v>2516</v>
      </c>
      <c r="I115" s="250">
        <v>200</v>
      </c>
    </row>
    <row r="116" spans="1:9" x14ac:dyDescent="0.35">
      <c r="A116" s="270" t="s">
        <v>26</v>
      </c>
      <c r="B116" s="270" t="s">
        <v>63</v>
      </c>
      <c r="C116" s="225" t="s">
        <v>149</v>
      </c>
      <c r="D116" s="225" t="s">
        <v>2612</v>
      </c>
      <c r="E116" s="226" t="s">
        <v>2583</v>
      </c>
      <c r="F116" s="225" t="s">
        <v>2619</v>
      </c>
      <c r="G116" s="225" t="str">
        <f t="shared" si="0"/>
        <v>OGE_EXP_INVIVO_DNA_DAMAGE</v>
      </c>
      <c r="H116" s="225" t="s">
        <v>2516</v>
      </c>
      <c r="I116" s="250">
        <v>200</v>
      </c>
    </row>
    <row r="117" spans="1:9" x14ac:dyDescent="0.35">
      <c r="A117" s="270" t="s">
        <v>26</v>
      </c>
      <c r="B117" s="270" t="s">
        <v>63</v>
      </c>
      <c r="C117" s="225" t="s">
        <v>2620</v>
      </c>
      <c r="D117" s="225" t="s">
        <v>2612</v>
      </c>
      <c r="E117" s="226" t="s">
        <v>2583</v>
      </c>
      <c r="F117" s="225" t="s">
        <v>2621</v>
      </c>
      <c r="G117" s="225" t="str">
        <f t="shared" si="0"/>
        <v>OGE_EXP_INVIVO_ECVAM_COMET</v>
      </c>
      <c r="H117" s="225" t="s">
        <v>2516</v>
      </c>
      <c r="I117" s="250">
        <v>200</v>
      </c>
    </row>
    <row r="118" spans="1:9" x14ac:dyDescent="0.35">
      <c r="A118" s="270" t="s">
        <v>26</v>
      </c>
      <c r="B118" s="270" t="s">
        <v>63</v>
      </c>
      <c r="C118" s="227" t="s">
        <v>112</v>
      </c>
      <c r="D118" s="225" t="s">
        <v>2612</v>
      </c>
      <c r="E118" s="226" t="s">
        <v>2583</v>
      </c>
      <c r="F118" s="225" t="s">
        <v>2622</v>
      </c>
      <c r="G118" s="227" t="str">
        <f t="shared" si="0"/>
        <v>OGE_EXP_INVIVO_ECVAM_COMET_COMMENTS</v>
      </c>
      <c r="H118" s="227" t="s">
        <v>2516</v>
      </c>
      <c r="I118" s="251">
        <v>200</v>
      </c>
    </row>
    <row r="119" spans="1:9" x14ac:dyDescent="0.35">
      <c r="A119" s="270" t="s">
        <v>27</v>
      </c>
      <c r="B119" s="283" t="s">
        <v>60</v>
      </c>
      <c r="C119" s="225" t="s">
        <v>150</v>
      </c>
      <c r="D119" s="225" t="s">
        <v>2623</v>
      </c>
      <c r="E119" s="226" t="s">
        <v>2581</v>
      </c>
      <c r="F119" s="225" t="s">
        <v>2599</v>
      </c>
      <c r="G119" s="225" t="str">
        <f t="shared" si="0"/>
        <v>OGE_PRED_INVITRO_LS_CHO</v>
      </c>
      <c r="H119" s="225" t="s">
        <v>2516</v>
      </c>
      <c r="I119" s="250">
        <v>200</v>
      </c>
    </row>
    <row r="120" spans="1:9" x14ac:dyDescent="0.35">
      <c r="A120" s="270" t="s">
        <v>27</v>
      </c>
      <c r="B120" s="283" t="s">
        <v>60</v>
      </c>
      <c r="C120" s="225" t="s">
        <v>143</v>
      </c>
      <c r="D120" s="225" t="s">
        <v>2623</v>
      </c>
      <c r="E120" s="226" t="s">
        <v>2581</v>
      </c>
      <c r="F120" s="225" t="s">
        <v>2613</v>
      </c>
      <c r="G120" s="225" t="str">
        <f t="shared" si="0"/>
        <v>OGE_PRED_INVITRO_LS_COMP</v>
      </c>
      <c r="H120" s="225" t="s">
        <v>2516</v>
      </c>
      <c r="I120" s="250">
        <v>200</v>
      </c>
    </row>
    <row r="121" spans="1:9" x14ac:dyDescent="0.35">
      <c r="A121" s="270" t="s">
        <v>27</v>
      </c>
      <c r="B121" s="283" t="s">
        <v>60</v>
      </c>
      <c r="C121" s="225" t="s">
        <v>144</v>
      </c>
      <c r="D121" s="225" t="s">
        <v>2623</v>
      </c>
      <c r="E121" s="226" t="s">
        <v>2581</v>
      </c>
      <c r="F121" s="225" t="s">
        <v>2614</v>
      </c>
      <c r="G121" s="225" t="str">
        <f t="shared" si="0"/>
        <v>OGE_PRED_INVITRO_LS_SCE</v>
      </c>
      <c r="H121" s="225" t="s">
        <v>2516</v>
      </c>
      <c r="I121" s="250">
        <v>200</v>
      </c>
    </row>
    <row r="122" spans="1:9" x14ac:dyDescent="0.35">
      <c r="A122" s="270" t="s">
        <v>27</v>
      </c>
      <c r="B122" s="283" t="s">
        <v>63</v>
      </c>
      <c r="C122" s="225" t="s">
        <v>151</v>
      </c>
      <c r="D122" s="225" t="s">
        <v>2623</v>
      </c>
      <c r="E122" s="226" t="s">
        <v>2583</v>
      </c>
      <c r="F122" s="225" t="s">
        <v>2615</v>
      </c>
      <c r="G122" s="225" t="str">
        <f t="shared" si="0"/>
        <v>OGE_PRED_INVIVO_LS_RODENT_MUT_VAL</v>
      </c>
      <c r="H122" s="225" t="s">
        <v>2516</v>
      </c>
      <c r="I122" s="250">
        <v>200</v>
      </c>
    </row>
    <row r="123" spans="1:9" x14ac:dyDescent="0.35">
      <c r="A123" s="270" t="s">
        <v>27</v>
      </c>
      <c r="B123" s="283" t="s">
        <v>63</v>
      </c>
      <c r="C123" s="226" t="s">
        <v>152</v>
      </c>
      <c r="D123" s="225" t="s">
        <v>2623</v>
      </c>
      <c r="E123" s="226" t="s">
        <v>2583</v>
      </c>
      <c r="F123" s="225" t="s">
        <v>2616</v>
      </c>
      <c r="G123" s="226" t="str">
        <f t="shared" si="0"/>
        <v>OGE_PRED_INVIVO_LS_RODENT_MUT_DL</v>
      </c>
      <c r="H123" s="226" t="s">
        <v>2516</v>
      </c>
      <c r="I123" s="250">
        <v>200</v>
      </c>
    </row>
    <row r="124" spans="1:9" x14ac:dyDescent="0.35">
      <c r="A124" s="284" t="s">
        <v>28</v>
      </c>
      <c r="B124" s="285"/>
      <c r="C124" s="193" t="s">
        <v>153</v>
      </c>
      <c r="D124" s="193" t="s">
        <v>2624</v>
      </c>
      <c r="E124" s="193"/>
      <c r="F124" s="193" t="s">
        <v>2625</v>
      </c>
      <c r="G124" s="193" t="str">
        <f t="shared" si="0"/>
        <v>TD50_EXP_CPDB_RAT</v>
      </c>
      <c r="H124" s="193" t="s">
        <v>2516</v>
      </c>
      <c r="I124" s="252">
        <v>200</v>
      </c>
    </row>
    <row r="125" spans="1:9" x14ac:dyDescent="0.35">
      <c r="A125" s="284" t="s">
        <v>28</v>
      </c>
      <c r="B125" s="285"/>
      <c r="C125" s="193" t="s">
        <v>154</v>
      </c>
      <c r="D125" s="193" t="s">
        <v>2624</v>
      </c>
      <c r="E125" s="193"/>
      <c r="F125" s="193" t="s">
        <v>2626</v>
      </c>
      <c r="G125" s="193" t="str">
        <f t="shared" si="0"/>
        <v>TD50_EXP_CPDB_MOUSE</v>
      </c>
      <c r="H125" s="193" t="s">
        <v>2516</v>
      </c>
      <c r="I125" s="252">
        <v>200</v>
      </c>
    </row>
    <row r="126" spans="1:9" x14ac:dyDescent="0.35">
      <c r="A126" s="284" t="s">
        <v>29</v>
      </c>
      <c r="B126" s="285"/>
      <c r="C126" s="193" t="s">
        <v>155</v>
      </c>
      <c r="D126" s="193" t="s">
        <v>2627</v>
      </c>
      <c r="E126" s="193"/>
      <c r="F126" s="193" t="s">
        <v>2628</v>
      </c>
      <c r="G126" s="193" t="str">
        <f t="shared" si="0"/>
        <v>TD50_PRED_ADMET_RAT</v>
      </c>
      <c r="H126" s="193" t="s">
        <v>2516</v>
      </c>
      <c r="I126" s="252">
        <v>200</v>
      </c>
    </row>
    <row r="127" spans="1:9" x14ac:dyDescent="0.35">
      <c r="A127" s="284" t="s">
        <v>29</v>
      </c>
      <c r="B127" s="285"/>
      <c r="C127" s="193" t="s">
        <v>158</v>
      </c>
      <c r="D127" s="193" t="s">
        <v>2627</v>
      </c>
      <c r="E127" s="193"/>
      <c r="F127" s="193" t="s">
        <v>2629</v>
      </c>
      <c r="G127" s="193" t="str">
        <f t="shared" si="0"/>
        <v>TD50_PRED_ADMET_RAT_AD_INFO</v>
      </c>
      <c r="H127" s="193" t="s">
        <v>2516</v>
      </c>
      <c r="I127" s="252">
        <v>200</v>
      </c>
    </row>
    <row r="128" spans="1:9" x14ac:dyDescent="0.35">
      <c r="A128" s="284" t="s">
        <v>29</v>
      </c>
      <c r="B128" s="285"/>
      <c r="C128" s="193" t="s">
        <v>157</v>
      </c>
      <c r="D128" s="193" t="s">
        <v>2627</v>
      </c>
      <c r="E128" s="193"/>
      <c r="F128" s="193" t="s">
        <v>2630</v>
      </c>
      <c r="G128" s="193" t="str">
        <f t="shared" si="0"/>
        <v>TD50_PRED_ADMET_MOUSE</v>
      </c>
      <c r="H128" s="193" t="s">
        <v>2516</v>
      </c>
      <c r="I128" s="252">
        <v>200</v>
      </c>
    </row>
    <row r="129" spans="1:9" x14ac:dyDescent="0.35">
      <c r="A129" s="284" t="s">
        <v>29</v>
      </c>
      <c r="B129" s="285"/>
      <c r="C129" s="193" t="s">
        <v>158</v>
      </c>
      <c r="D129" s="193" t="s">
        <v>2627</v>
      </c>
      <c r="E129" s="193"/>
      <c r="F129" s="193" t="s">
        <v>2631</v>
      </c>
      <c r="G129" s="193" t="str">
        <f t="shared" si="0"/>
        <v>TD50_PRED_ADMET_MOUSE_AD_INFO</v>
      </c>
      <c r="H129" s="193" t="s">
        <v>2516</v>
      </c>
      <c r="I129" s="252">
        <v>200</v>
      </c>
    </row>
    <row r="130" spans="1:9" x14ac:dyDescent="0.35">
      <c r="A130" s="284" t="s">
        <v>29</v>
      </c>
      <c r="B130" s="285"/>
      <c r="C130" s="193" t="s">
        <v>159</v>
      </c>
      <c r="D130" s="193" t="s">
        <v>2627</v>
      </c>
      <c r="E130" s="193"/>
      <c r="F130" s="193" t="s">
        <v>2632</v>
      </c>
      <c r="G130" s="193" t="str">
        <f t="shared" si="0"/>
        <v>TD50_PRED_LAZAR_RAT</v>
      </c>
      <c r="H130" s="193" t="s">
        <v>2516</v>
      </c>
      <c r="I130" s="252">
        <v>200</v>
      </c>
    </row>
    <row r="131" spans="1:9" x14ac:dyDescent="0.35">
      <c r="A131" s="284" t="s">
        <v>29</v>
      </c>
      <c r="B131" s="285"/>
      <c r="C131" s="193" t="s">
        <v>158</v>
      </c>
      <c r="D131" s="193" t="s">
        <v>2627</v>
      </c>
      <c r="E131" s="193"/>
      <c r="F131" s="193" t="s">
        <v>2633</v>
      </c>
      <c r="G131" s="193" t="str">
        <f t="shared" ref="G131:G194" si="1">_xlfn.CONCAT(D131:F131)</f>
        <v>TD50_PRED_LAZAR_RAT_AD_INFO</v>
      </c>
      <c r="H131" s="193" t="s">
        <v>2516</v>
      </c>
      <c r="I131" s="252">
        <v>200</v>
      </c>
    </row>
    <row r="132" spans="1:9" x14ac:dyDescent="0.35">
      <c r="A132" s="284" t="s">
        <v>29</v>
      </c>
      <c r="B132" s="285"/>
      <c r="C132" s="193" t="s">
        <v>160</v>
      </c>
      <c r="D132" s="193" t="s">
        <v>2627</v>
      </c>
      <c r="E132" s="193"/>
      <c r="F132" s="193" t="s">
        <v>2634</v>
      </c>
      <c r="G132" s="193" t="str">
        <f t="shared" si="1"/>
        <v>TD50_PRED_LAZAR_MOUSE</v>
      </c>
      <c r="H132" s="193" t="s">
        <v>2516</v>
      </c>
      <c r="I132" s="252">
        <v>200</v>
      </c>
    </row>
    <row r="133" spans="1:9" x14ac:dyDescent="0.35">
      <c r="A133" s="284" t="s">
        <v>29</v>
      </c>
      <c r="B133" s="285"/>
      <c r="C133" s="193" t="s">
        <v>158</v>
      </c>
      <c r="D133" s="193" t="s">
        <v>2627</v>
      </c>
      <c r="E133" s="193"/>
      <c r="F133" s="193" t="s">
        <v>2635</v>
      </c>
      <c r="G133" s="193" t="str">
        <f t="shared" si="1"/>
        <v>TD50_PRED_LAZAR_MOUSE_AD_INFO</v>
      </c>
      <c r="H133" s="193" t="s">
        <v>2516</v>
      </c>
      <c r="I133" s="252">
        <v>200</v>
      </c>
    </row>
    <row r="134" spans="1:9" x14ac:dyDescent="0.35">
      <c r="A134" s="286" t="s">
        <v>30</v>
      </c>
      <c r="B134" s="286" t="s">
        <v>64</v>
      </c>
      <c r="C134" s="209" t="s">
        <v>2636</v>
      </c>
      <c r="D134" s="209" t="s">
        <v>2637</v>
      </c>
      <c r="E134" s="209" t="s">
        <v>2638</v>
      </c>
      <c r="F134" s="209" t="s">
        <v>2639</v>
      </c>
      <c r="G134" s="209" t="str">
        <f t="shared" si="1"/>
        <v>NOAEL_EXP_QSAR_SUBCRON_TOX_NOAEL</v>
      </c>
      <c r="H134" s="209" t="s">
        <v>2516</v>
      </c>
      <c r="I134" s="253">
        <v>200</v>
      </c>
    </row>
    <row r="135" spans="1:9" x14ac:dyDescent="0.35">
      <c r="A135" s="286" t="s">
        <v>30</v>
      </c>
      <c r="B135" s="286" t="s">
        <v>64</v>
      </c>
      <c r="C135" s="210" t="s">
        <v>2640</v>
      </c>
      <c r="D135" s="209" t="s">
        <v>2637</v>
      </c>
      <c r="E135" s="209" t="s">
        <v>2638</v>
      </c>
      <c r="F135" s="210" t="s">
        <v>2641</v>
      </c>
      <c r="G135" s="210" t="str">
        <f t="shared" si="1"/>
        <v>NOAEL_EXP_QSAR_SUBCRON_TOX_NOAEL_LIVER</v>
      </c>
      <c r="H135" s="210" t="s">
        <v>2516</v>
      </c>
      <c r="I135" s="254">
        <v>200</v>
      </c>
    </row>
    <row r="136" spans="1:9" x14ac:dyDescent="0.35">
      <c r="A136" s="286" t="s">
        <v>30</v>
      </c>
      <c r="B136" s="286" t="s">
        <v>64</v>
      </c>
      <c r="C136" s="211" t="s">
        <v>275</v>
      </c>
      <c r="D136" s="209" t="s">
        <v>2637</v>
      </c>
      <c r="E136" s="209" t="s">
        <v>2638</v>
      </c>
      <c r="F136" s="211" t="s">
        <v>275</v>
      </c>
      <c r="G136" s="211" t="str">
        <f t="shared" si="1"/>
        <v>NOAEL_EXP_QSAR_SUBCRON_TOX_VEGA</v>
      </c>
      <c r="H136" s="211" t="s">
        <v>2516</v>
      </c>
      <c r="I136" s="255">
        <v>200</v>
      </c>
    </row>
    <row r="137" spans="1:9" x14ac:dyDescent="0.35">
      <c r="A137" s="286" t="s">
        <v>30</v>
      </c>
      <c r="B137" s="286" t="s">
        <v>64</v>
      </c>
      <c r="C137" s="210" t="s">
        <v>163</v>
      </c>
      <c r="D137" s="209" t="s">
        <v>2637</v>
      </c>
      <c r="E137" s="209" t="s">
        <v>2638</v>
      </c>
      <c r="F137" s="210" t="s">
        <v>2642</v>
      </c>
      <c r="G137" s="210" t="str">
        <f t="shared" si="1"/>
        <v>NOAEL_EXP_QSAR_SUBCRON_TOX_CORAL</v>
      </c>
      <c r="H137" s="210" t="s">
        <v>2516</v>
      </c>
      <c r="I137" s="254">
        <v>200</v>
      </c>
    </row>
    <row r="138" spans="1:9" x14ac:dyDescent="0.35">
      <c r="A138" s="286" t="s">
        <v>30</v>
      </c>
      <c r="B138" s="287" t="s">
        <v>65</v>
      </c>
      <c r="C138" s="210" t="s">
        <v>164</v>
      </c>
      <c r="D138" s="209" t="s">
        <v>2637</v>
      </c>
      <c r="E138" s="210" t="s">
        <v>2643</v>
      </c>
      <c r="F138" s="210" t="s">
        <v>2644</v>
      </c>
      <c r="G138" s="210" t="str">
        <f t="shared" si="1"/>
        <v>NOAEL_EXP_EFSA_OFT_EFSA_HUMAN</v>
      </c>
      <c r="H138" s="210" t="s">
        <v>2516</v>
      </c>
      <c r="I138" s="254">
        <v>200</v>
      </c>
    </row>
    <row r="139" spans="1:9" x14ac:dyDescent="0.35">
      <c r="A139" s="286" t="s">
        <v>30</v>
      </c>
      <c r="B139" s="287" t="s">
        <v>65</v>
      </c>
      <c r="C139" s="210" t="s">
        <v>165</v>
      </c>
      <c r="D139" s="209" t="s">
        <v>2637</v>
      </c>
      <c r="E139" s="210" t="s">
        <v>2643</v>
      </c>
      <c r="F139" s="210" t="s">
        <v>2645</v>
      </c>
      <c r="G139" s="210" t="str">
        <f t="shared" si="1"/>
        <v>NOAEL_EXP_EFSA_OFT_EFSA_ANIMAL</v>
      </c>
      <c r="H139" s="210" t="s">
        <v>2516</v>
      </c>
      <c r="I139" s="254">
        <v>200</v>
      </c>
    </row>
    <row r="140" spans="1:9" x14ac:dyDescent="0.35">
      <c r="A140" s="286" t="s">
        <v>30</v>
      </c>
      <c r="B140" s="287" t="s">
        <v>65</v>
      </c>
      <c r="C140" s="210" t="s">
        <v>166</v>
      </c>
      <c r="D140" s="209" t="s">
        <v>2637</v>
      </c>
      <c r="E140" s="210" t="s">
        <v>2643</v>
      </c>
      <c r="F140" s="210" t="s">
        <v>2646</v>
      </c>
      <c r="G140" s="210" t="str">
        <f t="shared" si="1"/>
        <v>NOAEL_EXP_EFSA_OFT_EFSA_ANIMAL_TOX</v>
      </c>
      <c r="H140" s="210" t="s">
        <v>2516</v>
      </c>
      <c r="I140" s="254">
        <v>200</v>
      </c>
    </row>
    <row r="141" spans="1:9" x14ac:dyDescent="0.35">
      <c r="A141" s="286" t="s">
        <v>30</v>
      </c>
      <c r="B141" s="287" t="s">
        <v>66</v>
      </c>
      <c r="C141" s="210" t="s">
        <v>167</v>
      </c>
      <c r="D141" s="209" t="s">
        <v>2637</v>
      </c>
      <c r="E141" s="210" t="s">
        <v>2647</v>
      </c>
      <c r="F141" s="210" t="s">
        <v>2648</v>
      </c>
      <c r="G141" s="210" t="str">
        <f t="shared" si="1"/>
        <v>NOAEL_EXP_OECD_TOOLBOX_EFSA_TOOLBOX</v>
      </c>
      <c r="H141" s="210" t="s">
        <v>2516</v>
      </c>
      <c r="I141" s="254">
        <v>200</v>
      </c>
    </row>
    <row r="142" spans="1:9" x14ac:dyDescent="0.35">
      <c r="A142" s="286" t="s">
        <v>30</v>
      </c>
      <c r="B142" s="287" t="s">
        <v>66</v>
      </c>
      <c r="C142" s="210" t="s">
        <v>166</v>
      </c>
      <c r="D142" s="209" t="s">
        <v>2637</v>
      </c>
      <c r="E142" s="210" t="s">
        <v>2647</v>
      </c>
      <c r="F142" s="210" t="s">
        <v>2649</v>
      </c>
      <c r="G142" s="210" t="str">
        <f t="shared" si="1"/>
        <v>NOAEL_EXP_OECD_TOOLBOX_EFSA_TOOLBOX_TOX</v>
      </c>
      <c r="H142" s="210" t="s">
        <v>2516</v>
      </c>
      <c r="I142" s="254">
        <v>200</v>
      </c>
    </row>
    <row r="143" spans="1:9" x14ac:dyDescent="0.35">
      <c r="A143" s="286" t="s">
        <v>30</v>
      </c>
      <c r="B143" s="287" t="s">
        <v>66</v>
      </c>
      <c r="C143" s="210" t="s">
        <v>168</v>
      </c>
      <c r="D143" s="209" t="s">
        <v>2637</v>
      </c>
      <c r="E143" s="210" t="s">
        <v>2647</v>
      </c>
      <c r="F143" s="210" t="s">
        <v>2650</v>
      </c>
      <c r="G143" s="210" t="str">
        <f t="shared" si="1"/>
        <v>NOAEL_EXP_OECD_TOOLBOX_MUNRO_TOOLBOX</v>
      </c>
      <c r="H143" s="210" t="s">
        <v>2516</v>
      </c>
      <c r="I143" s="254">
        <v>200</v>
      </c>
    </row>
    <row r="144" spans="1:9" x14ac:dyDescent="0.35">
      <c r="A144" s="286" t="s">
        <v>30</v>
      </c>
      <c r="B144" s="287" t="s">
        <v>66</v>
      </c>
      <c r="C144" s="210" t="s">
        <v>166</v>
      </c>
      <c r="D144" s="209" t="s">
        <v>2637</v>
      </c>
      <c r="E144" s="210" t="s">
        <v>2647</v>
      </c>
      <c r="F144" s="210" t="s">
        <v>2651</v>
      </c>
      <c r="G144" s="210" t="str">
        <f t="shared" si="1"/>
        <v>NOAEL_EXP_OECD_TOOLBOX_MUNRO_TOOLBOX_TOX</v>
      </c>
      <c r="H144" s="210" t="s">
        <v>2516</v>
      </c>
      <c r="I144" s="254">
        <v>200</v>
      </c>
    </row>
    <row r="145" spans="1:9" x14ac:dyDescent="0.35">
      <c r="A145" s="286" t="s">
        <v>30</v>
      </c>
      <c r="B145" s="287" t="s">
        <v>66</v>
      </c>
      <c r="C145" s="211" t="s">
        <v>169</v>
      </c>
      <c r="D145" s="209" t="s">
        <v>2637</v>
      </c>
      <c r="E145" s="210" t="s">
        <v>2647</v>
      </c>
      <c r="F145" s="211" t="s">
        <v>169</v>
      </c>
      <c r="G145" s="211" t="str">
        <f t="shared" si="1"/>
        <v>NOAEL_EXP_OECD_TOOLBOX_ECHA</v>
      </c>
      <c r="H145" s="211" t="s">
        <v>2516</v>
      </c>
      <c r="I145" s="255">
        <v>200</v>
      </c>
    </row>
    <row r="146" spans="1:9" x14ac:dyDescent="0.35">
      <c r="A146" s="286" t="s">
        <v>30</v>
      </c>
      <c r="B146" s="287" t="s">
        <v>66</v>
      </c>
      <c r="C146" s="210" t="s">
        <v>166</v>
      </c>
      <c r="D146" s="209" t="s">
        <v>2637</v>
      </c>
      <c r="E146" s="210" t="s">
        <v>2647</v>
      </c>
      <c r="F146" s="211" t="s">
        <v>2652</v>
      </c>
      <c r="G146" s="210" t="str">
        <f t="shared" si="1"/>
        <v>NOAEL_EXP_OECD_TOOLBOX_ECHA_TOX</v>
      </c>
      <c r="H146" s="210" t="s">
        <v>2516</v>
      </c>
      <c r="I146" s="254">
        <v>200</v>
      </c>
    </row>
    <row r="147" spans="1:9" x14ac:dyDescent="0.35">
      <c r="A147" s="288" t="s">
        <v>31</v>
      </c>
      <c r="B147" s="289" t="s">
        <v>67</v>
      </c>
      <c r="C147" s="172" t="s">
        <v>2653</v>
      </c>
      <c r="D147" s="172" t="s">
        <v>2654</v>
      </c>
      <c r="E147" s="172" t="s">
        <v>2638</v>
      </c>
      <c r="F147" s="172" t="s">
        <v>2655</v>
      </c>
      <c r="G147" s="172" t="str">
        <f t="shared" si="1"/>
        <v>LOAEL_EXP_QSAR_SUBCRON_TOX_LIVER_LOAEL</v>
      </c>
      <c r="H147" s="172" t="s">
        <v>2516</v>
      </c>
      <c r="I147" s="256">
        <v>200</v>
      </c>
    </row>
    <row r="148" spans="1:9" x14ac:dyDescent="0.35">
      <c r="A148" s="288" t="s">
        <v>31</v>
      </c>
      <c r="B148" s="289" t="s">
        <v>67</v>
      </c>
      <c r="C148" s="173" t="s">
        <v>171</v>
      </c>
      <c r="D148" s="172" t="s">
        <v>2654</v>
      </c>
      <c r="E148" s="172" t="s">
        <v>2638</v>
      </c>
      <c r="F148" s="173" t="s">
        <v>2656</v>
      </c>
      <c r="G148" s="173" t="str">
        <f t="shared" si="1"/>
        <v>LOAEL_EXP_QSAR_SUBCRON_TOX_HELMA</v>
      </c>
      <c r="H148" s="173" t="s">
        <v>2516</v>
      </c>
      <c r="I148" s="257">
        <v>200</v>
      </c>
    </row>
    <row r="149" spans="1:9" x14ac:dyDescent="0.35">
      <c r="A149" s="288" t="s">
        <v>31</v>
      </c>
      <c r="B149" s="289" t="s">
        <v>67</v>
      </c>
      <c r="C149" s="172" t="s">
        <v>174</v>
      </c>
      <c r="D149" s="172" t="s">
        <v>2654</v>
      </c>
      <c r="E149" s="172" t="s">
        <v>2638</v>
      </c>
      <c r="F149" s="172" t="s">
        <v>2657</v>
      </c>
      <c r="G149" s="172" t="str">
        <f t="shared" si="1"/>
        <v>LOAEL_EXP_QSAR_SUBCRON_TOX_MAZZATORTA</v>
      </c>
      <c r="H149" s="172" t="s">
        <v>2516</v>
      </c>
      <c r="I149" s="256">
        <v>200</v>
      </c>
    </row>
    <row r="150" spans="1:9" x14ac:dyDescent="0.35">
      <c r="A150" s="288" t="s">
        <v>31</v>
      </c>
      <c r="B150" s="288" t="s">
        <v>65</v>
      </c>
      <c r="C150" s="172" t="s">
        <v>164</v>
      </c>
      <c r="D150" s="172" t="s">
        <v>2654</v>
      </c>
      <c r="E150" s="172" t="s">
        <v>2643</v>
      </c>
      <c r="F150" s="172" t="s">
        <v>2644</v>
      </c>
      <c r="G150" s="172" t="str">
        <f t="shared" si="1"/>
        <v>LOAEL_EXP_EFSA_OFT_EFSA_HUMAN</v>
      </c>
      <c r="H150" s="172" t="s">
        <v>2516</v>
      </c>
      <c r="I150" s="256">
        <v>200</v>
      </c>
    </row>
    <row r="151" spans="1:9" x14ac:dyDescent="0.35">
      <c r="A151" s="288" t="s">
        <v>31</v>
      </c>
      <c r="B151" s="288" t="s">
        <v>65</v>
      </c>
      <c r="C151" s="172" t="s">
        <v>166</v>
      </c>
      <c r="D151" s="172" t="s">
        <v>2654</v>
      </c>
      <c r="E151" s="172" t="s">
        <v>2643</v>
      </c>
      <c r="F151" s="172" t="s">
        <v>2658</v>
      </c>
      <c r="G151" s="172" t="str">
        <f t="shared" si="1"/>
        <v>LOAEL_EXP_EFSA_OFT_EFSA_HUMAN_TOX</v>
      </c>
      <c r="H151" s="172" t="s">
        <v>2516</v>
      </c>
      <c r="I151" s="256">
        <v>200</v>
      </c>
    </row>
    <row r="152" spans="1:9" x14ac:dyDescent="0.35">
      <c r="A152" s="288" t="s">
        <v>31</v>
      </c>
      <c r="B152" s="288" t="s">
        <v>65</v>
      </c>
      <c r="C152" s="172" t="s">
        <v>165</v>
      </c>
      <c r="D152" s="172" t="s">
        <v>2654</v>
      </c>
      <c r="E152" s="172" t="s">
        <v>2643</v>
      </c>
      <c r="F152" s="172" t="s">
        <v>2645</v>
      </c>
      <c r="G152" s="172" t="str">
        <f t="shared" si="1"/>
        <v>LOAEL_EXP_EFSA_OFT_EFSA_ANIMAL</v>
      </c>
      <c r="H152" s="172" t="s">
        <v>2516</v>
      </c>
      <c r="I152" s="256">
        <v>200</v>
      </c>
    </row>
    <row r="153" spans="1:9" x14ac:dyDescent="0.35">
      <c r="A153" s="288" t="s">
        <v>31</v>
      </c>
      <c r="B153" s="288" t="s">
        <v>65</v>
      </c>
      <c r="C153" s="172" t="s">
        <v>166</v>
      </c>
      <c r="D153" s="172" t="s">
        <v>2654</v>
      </c>
      <c r="E153" s="172" t="s">
        <v>2643</v>
      </c>
      <c r="F153" s="172" t="s">
        <v>2646</v>
      </c>
      <c r="G153" s="172" t="str">
        <f t="shared" si="1"/>
        <v>LOAEL_EXP_EFSA_OFT_EFSA_ANIMAL_TOX</v>
      </c>
      <c r="H153" s="172" t="s">
        <v>2516</v>
      </c>
      <c r="I153" s="256">
        <v>200</v>
      </c>
    </row>
    <row r="154" spans="1:9" x14ac:dyDescent="0.35">
      <c r="A154" s="288" t="s">
        <v>31</v>
      </c>
      <c r="B154" s="288" t="s">
        <v>66</v>
      </c>
      <c r="C154" s="172" t="s">
        <v>167</v>
      </c>
      <c r="D154" s="172" t="s">
        <v>2654</v>
      </c>
      <c r="E154" s="172" t="s">
        <v>2647</v>
      </c>
      <c r="F154" s="172" t="s">
        <v>2648</v>
      </c>
      <c r="G154" s="172" t="str">
        <f t="shared" si="1"/>
        <v>LOAEL_EXP_OECD_TOOLBOX_EFSA_TOOLBOX</v>
      </c>
      <c r="H154" s="172" t="s">
        <v>2516</v>
      </c>
      <c r="I154" s="256">
        <v>200</v>
      </c>
    </row>
    <row r="155" spans="1:9" x14ac:dyDescent="0.35">
      <c r="A155" s="288" t="s">
        <v>31</v>
      </c>
      <c r="B155" s="288" t="s">
        <v>66</v>
      </c>
      <c r="C155" s="172" t="s">
        <v>166</v>
      </c>
      <c r="D155" s="172" t="s">
        <v>2654</v>
      </c>
      <c r="E155" s="172" t="s">
        <v>2647</v>
      </c>
      <c r="F155" s="172" t="s">
        <v>2649</v>
      </c>
      <c r="G155" s="172" t="str">
        <f t="shared" si="1"/>
        <v>LOAEL_EXP_OECD_TOOLBOX_EFSA_TOOLBOX_TOX</v>
      </c>
      <c r="H155" s="172" t="s">
        <v>2516</v>
      </c>
      <c r="I155" s="256">
        <v>200</v>
      </c>
    </row>
    <row r="156" spans="1:9" x14ac:dyDescent="0.35">
      <c r="A156" s="288" t="s">
        <v>31</v>
      </c>
      <c r="B156" s="288" t="s">
        <v>66</v>
      </c>
      <c r="C156" s="172" t="s">
        <v>168</v>
      </c>
      <c r="D156" s="172" t="s">
        <v>2654</v>
      </c>
      <c r="E156" s="172" t="s">
        <v>2647</v>
      </c>
      <c r="F156" s="172" t="s">
        <v>2650</v>
      </c>
      <c r="G156" s="172" t="str">
        <f t="shared" si="1"/>
        <v>LOAEL_EXP_OECD_TOOLBOX_MUNRO_TOOLBOX</v>
      </c>
      <c r="H156" s="172" t="s">
        <v>2516</v>
      </c>
      <c r="I156" s="256">
        <v>200</v>
      </c>
    </row>
    <row r="157" spans="1:9" x14ac:dyDescent="0.35">
      <c r="A157" s="288" t="s">
        <v>31</v>
      </c>
      <c r="B157" s="288" t="s">
        <v>66</v>
      </c>
      <c r="C157" s="172" t="s">
        <v>166</v>
      </c>
      <c r="D157" s="172" t="s">
        <v>2654</v>
      </c>
      <c r="E157" s="172" t="s">
        <v>2647</v>
      </c>
      <c r="F157" s="172" t="s">
        <v>2651</v>
      </c>
      <c r="G157" s="172" t="str">
        <f t="shared" si="1"/>
        <v>LOAEL_EXP_OECD_TOOLBOX_MUNRO_TOOLBOX_TOX</v>
      </c>
      <c r="H157" s="172" t="s">
        <v>2516</v>
      </c>
      <c r="I157" s="256">
        <v>200</v>
      </c>
    </row>
    <row r="158" spans="1:9" x14ac:dyDescent="0.35">
      <c r="A158" s="288" t="s">
        <v>31</v>
      </c>
      <c r="B158" s="288" t="s">
        <v>66</v>
      </c>
      <c r="C158" s="173" t="s">
        <v>169</v>
      </c>
      <c r="D158" s="172" t="s">
        <v>2654</v>
      </c>
      <c r="E158" s="172" t="s">
        <v>2647</v>
      </c>
      <c r="F158" s="173" t="s">
        <v>169</v>
      </c>
      <c r="G158" s="173" t="str">
        <f t="shared" si="1"/>
        <v>LOAEL_EXP_OECD_TOOLBOX_ECHA</v>
      </c>
      <c r="H158" s="173" t="s">
        <v>2516</v>
      </c>
      <c r="I158" s="257">
        <v>200</v>
      </c>
    </row>
    <row r="159" spans="1:9" x14ac:dyDescent="0.35">
      <c r="A159" s="288" t="s">
        <v>31</v>
      </c>
      <c r="B159" s="288" t="s">
        <v>66</v>
      </c>
      <c r="C159" s="172" t="s">
        <v>166</v>
      </c>
      <c r="D159" s="172" t="s">
        <v>2654</v>
      </c>
      <c r="E159" s="172" t="s">
        <v>2647</v>
      </c>
      <c r="F159" s="173" t="s">
        <v>2652</v>
      </c>
      <c r="G159" s="172" t="str">
        <f t="shared" si="1"/>
        <v>LOAEL_EXP_OECD_TOOLBOX_ECHA_TOX</v>
      </c>
      <c r="H159" s="172" t="s">
        <v>2516</v>
      </c>
      <c r="I159" s="256">
        <v>200</v>
      </c>
    </row>
    <row r="160" spans="1:9" x14ac:dyDescent="0.35">
      <c r="A160" s="287" t="s">
        <v>32</v>
      </c>
      <c r="B160" s="290" t="s">
        <v>68</v>
      </c>
      <c r="C160" s="437" t="s">
        <v>2640</v>
      </c>
      <c r="D160" s="437" t="s">
        <v>2659</v>
      </c>
      <c r="E160" s="437" t="s">
        <v>2660</v>
      </c>
      <c r="F160" s="437" t="s">
        <v>2661</v>
      </c>
      <c r="G160" s="437" t="str">
        <f t="shared" si="1"/>
        <v>NOAEL_PRED_SUBCRON_LIVER_NOAEL</v>
      </c>
      <c r="H160" s="437" t="s">
        <v>2516</v>
      </c>
      <c r="I160" s="438">
        <v>200</v>
      </c>
    </row>
    <row r="161" spans="1:9" x14ac:dyDescent="0.35">
      <c r="A161" s="287" t="s">
        <v>32</v>
      </c>
      <c r="B161" s="290" t="s">
        <v>68</v>
      </c>
      <c r="C161" s="213" t="s">
        <v>91</v>
      </c>
      <c r="D161" s="437" t="s">
        <v>2659</v>
      </c>
      <c r="E161" s="213" t="s">
        <v>2660</v>
      </c>
      <c r="F161" s="437" t="s">
        <v>2662</v>
      </c>
      <c r="G161" s="213" t="str">
        <f t="shared" si="1"/>
        <v>NOAEL_PRED_SUBCRON_LIVER_NOAEL_REL</v>
      </c>
      <c r="H161" s="213" t="s">
        <v>2516</v>
      </c>
      <c r="I161" s="258">
        <v>200</v>
      </c>
    </row>
    <row r="162" spans="1:9" x14ac:dyDescent="0.35">
      <c r="A162" s="287" t="s">
        <v>32</v>
      </c>
      <c r="B162" s="290" t="s">
        <v>68</v>
      </c>
      <c r="C162" s="437" t="s">
        <v>2653</v>
      </c>
      <c r="D162" s="437" t="s">
        <v>2659</v>
      </c>
      <c r="E162" s="437" t="s">
        <v>2660</v>
      </c>
      <c r="F162" s="437" t="s">
        <v>2655</v>
      </c>
      <c r="G162" s="437" t="str">
        <f t="shared" si="1"/>
        <v>NOAEL_PRED_SUBCRON_LIVER_LOAEL</v>
      </c>
      <c r="H162" s="437" t="s">
        <v>2516</v>
      </c>
      <c r="I162" s="438">
        <v>200</v>
      </c>
    </row>
    <row r="163" spans="1:9" x14ac:dyDescent="0.35">
      <c r="A163" s="287" t="s">
        <v>32</v>
      </c>
      <c r="B163" s="290" t="s">
        <v>68</v>
      </c>
      <c r="C163" s="214" t="s">
        <v>91</v>
      </c>
      <c r="D163" s="437" t="s">
        <v>2659</v>
      </c>
      <c r="E163" s="214" t="s">
        <v>2660</v>
      </c>
      <c r="F163" s="437" t="s">
        <v>2663</v>
      </c>
      <c r="G163" s="214" t="str">
        <f t="shared" si="1"/>
        <v>NOAEL_PRED_SUBCRON_LIVER_LOAEL_REL</v>
      </c>
      <c r="H163" s="214" t="s">
        <v>2516</v>
      </c>
      <c r="I163" s="255">
        <v>200</v>
      </c>
    </row>
    <row r="164" spans="1:9" x14ac:dyDescent="0.35">
      <c r="A164" s="287" t="s">
        <v>32</v>
      </c>
      <c r="B164" s="290" t="s">
        <v>68</v>
      </c>
      <c r="C164" s="215" t="s">
        <v>173</v>
      </c>
      <c r="D164" s="437" t="s">
        <v>2659</v>
      </c>
      <c r="E164" s="215" t="s">
        <v>2660</v>
      </c>
      <c r="F164" s="215" t="s">
        <v>2664</v>
      </c>
      <c r="G164" s="215" t="str">
        <f t="shared" si="1"/>
        <v>NOAEL_PRED_SUBCRON_GADELETA_NOAEL</v>
      </c>
      <c r="H164" s="215" t="s">
        <v>2516</v>
      </c>
      <c r="I164" s="254">
        <v>200</v>
      </c>
    </row>
    <row r="165" spans="1:9" x14ac:dyDescent="0.35">
      <c r="A165" s="287" t="s">
        <v>32</v>
      </c>
      <c r="B165" s="290" t="s">
        <v>68</v>
      </c>
      <c r="C165" s="215" t="s">
        <v>2665</v>
      </c>
      <c r="D165" s="437" t="s">
        <v>2659</v>
      </c>
      <c r="E165" s="215" t="s">
        <v>2660</v>
      </c>
      <c r="F165" s="215" t="s">
        <v>2666</v>
      </c>
      <c r="G165" s="215" t="str">
        <f t="shared" si="1"/>
        <v>NOAEL_PRED_SUBCRON_GADELETA_LOAEL</v>
      </c>
      <c r="H165" s="215" t="s">
        <v>2516</v>
      </c>
      <c r="I165" s="254">
        <v>200</v>
      </c>
    </row>
    <row r="166" spans="1:9" x14ac:dyDescent="0.35">
      <c r="A166" s="287" t="s">
        <v>32</v>
      </c>
      <c r="B166" s="290" t="s">
        <v>68</v>
      </c>
      <c r="C166" s="210" t="s">
        <v>158</v>
      </c>
      <c r="D166" s="437" t="s">
        <v>2659</v>
      </c>
      <c r="E166" s="210" t="s">
        <v>2660</v>
      </c>
      <c r="F166" s="215" t="s">
        <v>2667</v>
      </c>
      <c r="G166" s="210" t="str">
        <f t="shared" si="1"/>
        <v>NOAEL_PRED_SUBCRON_GADELETA_AD_INFO</v>
      </c>
      <c r="H166" s="210" t="s">
        <v>2516</v>
      </c>
      <c r="I166" s="254">
        <v>200</v>
      </c>
    </row>
    <row r="167" spans="1:9" x14ac:dyDescent="0.35">
      <c r="A167" s="287" t="s">
        <v>32</v>
      </c>
      <c r="B167" s="290" t="s">
        <v>68</v>
      </c>
      <c r="C167" s="210" t="s">
        <v>91</v>
      </c>
      <c r="D167" s="437" t="s">
        <v>2659</v>
      </c>
      <c r="E167" s="210" t="s">
        <v>2660</v>
      </c>
      <c r="F167" s="215" t="s">
        <v>2668</v>
      </c>
      <c r="G167" s="210" t="str">
        <f t="shared" si="1"/>
        <v>NOAEL_PRED_SUBCRON_GADELETA_REL</v>
      </c>
      <c r="H167" s="210" t="s">
        <v>2516</v>
      </c>
      <c r="I167" s="254">
        <v>200</v>
      </c>
    </row>
    <row r="168" spans="1:9" x14ac:dyDescent="0.35">
      <c r="A168" s="288" t="s">
        <v>33</v>
      </c>
      <c r="B168" s="291" t="s">
        <v>69</v>
      </c>
      <c r="C168" s="172" t="s">
        <v>2653</v>
      </c>
      <c r="D168" s="172" t="s">
        <v>2669</v>
      </c>
      <c r="E168" s="172" t="s">
        <v>2660</v>
      </c>
      <c r="F168" s="172" t="s">
        <v>2655</v>
      </c>
      <c r="G168" s="172" t="str">
        <f t="shared" si="1"/>
        <v>LOAEL_PRED_SUBCRON_LIVER_LOAEL</v>
      </c>
      <c r="H168" s="172" t="s">
        <v>2516</v>
      </c>
      <c r="I168" s="256">
        <v>200</v>
      </c>
    </row>
    <row r="169" spans="1:9" x14ac:dyDescent="0.35">
      <c r="A169" s="288" t="s">
        <v>33</v>
      </c>
      <c r="B169" s="291" t="s">
        <v>69</v>
      </c>
      <c r="C169" s="174" t="s">
        <v>171</v>
      </c>
      <c r="D169" s="172" t="s">
        <v>2669</v>
      </c>
      <c r="E169" s="174" t="s">
        <v>2660</v>
      </c>
      <c r="F169" s="174" t="s">
        <v>2656</v>
      </c>
      <c r="G169" s="174" t="str">
        <f t="shared" si="1"/>
        <v>LOAEL_PRED_SUBCRON_HELMA</v>
      </c>
      <c r="H169" s="174" t="s">
        <v>2516</v>
      </c>
      <c r="I169" s="256">
        <v>200</v>
      </c>
    </row>
    <row r="170" spans="1:9" x14ac:dyDescent="0.35">
      <c r="A170" s="288" t="s">
        <v>33</v>
      </c>
      <c r="B170" s="291" t="s">
        <v>69</v>
      </c>
      <c r="C170" s="172" t="s">
        <v>158</v>
      </c>
      <c r="D170" s="172" t="s">
        <v>2669</v>
      </c>
      <c r="E170" s="172" t="s">
        <v>2660</v>
      </c>
      <c r="F170" s="172" t="s">
        <v>2670</v>
      </c>
      <c r="G170" s="172" t="str">
        <f t="shared" si="1"/>
        <v>LOAEL_PRED_SUBCRON_AD_INFO</v>
      </c>
      <c r="H170" s="172" t="s">
        <v>2516</v>
      </c>
      <c r="I170" s="256">
        <v>200</v>
      </c>
    </row>
    <row r="171" spans="1:9" x14ac:dyDescent="0.35">
      <c r="A171" s="288" t="s">
        <v>33</v>
      </c>
      <c r="B171" s="291" t="s">
        <v>69</v>
      </c>
      <c r="C171" s="172" t="s">
        <v>174</v>
      </c>
      <c r="D171" s="172" t="s">
        <v>2669</v>
      </c>
      <c r="E171" s="172" t="s">
        <v>2660</v>
      </c>
      <c r="F171" s="172" t="s">
        <v>2657</v>
      </c>
      <c r="G171" s="172" t="str">
        <f t="shared" si="1"/>
        <v>LOAEL_PRED_SUBCRON_MAZZATORTA</v>
      </c>
      <c r="H171" s="172" t="s">
        <v>2516</v>
      </c>
      <c r="I171" s="256">
        <v>200</v>
      </c>
    </row>
    <row r="172" spans="1:9" x14ac:dyDescent="0.35">
      <c r="A172" s="287" t="s">
        <v>34</v>
      </c>
      <c r="B172" s="292"/>
      <c r="C172" s="210" t="s">
        <v>176</v>
      </c>
      <c r="D172" s="210" t="s">
        <v>2671</v>
      </c>
      <c r="E172" s="210"/>
      <c r="F172" s="210" t="s">
        <v>2672</v>
      </c>
      <c r="G172" s="210" t="str">
        <f t="shared" si="1"/>
        <v>NLOAEL_FIN_CALL_MIN_NLOAEL</v>
      </c>
      <c r="H172" s="210" t="s">
        <v>2516</v>
      </c>
      <c r="I172" s="254">
        <v>200</v>
      </c>
    </row>
    <row r="173" spans="1:9" x14ac:dyDescent="0.35">
      <c r="A173" s="287" t="s">
        <v>34</v>
      </c>
      <c r="B173" s="292"/>
      <c r="C173" s="210" t="s">
        <v>111</v>
      </c>
      <c r="D173" s="210" t="s">
        <v>2671</v>
      </c>
      <c r="E173" s="210"/>
      <c r="F173" s="210" t="s">
        <v>2673</v>
      </c>
      <c r="G173" s="210" t="str">
        <f t="shared" si="1"/>
        <v>NLOAEL_FIN_CALL_SOURCE</v>
      </c>
      <c r="H173" s="210" t="s">
        <v>2516</v>
      </c>
      <c r="I173" s="254">
        <v>200</v>
      </c>
    </row>
    <row r="174" spans="1:9" x14ac:dyDescent="0.35">
      <c r="A174" s="287" t="s">
        <v>34</v>
      </c>
      <c r="B174" s="292"/>
      <c r="C174" s="210" t="s">
        <v>177</v>
      </c>
      <c r="D174" s="210" t="s">
        <v>2671</v>
      </c>
      <c r="E174" s="210"/>
      <c r="F174" s="210" t="s">
        <v>2674</v>
      </c>
      <c r="G174" s="210" t="str">
        <f t="shared" si="1"/>
        <v>NLOAEL_FIN_CALL_REL</v>
      </c>
      <c r="H174" s="210" t="s">
        <v>2516</v>
      </c>
      <c r="I174" s="254">
        <v>200</v>
      </c>
    </row>
    <row r="175" spans="1:9" x14ac:dyDescent="0.35">
      <c r="A175" s="287" t="s">
        <v>34</v>
      </c>
      <c r="B175" s="292"/>
      <c r="C175" s="210" t="s">
        <v>110</v>
      </c>
      <c r="D175" s="210" t="s">
        <v>2671</v>
      </c>
      <c r="E175" s="210"/>
      <c r="F175" s="210" t="s">
        <v>2675</v>
      </c>
      <c r="G175" s="210" t="str">
        <f t="shared" si="1"/>
        <v>NLOAEL_FIN_CALL_EXP_PRED</v>
      </c>
      <c r="H175" s="210" t="s">
        <v>2516</v>
      </c>
      <c r="I175" s="254">
        <v>200</v>
      </c>
    </row>
    <row r="176" spans="1:9" x14ac:dyDescent="0.35">
      <c r="A176" s="287" t="s">
        <v>34</v>
      </c>
      <c r="B176" s="292"/>
      <c r="C176" s="210" t="s">
        <v>112</v>
      </c>
      <c r="D176" s="210" t="s">
        <v>2671</v>
      </c>
      <c r="E176" s="210"/>
      <c r="F176" s="210" t="s">
        <v>2582</v>
      </c>
      <c r="G176" s="210" t="str">
        <f t="shared" si="1"/>
        <v>NLOAEL_FIN_CALL_COMMENTS</v>
      </c>
      <c r="H176" s="210" t="s">
        <v>2516</v>
      </c>
      <c r="I176" s="254">
        <v>200</v>
      </c>
    </row>
    <row r="177" spans="1:9" x14ac:dyDescent="0.35">
      <c r="A177" s="293" t="s">
        <v>35</v>
      </c>
      <c r="B177" s="294"/>
      <c r="C177" s="175" t="s">
        <v>178</v>
      </c>
      <c r="D177" s="175" t="s">
        <v>2676</v>
      </c>
      <c r="E177" s="175"/>
      <c r="F177" s="175" t="s">
        <v>2677</v>
      </c>
      <c r="G177" s="175" t="str">
        <f t="shared" si="1"/>
        <v>UF_SUBCRON_2_CRON</v>
      </c>
      <c r="H177" s="175" t="s">
        <v>2516</v>
      </c>
      <c r="I177" s="259">
        <v>200</v>
      </c>
    </row>
    <row r="178" spans="1:9" x14ac:dyDescent="0.35">
      <c r="A178" s="293" t="s">
        <v>35</v>
      </c>
      <c r="B178" s="294"/>
      <c r="C178" s="175" t="s">
        <v>179</v>
      </c>
      <c r="D178" s="175" t="s">
        <v>2676</v>
      </c>
      <c r="E178" s="175"/>
      <c r="F178" s="175" t="s">
        <v>2678</v>
      </c>
      <c r="G178" s="175" t="str">
        <f t="shared" si="1"/>
        <v>UF_INTER_SPECIES</v>
      </c>
      <c r="H178" s="175" t="s">
        <v>2516</v>
      </c>
      <c r="I178" s="259">
        <v>200</v>
      </c>
    </row>
    <row r="179" spans="1:9" x14ac:dyDescent="0.35">
      <c r="A179" s="293" t="s">
        <v>35</v>
      </c>
      <c r="B179" s="294"/>
      <c r="C179" s="175" t="s">
        <v>180</v>
      </c>
      <c r="D179" s="175" t="s">
        <v>2676</v>
      </c>
      <c r="E179" s="175"/>
      <c r="F179" s="175" t="s">
        <v>2679</v>
      </c>
      <c r="G179" s="175" t="str">
        <f t="shared" si="1"/>
        <v>UF_INTRA_SPECIES</v>
      </c>
      <c r="H179" s="175" t="s">
        <v>2516</v>
      </c>
      <c r="I179" s="259">
        <v>200</v>
      </c>
    </row>
    <row r="180" spans="1:9" x14ac:dyDescent="0.35">
      <c r="A180" s="293" t="s">
        <v>35</v>
      </c>
      <c r="B180" s="294"/>
      <c r="C180" s="175" t="s">
        <v>181</v>
      </c>
      <c r="D180" s="175" t="s">
        <v>2676</v>
      </c>
      <c r="E180" s="175"/>
      <c r="F180" s="175" t="s">
        <v>2680</v>
      </c>
      <c r="G180" s="175" t="str">
        <f t="shared" si="1"/>
        <v>UF_LOAEL_2_NOAEL</v>
      </c>
      <c r="H180" s="175" t="s">
        <v>2516</v>
      </c>
      <c r="I180" s="259">
        <v>200</v>
      </c>
    </row>
    <row r="181" spans="1:9" x14ac:dyDescent="0.35">
      <c r="A181" s="293" t="s">
        <v>35</v>
      </c>
      <c r="B181" s="294"/>
      <c r="C181" s="175" t="s">
        <v>182</v>
      </c>
      <c r="D181" s="175" t="s">
        <v>2676</v>
      </c>
      <c r="E181" s="175"/>
      <c r="F181" s="175" t="s">
        <v>2681</v>
      </c>
      <c r="G181" s="175" t="str">
        <f t="shared" si="1"/>
        <v>UF_DB_UF</v>
      </c>
      <c r="H181" s="175" t="s">
        <v>2516</v>
      </c>
      <c r="I181" s="259">
        <v>200</v>
      </c>
    </row>
    <row r="182" spans="1:9" x14ac:dyDescent="0.35">
      <c r="A182" s="293" t="s">
        <v>35</v>
      </c>
      <c r="B182" s="294"/>
      <c r="C182" s="175" t="s">
        <v>183</v>
      </c>
      <c r="D182" s="175" t="s">
        <v>2676</v>
      </c>
      <c r="E182" s="175"/>
      <c r="F182" s="175" t="s">
        <v>2682</v>
      </c>
      <c r="G182" s="175" t="str">
        <f t="shared" si="1"/>
        <v>UF_SF_APPLIED</v>
      </c>
      <c r="H182" s="175" t="s">
        <v>2516</v>
      </c>
      <c r="I182" s="259">
        <v>200</v>
      </c>
    </row>
    <row r="183" spans="1:9" x14ac:dyDescent="0.35">
      <c r="A183" s="295" t="s">
        <v>36</v>
      </c>
      <c r="B183" s="296"/>
      <c r="C183" s="216" t="s">
        <v>36</v>
      </c>
      <c r="D183" s="216" t="s">
        <v>2683</v>
      </c>
      <c r="E183" s="216"/>
      <c r="F183" s="216"/>
      <c r="G183" s="216" t="str">
        <f t="shared" si="1"/>
        <v>CRAMER_CLASS</v>
      </c>
      <c r="H183" s="216" t="s">
        <v>2516</v>
      </c>
      <c r="I183" s="260">
        <v>200</v>
      </c>
    </row>
    <row r="184" spans="1:9" x14ac:dyDescent="0.35">
      <c r="A184" s="295" t="s">
        <v>36</v>
      </c>
      <c r="B184" s="296"/>
      <c r="C184" s="216" t="s">
        <v>184</v>
      </c>
      <c r="D184" s="216" t="s">
        <v>2684</v>
      </c>
      <c r="E184" s="216"/>
      <c r="F184" s="216"/>
      <c r="G184" s="216" t="str">
        <f t="shared" si="1"/>
        <v>CRAMER_CLASS_WITH_EXT</v>
      </c>
      <c r="H184" s="216" t="s">
        <v>2516</v>
      </c>
      <c r="I184" s="260">
        <v>200</v>
      </c>
    </row>
    <row r="185" spans="1:9" x14ac:dyDescent="0.35">
      <c r="A185" s="297" t="s">
        <v>37</v>
      </c>
      <c r="B185" s="296"/>
      <c r="C185" s="216" t="s">
        <v>2489</v>
      </c>
      <c r="D185" s="216" t="s">
        <v>2685</v>
      </c>
      <c r="E185" s="216"/>
      <c r="F185" s="216"/>
      <c r="G185" s="216" t="str">
        <f t="shared" si="1"/>
        <v>TTC_VALUE</v>
      </c>
      <c r="H185" s="216" t="s">
        <v>2516</v>
      </c>
      <c r="I185" s="260">
        <v>200</v>
      </c>
    </row>
    <row r="186" spans="1:9" x14ac:dyDescent="0.35">
      <c r="A186" s="298" t="s">
        <v>38</v>
      </c>
      <c r="B186" s="299"/>
      <c r="C186" s="228" t="s">
        <v>187</v>
      </c>
      <c r="D186" s="228" t="s">
        <v>2686</v>
      </c>
      <c r="E186" s="228"/>
      <c r="F186" s="228" t="s">
        <v>2687</v>
      </c>
      <c r="G186" s="228" t="str">
        <f t="shared" si="1"/>
        <v>HBGV_EFSA_OFT</v>
      </c>
      <c r="H186" s="228" t="s">
        <v>2516</v>
      </c>
      <c r="I186" s="261">
        <v>200</v>
      </c>
    </row>
    <row r="187" spans="1:9" x14ac:dyDescent="0.35">
      <c r="A187" s="298" t="s">
        <v>38</v>
      </c>
      <c r="B187" s="299"/>
      <c r="C187" s="229" t="s">
        <v>188</v>
      </c>
      <c r="D187" s="228" t="s">
        <v>2686</v>
      </c>
      <c r="E187" s="229"/>
      <c r="F187" s="229">
        <v>1</v>
      </c>
      <c r="G187" s="229" t="str">
        <f t="shared" si="1"/>
        <v>HBGV_1</v>
      </c>
      <c r="H187" s="229" t="s">
        <v>2516</v>
      </c>
      <c r="I187" s="262">
        <v>200</v>
      </c>
    </row>
    <row r="188" spans="1:9" x14ac:dyDescent="0.35">
      <c r="A188" s="298" t="s">
        <v>38</v>
      </c>
      <c r="B188" s="299"/>
      <c r="C188" s="229" t="s">
        <v>189</v>
      </c>
      <c r="D188" s="228" t="s">
        <v>2686</v>
      </c>
      <c r="E188" s="229"/>
      <c r="F188" s="229">
        <v>2</v>
      </c>
      <c r="G188" s="229" t="str">
        <f t="shared" si="1"/>
        <v>HBGV_2</v>
      </c>
      <c r="H188" s="229" t="s">
        <v>2516</v>
      </c>
      <c r="I188" s="262">
        <v>200</v>
      </c>
    </row>
    <row r="189" spans="1:9" x14ac:dyDescent="0.35">
      <c r="A189" s="298" t="s">
        <v>38</v>
      </c>
      <c r="B189" s="300"/>
      <c r="C189" s="229" t="s">
        <v>189</v>
      </c>
      <c r="D189" s="228" t="s">
        <v>2686</v>
      </c>
      <c r="E189" s="229"/>
      <c r="F189" s="229">
        <v>3</v>
      </c>
      <c r="G189" s="229" t="str">
        <f t="shared" si="1"/>
        <v>HBGV_3</v>
      </c>
      <c r="H189" s="229" t="s">
        <v>2516</v>
      </c>
      <c r="I189" s="262">
        <v>200</v>
      </c>
    </row>
    <row r="190" spans="1:9" x14ac:dyDescent="0.35">
      <c r="A190" s="301" t="s">
        <v>39</v>
      </c>
      <c r="B190" s="302"/>
      <c r="C190" s="217" t="s">
        <v>190</v>
      </c>
      <c r="D190" s="217" t="s">
        <v>2688</v>
      </c>
      <c r="E190" s="217"/>
      <c r="F190" s="217">
        <v>1</v>
      </c>
      <c r="G190" s="217" t="str">
        <f t="shared" si="1"/>
        <v>CHEM_SPEC_SBL_1</v>
      </c>
      <c r="H190" s="217" t="s">
        <v>2516</v>
      </c>
      <c r="I190" s="263">
        <v>200</v>
      </c>
    </row>
    <row r="191" spans="1:9" x14ac:dyDescent="0.35">
      <c r="A191" s="301" t="s">
        <v>39</v>
      </c>
      <c r="B191" s="302"/>
      <c r="C191" s="217" t="s">
        <v>191</v>
      </c>
      <c r="D191" s="217" t="s">
        <v>2688</v>
      </c>
      <c r="E191" s="217"/>
      <c r="F191" s="217">
        <v>2</v>
      </c>
      <c r="G191" s="217" t="str">
        <f t="shared" si="1"/>
        <v>CHEM_SPEC_SBL_2</v>
      </c>
      <c r="H191" s="217" t="s">
        <v>2516</v>
      </c>
      <c r="I191" s="263">
        <v>200</v>
      </c>
    </row>
    <row r="192" spans="1:9" x14ac:dyDescent="0.35">
      <c r="A192" s="301" t="s">
        <v>39</v>
      </c>
      <c r="B192" s="302"/>
      <c r="C192" s="217" t="s">
        <v>192</v>
      </c>
      <c r="D192" s="217" t="s">
        <v>2688</v>
      </c>
      <c r="E192" s="217"/>
      <c r="F192" s="217">
        <v>3</v>
      </c>
      <c r="G192" s="217" t="str">
        <f t="shared" si="1"/>
        <v>CHEM_SPEC_SBL_3</v>
      </c>
      <c r="H192" s="217" t="s">
        <v>2516</v>
      </c>
      <c r="I192" s="263">
        <v>200</v>
      </c>
    </row>
    <row r="193" spans="1:9" x14ac:dyDescent="0.35">
      <c r="A193" s="301" t="s">
        <v>39</v>
      </c>
      <c r="B193" s="302"/>
      <c r="C193" s="217" t="s">
        <v>193</v>
      </c>
      <c r="D193" s="217" t="s">
        <v>2688</v>
      </c>
      <c r="E193" s="217"/>
      <c r="F193" s="217">
        <v>4</v>
      </c>
      <c r="G193" s="217" t="str">
        <f t="shared" si="1"/>
        <v>CHEM_SPEC_SBL_4</v>
      </c>
      <c r="H193" s="217" t="s">
        <v>2516</v>
      </c>
      <c r="I193" s="263">
        <v>200</v>
      </c>
    </row>
    <row r="194" spans="1:9" x14ac:dyDescent="0.35">
      <c r="A194" s="301" t="s">
        <v>40</v>
      </c>
      <c r="B194" s="302"/>
      <c r="C194" s="217" t="s">
        <v>190</v>
      </c>
      <c r="D194" s="217" t="s">
        <v>2689</v>
      </c>
      <c r="E194" s="217"/>
      <c r="F194" s="217">
        <v>1</v>
      </c>
      <c r="G194" s="217" t="str">
        <f t="shared" si="1"/>
        <v>TTC_DERIVED_SBL_1</v>
      </c>
      <c r="H194" s="217" t="s">
        <v>2516</v>
      </c>
      <c r="I194" s="263">
        <v>200</v>
      </c>
    </row>
    <row r="195" spans="1:9" x14ac:dyDescent="0.35">
      <c r="A195" s="301" t="s">
        <v>40</v>
      </c>
      <c r="B195" s="302"/>
      <c r="C195" s="217" t="s">
        <v>191</v>
      </c>
      <c r="D195" s="217" t="s">
        <v>2689</v>
      </c>
      <c r="E195" s="217"/>
      <c r="F195" s="217">
        <v>2</v>
      </c>
      <c r="G195" s="217" t="str">
        <f t="shared" ref="G195:G233" si="2">_xlfn.CONCAT(D195:F195)</f>
        <v>TTC_DERIVED_SBL_2</v>
      </c>
      <c r="H195" s="217" t="s">
        <v>2516</v>
      </c>
      <c r="I195" s="263">
        <v>200</v>
      </c>
    </row>
    <row r="196" spans="1:9" x14ac:dyDescent="0.35">
      <c r="A196" s="301" t="s">
        <v>40</v>
      </c>
      <c r="B196" s="302"/>
      <c r="C196" s="217" t="s">
        <v>192</v>
      </c>
      <c r="D196" s="217" t="s">
        <v>2689</v>
      </c>
      <c r="E196" s="217"/>
      <c r="F196" s="217">
        <v>3</v>
      </c>
      <c r="G196" s="217" t="str">
        <f t="shared" si="2"/>
        <v>TTC_DERIVED_SBL_3</v>
      </c>
      <c r="H196" s="217" t="s">
        <v>2516</v>
      </c>
      <c r="I196" s="263">
        <v>200</v>
      </c>
    </row>
    <row r="197" spans="1:9" x14ac:dyDescent="0.35">
      <c r="A197" s="301" t="s">
        <v>40</v>
      </c>
      <c r="B197" s="302"/>
      <c r="C197" s="217" t="s">
        <v>193</v>
      </c>
      <c r="D197" s="217" t="s">
        <v>2689</v>
      </c>
      <c r="E197" s="217"/>
      <c r="F197" s="217">
        <v>4</v>
      </c>
      <c r="G197" s="217" t="str">
        <f t="shared" si="2"/>
        <v>TTC_DERIVED_SBL_4</v>
      </c>
      <c r="H197" s="217" t="s">
        <v>2516</v>
      </c>
      <c r="I197" s="263">
        <v>200</v>
      </c>
    </row>
    <row r="198" spans="1:9" x14ac:dyDescent="0.35">
      <c r="A198" s="303" t="s">
        <v>41</v>
      </c>
      <c r="B198" s="304"/>
      <c r="C198" s="178" t="s">
        <v>196</v>
      </c>
      <c r="D198" s="178" t="s">
        <v>2690</v>
      </c>
      <c r="E198" s="178"/>
      <c r="F198" s="178" t="s">
        <v>2691</v>
      </c>
      <c r="G198" s="178" t="str">
        <f t="shared" si="2"/>
        <v>DART_EXP_TOX_MODEL</v>
      </c>
      <c r="H198" s="178" t="s">
        <v>2516</v>
      </c>
      <c r="I198" s="264">
        <v>200</v>
      </c>
    </row>
    <row r="199" spans="1:9" x14ac:dyDescent="0.35">
      <c r="A199" s="303" t="s">
        <v>41</v>
      </c>
      <c r="B199" s="304"/>
      <c r="C199" s="178" t="s">
        <v>2692</v>
      </c>
      <c r="D199" s="178" t="s">
        <v>2690</v>
      </c>
      <c r="E199" s="178"/>
      <c r="F199" s="178" t="s">
        <v>2693</v>
      </c>
      <c r="G199" s="178" t="str">
        <f t="shared" si="2"/>
        <v>DART_EXP_TOX_LIBRARY</v>
      </c>
      <c r="H199" s="178" t="s">
        <v>2516</v>
      </c>
      <c r="I199" s="264">
        <v>200</v>
      </c>
    </row>
    <row r="200" spans="1:9" x14ac:dyDescent="0.35">
      <c r="A200" s="303" t="s">
        <v>42</v>
      </c>
      <c r="B200" s="304"/>
      <c r="C200" s="178" t="s">
        <v>196</v>
      </c>
      <c r="D200" s="178" t="s">
        <v>2694</v>
      </c>
      <c r="E200" s="178"/>
      <c r="F200" s="178" t="s">
        <v>2691</v>
      </c>
      <c r="G200" s="178" t="str">
        <f t="shared" si="2"/>
        <v>DART_PRED_TOX_MODEL</v>
      </c>
      <c r="H200" s="178" t="s">
        <v>2516</v>
      </c>
      <c r="I200" s="264">
        <v>200</v>
      </c>
    </row>
    <row r="201" spans="1:9" x14ac:dyDescent="0.35">
      <c r="A201" s="303" t="s">
        <v>42</v>
      </c>
      <c r="B201" s="304"/>
      <c r="C201" s="178" t="s">
        <v>91</v>
      </c>
      <c r="D201" s="178" t="s">
        <v>2694</v>
      </c>
      <c r="E201" s="178"/>
      <c r="F201" s="178" t="s">
        <v>2695</v>
      </c>
      <c r="G201" s="178" t="str">
        <f t="shared" si="2"/>
        <v>DART_PRED_TOX_MODEL_REL</v>
      </c>
      <c r="H201" s="178" t="s">
        <v>2516</v>
      </c>
      <c r="I201" s="264">
        <v>200</v>
      </c>
    </row>
    <row r="202" spans="1:9" x14ac:dyDescent="0.35">
      <c r="A202" s="303" t="s">
        <v>42</v>
      </c>
      <c r="B202" s="304"/>
      <c r="C202" s="178" t="s">
        <v>2692</v>
      </c>
      <c r="D202" s="178" t="s">
        <v>2694</v>
      </c>
      <c r="E202" s="178"/>
      <c r="F202" s="178" t="s">
        <v>2693</v>
      </c>
      <c r="G202" s="178" t="str">
        <f t="shared" si="2"/>
        <v>DART_PRED_TOX_LIBRARY</v>
      </c>
      <c r="H202" s="178" t="s">
        <v>2516</v>
      </c>
      <c r="I202" s="264">
        <v>200</v>
      </c>
    </row>
    <row r="203" spans="1:9" x14ac:dyDescent="0.35">
      <c r="A203" s="303" t="s">
        <v>42</v>
      </c>
      <c r="B203" s="304"/>
      <c r="C203" s="178" t="s">
        <v>91</v>
      </c>
      <c r="D203" s="178" t="s">
        <v>2694</v>
      </c>
      <c r="E203" s="178"/>
      <c r="F203" s="178" t="s">
        <v>2696</v>
      </c>
      <c r="G203" s="178" t="str">
        <f t="shared" si="2"/>
        <v>DART_PRED_TOX_LIBRARY_REL</v>
      </c>
      <c r="H203" s="178" t="s">
        <v>2516</v>
      </c>
      <c r="I203" s="264">
        <v>200</v>
      </c>
    </row>
    <row r="204" spans="1:9" x14ac:dyDescent="0.35">
      <c r="A204" s="303" t="s">
        <v>42</v>
      </c>
      <c r="B204" s="304"/>
      <c r="C204" s="178" t="s">
        <v>198</v>
      </c>
      <c r="D204" s="178" t="s">
        <v>2694</v>
      </c>
      <c r="E204" s="178"/>
      <c r="F204" s="178" t="s">
        <v>2697</v>
      </c>
      <c r="G204" s="178" t="str">
        <f t="shared" si="2"/>
        <v>DART_PRED_QSAR_TOOLBOX</v>
      </c>
      <c r="H204" s="178" t="s">
        <v>2516</v>
      </c>
      <c r="I204" s="264">
        <v>200</v>
      </c>
    </row>
    <row r="205" spans="1:9" x14ac:dyDescent="0.35">
      <c r="A205" s="305" t="s">
        <v>43</v>
      </c>
      <c r="B205" s="306"/>
      <c r="C205" s="179" t="s">
        <v>199</v>
      </c>
      <c r="D205" s="179" t="s">
        <v>2698</v>
      </c>
      <c r="E205" s="179"/>
      <c r="F205" s="179" t="s">
        <v>2699</v>
      </c>
      <c r="G205" s="179" t="str">
        <f t="shared" si="2"/>
        <v>ERAR_EXP_ESTROGEN_EFFECT</v>
      </c>
      <c r="H205" s="179" t="s">
        <v>2516</v>
      </c>
      <c r="I205" s="265">
        <v>200</v>
      </c>
    </row>
    <row r="206" spans="1:9" x14ac:dyDescent="0.35">
      <c r="A206" s="305" t="s">
        <v>43</v>
      </c>
      <c r="B206" s="306"/>
      <c r="C206" s="179" t="s">
        <v>200</v>
      </c>
      <c r="D206" s="179" t="s">
        <v>2698</v>
      </c>
      <c r="E206" s="179"/>
      <c r="F206" s="179" t="s">
        <v>2700</v>
      </c>
      <c r="G206" s="179" t="str">
        <f t="shared" si="2"/>
        <v>ERAR_EXP_ESTROGEN_BINDING_AFF</v>
      </c>
      <c r="H206" s="179" t="s">
        <v>2516</v>
      </c>
      <c r="I206" s="265">
        <v>200</v>
      </c>
    </row>
    <row r="207" spans="1:9" x14ac:dyDescent="0.35">
      <c r="A207" s="305" t="s">
        <v>43</v>
      </c>
      <c r="B207" s="306"/>
      <c r="C207" s="179" t="s">
        <v>201</v>
      </c>
      <c r="D207" s="179" t="s">
        <v>2698</v>
      </c>
      <c r="E207" s="179"/>
      <c r="F207" s="179" t="s">
        <v>2701</v>
      </c>
      <c r="G207" s="179" t="str">
        <f t="shared" si="2"/>
        <v>ERAR_EXP_ANDROGEN_AFFECT</v>
      </c>
      <c r="H207" s="179" t="s">
        <v>2516</v>
      </c>
      <c r="I207" s="265">
        <v>200</v>
      </c>
    </row>
    <row r="208" spans="1:9" x14ac:dyDescent="0.35">
      <c r="A208" s="305" t="s">
        <v>43</v>
      </c>
      <c r="B208" s="306"/>
      <c r="C208" s="179" t="s">
        <v>202</v>
      </c>
      <c r="D208" s="179" t="s">
        <v>2698</v>
      </c>
      <c r="E208" s="179"/>
      <c r="F208" s="179" t="s">
        <v>2702</v>
      </c>
      <c r="G208" s="179" t="str">
        <f t="shared" si="2"/>
        <v>ERAR_EXP_OTHER</v>
      </c>
      <c r="H208" s="179" t="s">
        <v>2516</v>
      </c>
      <c r="I208" s="265">
        <v>200</v>
      </c>
    </row>
    <row r="209" spans="1:9" x14ac:dyDescent="0.35">
      <c r="A209" s="305" t="s">
        <v>43</v>
      </c>
      <c r="B209" s="306"/>
      <c r="C209" s="179" t="s">
        <v>203</v>
      </c>
      <c r="D209" s="179" t="s">
        <v>2698</v>
      </c>
      <c r="E209" s="179"/>
      <c r="F209" s="179" t="s">
        <v>2673</v>
      </c>
      <c r="G209" s="179" t="str">
        <f t="shared" si="2"/>
        <v>ERAR_EXP_SOURCE</v>
      </c>
      <c r="H209" s="179" t="s">
        <v>2516</v>
      </c>
      <c r="I209" s="265">
        <v>200</v>
      </c>
    </row>
    <row r="210" spans="1:9" x14ac:dyDescent="0.35">
      <c r="A210" s="305" t="s">
        <v>44</v>
      </c>
      <c r="B210" s="306"/>
      <c r="C210" s="179" t="s">
        <v>199</v>
      </c>
      <c r="D210" s="179" t="s">
        <v>2703</v>
      </c>
      <c r="E210" s="179"/>
      <c r="F210" s="179" t="s">
        <v>2699</v>
      </c>
      <c r="G210" s="179" t="str">
        <f t="shared" si="2"/>
        <v>ERAR_PRED_ESTROGEN_EFFECT</v>
      </c>
      <c r="H210" s="179" t="s">
        <v>2516</v>
      </c>
      <c r="I210" s="265">
        <v>200</v>
      </c>
    </row>
    <row r="211" spans="1:9" x14ac:dyDescent="0.35">
      <c r="A211" s="305" t="s">
        <v>44</v>
      </c>
      <c r="B211" s="306"/>
      <c r="C211" s="179" t="s">
        <v>91</v>
      </c>
      <c r="D211" s="179" t="s">
        <v>2703</v>
      </c>
      <c r="E211" s="179"/>
      <c r="F211" s="179" t="s">
        <v>2704</v>
      </c>
      <c r="G211" s="179" t="str">
        <f t="shared" si="2"/>
        <v>ERAR_PRED_ESTROGEN_EFFECT_REL</v>
      </c>
      <c r="H211" s="179" t="s">
        <v>2516</v>
      </c>
      <c r="I211" s="265">
        <v>200</v>
      </c>
    </row>
    <row r="212" spans="1:9" x14ac:dyDescent="0.35">
      <c r="A212" s="305" t="s">
        <v>44</v>
      </c>
      <c r="B212" s="306"/>
      <c r="C212" s="179" t="s">
        <v>200</v>
      </c>
      <c r="D212" s="179" t="s">
        <v>2703</v>
      </c>
      <c r="E212" s="179"/>
      <c r="F212" s="179" t="s">
        <v>2700</v>
      </c>
      <c r="G212" s="179" t="str">
        <f t="shared" si="2"/>
        <v>ERAR_PRED_ESTROGEN_BINDING_AFF</v>
      </c>
      <c r="H212" s="179" t="s">
        <v>2516</v>
      </c>
      <c r="I212" s="265">
        <v>200</v>
      </c>
    </row>
    <row r="213" spans="1:9" x14ac:dyDescent="0.35">
      <c r="A213" s="305" t="s">
        <v>44</v>
      </c>
      <c r="B213" s="306"/>
      <c r="C213" s="179" t="s">
        <v>91</v>
      </c>
      <c r="D213" s="179" t="s">
        <v>2703</v>
      </c>
      <c r="E213" s="179"/>
      <c r="F213" s="179" t="s">
        <v>2705</v>
      </c>
      <c r="G213" s="179" t="str">
        <f t="shared" si="2"/>
        <v>ERAR_PRED_ESTROGEN_BINDING_AFF_REL</v>
      </c>
      <c r="H213" s="179" t="s">
        <v>2516</v>
      </c>
      <c r="I213" s="265">
        <v>200</v>
      </c>
    </row>
    <row r="214" spans="1:9" x14ac:dyDescent="0.35">
      <c r="A214" s="305" t="s">
        <v>44</v>
      </c>
      <c r="B214" s="306"/>
      <c r="C214" s="179" t="s">
        <v>201</v>
      </c>
      <c r="D214" s="179" t="s">
        <v>2703</v>
      </c>
      <c r="E214" s="179"/>
      <c r="F214" s="179" t="s">
        <v>2701</v>
      </c>
      <c r="G214" s="179" t="str">
        <f t="shared" si="2"/>
        <v>ERAR_PRED_ANDROGEN_AFFECT</v>
      </c>
      <c r="H214" s="179" t="s">
        <v>2516</v>
      </c>
      <c r="I214" s="265">
        <v>200</v>
      </c>
    </row>
    <row r="215" spans="1:9" x14ac:dyDescent="0.35">
      <c r="A215" s="305" t="s">
        <v>44</v>
      </c>
      <c r="B215" s="306"/>
      <c r="C215" s="230" t="s">
        <v>91</v>
      </c>
      <c r="D215" s="179" t="s">
        <v>2703</v>
      </c>
      <c r="E215" s="230"/>
      <c r="F215" s="179" t="s">
        <v>2706</v>
      </c>
      <c r="G215" s="230" t="str">
        <f t="shared" si="2"/>
        <v>ERAR_PRED_ANDROGEN_AFFECT_REL</v>
      </c>
      <c r="H215" s="230" t="s">
        <v>2516</v>
      </c>
      <c r="I215" s="266">
        <v>200</v>
      </c>
    </row>
    <row r="216" spans="1:9" x14ac:dyDescent="0.35">
      <c r="A216" s="305" t="s">
        <v>44</v>
      </c>
      <c r="B216" s="306"/>
      <c r="C216" s="179" t="s">
        <v>204</v>
      </c>
      <c r="D216" s="179" t="s">
        <v>2703</v>
      </c>
      <c r="E216" s="179"/>
      <c r="F216" s="179" t="s">
        <v>2707</v>
      </c>
      <c r="G216" s="179" t="str">
        <f t="shared" si="2"/>
        <v>ERAR_PRED_ESTROGEN_QSAR_TOOLBOX</v>
      </c>
      <c r="H216" s="179" t="s">
        <v>2516</v>
      </c>
      <c r="I216" s="265">
        <v>200</v>
      </c>
    </row>
    <row r="217" spans="1:9" x14ac:dyDescent="0.35">
      <c r="A217" s="305" t="s">
        <v>46</v>
      </c>
      <c r="B217" s="307"/>
      <c r="C217" s="179" t="s">
        <v>205</v>
      </c>
      <c r="D217" s="179" t="s">
        <v>2708</v>
      </c>
      <c r="E217" s="179"/>
      <c r="F217" s="179" t="s">
        <v>2709</v>
      </c>
      <c r="G217" s="179" t="str">
        <f t="shared" si="2"/>
        <v>THYROID_RECPT_PRED_THYROID_ALPHA</v>
      </c>
      <c r="H217" s="179" t="s">
        <v>2516</v>
      </c>
      <c r="I217" s="265">
        <v>200</v>
      </c>
    </row>
    <row r="218" spans="1:9" x14ac:dyDescent="0.35">
      <c r="A218" s="305" t="s">
        <v>46</v>
      </c>
      <c r="B218" s="307"/>
      <c r="C218" s="179" t="s">
        <v>91</v>
      </c>
      <c r="D218" s="179" t="s">
        <v>2708</v>
      </c>
      <c r="E218" s="179"/>
      <c r="F218" s="179" t="s">
        <v>2710</v>
      </c>
      <c r="G218" s="179" t="str">
        <f t="shared" si="2"/>
        <v>THYROID_RECPT_PRED_THYROID_ALPHA_REL</v>
      </c>
      <c r="H218" s="179" t="s">
        <v>2516</v>
      </c>
      <c r="I218" s="265">
        <v>200</v>
      </c>
    </row>
    <row r="219" spans="1:9" x14ac:dyDescent="0.35">
      <c r="A219" s="305" t="s">
        <v>46</v>
      </c>
      <c r="B219" s="307"/>
      <c r="C219" s="179" t="s">
        <v>206</v>
      </c>
      <c r="D219" s="179" t="s">
        <v>2708</v>
      </c>
      <c r="E219" s="179"/>
      <c r="F219" s="179" t="s">
        <v>2711</v>
      </c>
      <c r="G219" s="179" t="str">
        <f t="shared" si="2"/>
        <v>THYROID_RECPT_PRED_THYROID_BETA</v>
      </c>
      <c r="H219" s="179" t="s">
        <v>2516</v>
      </c>
      <c r="I219" s="265">
        <v>200</v>
      </c>
    </row>
    <row r="220" spans="1:9" x14ac:dyDescent="0.35">
      <c r="A220" s="305" t="s">
        <v>46</v>
      </c>
      <c r="B220" s="307"/>
      <c r="C220" s="231" t="s">
        <v>91</v>
      </c>
      <c r="D220" s="179" t="s">
        <v>2708</v>
      </c>
      <c r="E220" s="231"/>
      <c r="F220" s="179" t="s">
        <v>2712</v>
      </c>
      <c r="G220" s="231" t="str">
        <f t="shared" si="2"/>
        <v>THYROID_RECPT_PRED_THYROID_BETA_REL</v>
      </c>
      <c r="H220" s="231" t="s">
        <v>2516</v>
      </c>
      <c r="I220" s="267">
        <v>200</v>
      </c>
    </row>
    <row r="221" spans="1:9" x14ac:dyDescent="0.35">
      <c r="A221" s="305" t="s">
        <v>45</v>
      </c>
      <c r="B221" s="307"/>
      <c r="C221" s="231" t="s">
        <v>205</v>
      </c>
      <c r="D221" s="179" t="s">
        <v>2713</v>
      </c>
      <c r="E221" s="231"/>
      <c r="F221" s="179" t="s">
        <v>2709</v>
      </c>
      <c r="G221" s="231" t="str">
        <f t="shared" si="2"/>
        <v>THYROID_RECPT_EXP_THYROID_ALPHA</v>
      </c>
      <c r="H221" s="231" t="s">
        <v>2516</v>
      </c>
      <c r="I221" s="267">
        <v>200</v>
      </c>
    </row>
    <row r="222" spans="1:9" x14ac:dyDescent="0.35">
      <c r="A222" s="305" t="s">
        <v>45</v>
      </c>
      <c r="B222" s="307"/>
      <c r="C222" s="231" t="s">
        <v>206</v>
      </c>
      <c r="D222" s="179" t="s">
        <v>2713</v>
      </c>
      <c r="E222" s="231"/>
      <c r="F222" s="179" t="s">
        <v>2711</v>
      </c>
      <c r="G222" s="231" t="str">
        <f t="shared" si="2"/>
        <v>THYROID_RECPT_EXP_THYROID_BETA</v>
      </c>
      <c r="H222" s="231" t="s">
        <v>2516</v>
      </c>
      <c r="I222" s="267">
        <v>200</v>
      </c>
    </row>
    <row r="223" spans="1:9" x14ac:dyDescent="0.35">
      <c r="A223" s="305" t="s">
        <v>45</v>
      </c>
      <c r="B223" s="307"/>
      <c r="C223" s="231" t="s">
        <v>207</v>
      </c>
      <c r="D223" s="179" t="s">
        <v>2713</v>
      </c>
      <c r="E223" s="231"/>
      <c r="F223" s="231" t="s">
        <v>2702</v>
      </c>
      <c r="G223" s="231" t="str">
        <f t="shared" si="2"/>
        <v>THYROID_RECPT_EXP_OTHER</v>
      </c>
      <c r="H223" s="231" t="s">
        <v>2516</v>
      </c>
      <c r="I223" s="267">
        <v>200</v>
      </c>
    </row>
    <row r="224" spans="1:9" x14ac:dyDescent="0.35">
      <c r="A224" s="305" t="s">
        <v>48</v>
      </c>
      <c r="B224" s="306"/>
      <c r="C224" s="231" t="s">
        <v>208</v>
      </c>
      <c r="D224" s="231" t="s">
        <v>2714</v>
      </c>
      <c r="E224" s="231"/>
      <c r="F224" s="231" t="s">
        <v>2715</v>
      </c>
      <c r="G224" s="231" t="str">
        <f t="shared" si="2"/>
        <v>AROMATASE_PRED_ACTIVITY_1</v>
      </c>
      <c r="H224" s="231" t="s">
        <v>2516</v>
      </c>
      <c r="I224" s="267">
        <v>200</v>
      </c>
    </row>
    <row r="225" spans="1:9" x14ac:dyDescent="0.35">
      <c r="A225" s="305" t="s">
        <v>48</v>
      </c>
      <c r="B225" s="306"/>
      <c r="C225" s="231" t="s">
        <v>91</v>
      </c>
      <c r="D225" s="231" t="s">
        <v>2714</v>
      </c>
      <c r="E225" s="231"/>
      <c r="F225" s="231" t="s">
        <v>2716</v>
      </c>
      <c r="G225" s="231" t="str">
        <f t="shared" si="2"/>
        <v>AROMATASE_PRED_ACTIVITY_1_REL</v>
      </c>
      <c r="H225" s="231" t="s">
        <v>2516</v>
      </c>
      <c r="I225" s="267">
        <v>200</v>
      </c>
    </row>
    <row r="226" spans="1:9" x14ac:dyDescent="0.35">
      <c r="A226" s="305" t="s">
        <v>48</v>
      </c>
      <c r="B226" s="306"/>
      <c r="C226" s="231" t="s">
        <v>208</v>
      </c>
      <c r="D226" s="231" t="s">
        <v>2714</v>
      </c>
      <c r="E226" s="231"/>
      <c r="F226" s="231" t="s">
        <v>2717</v>
      </c>
      <c r="G226" s="231" t="str">
        <f t="shared" si="2"/>
        <v>AROMATASE_PRED_ACTIVITY_2</v>
      </c>
      <c r="H226" s="231" t="s">
        <v>2516</v>
      </c>
      <c r="I226" s="267">
        <v>200</v>
      </c>
    </row>
    <row r="227" spans="1:9" x14ac:dyDescent="0.35">
      <c r="A227" s="305" t="s">
        <v>48</v>
      </c>
      <c r="B227" s="306"/>
      <c r="C227" s="231" t="s">
        <v>91</v>
      </c>
      <c r="D227" s="231" t="s">
        <v>2714</v>
      </c>
      <c r="E227" s="231"/>
      <c r="F227" s="231" t="s">
        <v>2718</v>
      </c>
      <c r="G227" s="231" t="str">
        <f t="shared" si="2"/>
        <v>AROMATASE_PRED_ACTIVITY_2_REL</v>
      </c>
      <c r="H227" s="231" t="s">
        <v>2516</v>
      </c>
      <c r="I227" s="267">
        <v>200</v>
      </c>
    </row>
    <row r="228" spans="1:9" ht="14.25" customHeight="1" x14ac:dyDescent="0.35">
      <c r="A228" s="305" t="s">
        <v>47</v>
      </c>
      <c r="B228" s="306"/>
      <c r="C228" s="231" t="s">
        <v>208</v>
      </c>
      <c r="D228" s="231" t="s">
        <v>2719</v>
      </c>
      <c r="E228" s="231"/>
      <c r="F228" s="231" t="s">
        <v>2715</v>
      </c>
      <c r="G228" s="231" t="str">
        <f t="shared" si="2"/>
        <v>AROMATASE_EXP_ACTIVITY_1</v>
      </c>
      <c r="H228" s="231" t="s">
        <v>2516</v>
      </c>
      <c r="I228" s="267">
        <v>200</v>
      </c>
    </row>
    <row r="229" spans="1:9" ht="14.25" customHeight="1" x14ac:dyDescent="0.35">
      <c r="A229" s="305" t="s">
        <v>47</v>
      </c>
      <c r="B229" s="306"/>
      <c r="C229" s="231" t="s">
        <v>208</v>
      </c>
      <c r="D229" s="231" t="s">
        <v>2719</v>
      </c>
      <c r="E229" s="231"/>
      <c r="F229" s="231" t="s">
        <v>2717</v>
      </c>
      <c r="G229" s="231" t="str">
        <f t="shared" si="2"/>
        <v>AROMATASE_EXP_ACTIVITY_2</v>
      </c>
      <c r="H229" s="231" t="s">
        <v>2516</v>
      </c>
      <c r="I229" s="267">
        <v>200</v>
      </c>
    </row>
    <row r="230" spans="1:9" ht="14.25" customHeight="1" x14ac:dyDescent="0.35">
      <c r="A230" s="305" t="s">
        <v>49</v>
      </c>
      <c r="B230" s="308"/>
      <c r="C230" s="231" t="s">
        <v>2720</v>
      </c>
      <c r="D230" s="231" t="s">
        <v>2721</v>
      </c>
      <c r="E230" s="231"/>
      <c r="F230" s="231" t="s">
        <v>2722</v>
      </c>
      <c r="G230" s="231" t="str">
        <f t="shared" si="2"/>
        <v>ENDOCRINE_DISRUPT_EXP_SCREENING</v>
      </c>
      <c r="H230" s="231" t="s">
        <v>2516</v>
      </c>
      <c r="I230" s="267">
        <v>200</v>
      </c>
    </row>
    <row r="231" spans="1:9" ht="14.25" customHeight="1" x14ac:dyDescent="0.35">
      <c r="A231" s="305" t="s">
        <v>49</v>
      </c>
      <c r="B231" s="308"/>
      <c r="C231" s="232" t="s">
        <v>91</v>
      </c>
      <c r="D231" s="231" t="s">
        <v>2721</v>
      </c>
      <c r="E231" s="232"/>
      <c r="F231" s="231" t="s">
        <v>2723</v>
      </c>
      <c r="G231" s="232" t="str">
        <f t="shared" si="2"/>
        <v>ENDOCRINE_DISRUPT_EXP_SCREENING_REL</v>
      </c>
      <c r="H231" s="232" t="s">
        <v>2516</v>
      </c>
      <c r="I231" s="268">
        <v>200</v>
      </c>
    </row>
    <row r="232" spans="1:9" x14ac:dyDescent="0.35">
      <c r="A232" s="305" t="s">
        <v>50</v>
      </c>
      <c r="B232" s="308"/>
      <c r="C232" s="231" t="s">
        <v>2720</v>
      </c>
      <c r="D232" s="231" t="s">
        <v>2724</v>
      </c>
      <c r="E232" s="231"/>
      <c r="F232" s="231" t="s">
        <v>2722</v>
      </c>
      <c r="G232" s="231" t="str">
        <f t="shared" si="2"/>
        <v>ENDOCRINE_DISRUPT_PRED_SCREENING</v>
      </c>
      <c r="H232" s="231" t="s">
        <v>2516</v>
      </c>
      <c r="I232" s="267">
        <v>200</v>
      </c>
    </row>
    <row r="233" spans="1:9" x14ac:dyDescent="0.35">
      <c r="A233" s="305" t="s">
        <v>50</v>
      </c>
      <c r="B233" s="308"/>
      <c r="C233" s="232" t="s">
        <v>91</v>
      </c>
      <c r="D233" s="231" t="s">
        <v>2724</v>
      </c>
      <c r="E233" s="232"/>
      <c r="F233" s="231" t="s">
        <v>2723</v>
      </c>
      <c r="G233" s="232" t="str">
        <f t="shared" si="2"/>
        <v>ENDOCRINE_DISRUPT_PRED_SCREENING_REL</v>
      </c>
      <c r="H233" s="232" t="s">
        <v>2516</v>
      </c>
      <c r="I233" s="268">
        <v>200</v>
      </c>
    </row>
  </sheetData>
  <phoneticPr fontId="7" type="noConversion"/>
  <conditionalFormatting sqref="A3:A12">
    <cfRule type="containsText" dxfId="16" priority="8" operator="containsText" text="POS">
      <formula>NOT(ISERROR(SEARCH("POS",A3)))</formula>
    </cfRule>
  </conditionalFormatting>
  <conditionalFormatting sqref="A19:A59">
    <cfRule type="containsText" dxfId="14" priority="4" operator="containsText" text="POS">
      <formula>NOT(ISERROR(SEARCH("POS",A19)))</formula>
    </cfRule>
  </conditionalFormatting>
  <conditionalFormatting sqref="A18:B18 B19:B25">
    <cfRule type="containsText" dxfId="12" priority="10" operator="containsText" text="POS">
      <formula>NOT(ISERROR(SEARCH("POS",A18)))</formula>
    </cfRule>
  </conditionalFormatting>
  <conditionalFormatting sqref="B39:B48">
    <cfRule type="containsText" dxfId="10" priority="6" operator="containsText" text="POS">
      <formula>NOT(ISERROR(SEARCH("POS",B39)))</formula>
    </cfRule>
  </conditionalFormatting>
  <conditionalFormatting sqref="G1 G3:G65">
    <cfRule type="duplicateValues" dxfId="9" priority="2"/>
  </conditionalFormatting>
  <conditionalFormatting sqref="G3:G233">
    <cfRule type="duplicateValues" dxfId="8" priority="1"/>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beginsWith" priority="7" operator="beginsWith" id="{D330074D-8C86-41A1-9B23-1B2FFFCD6530}">
            <xm:f>LEFT(A3,LEN("-"))="-"</xm:f>
            <xm:f>"-"</xm:f>
            <x14:dxf>
              <fill>
                <patternFill patternType="lightHorizontal">
                  <bgColor theme="0" tint="-4.9989318521683403E-2"/>
                </patternFill>
              </fill>
            </x14:dxf>
          </x14:cfRule>
          <xm:sqref>A3:A12</xm:sqref>
        </x14:conditionalFormatting>
        <x14:conditionalFormatting xmlns:xm="http://schemas.microsoft.com/office/excel/2006/main">
          <x14:cfRule type="beginsWith" priority="3" operator="beginsWith" id="{1ADC53FC-086D-4827-B008-F2849A53D978}">
            <xm:f>LEFT(A19,LEN("-"))="-"</xm:f>
            <xm:f>"-"</xm:f>
            <x14:dxf>
              <fill>
                <patternFill patternType="lightHorizontal">
                  <bgColor theme="0" tint="-4.9989318521683403E-2"/>
                </patternFill>
              </fill>
            </x14:dxf>
          </x14:cfRule>
          <xm:sqref>A19:A59</xm:sqref>
        </x14:conditionalFormatting>
        <x14:conditionalFormatting xmlns:xm="http://schemas.microsoft.com/office/excel/2006/main">
          <x14:cfRule type="beginsWith" priority="9" operator="beginsWith" id="{0981544E-B287-4692-B5E5-854987DFA286}">
            <xm:f>LEFT(A18,LEN("-"))="-"</xm:f>
            <xm:f>"-"</xm:f>
            <x14:dxf>
              <fill>
                <patternFill patternType="lightHorizontal">
                  <bgColor theme="0" tint="-4.9989318521683403E-2"/>
                </patternFill>
              </fill>
            </x14:dxf>
          </x14:cfRule>
          <xm:sqref>A18:B18 B19:B25</xm:sqref>
        </x14:conditionalFormatting>
        <x14:conditionalFormatting xmlns:xm="http://schemas.microsoft.com/office/excel/2006/main">
          <x14:cfRule type="beginsWith" priority="5" operator="beginsWith" id="{73A4B81E-3D3D-4E6A-9A04-9DC13C8EECFD}">
            <xm:f>LEFT(B39,LEN("-"))="-"</xm:f>
            <xm:f>"-"</xm:f>
            <x14:dxf>
              <fill>
                <patternFill patternType="lightHorizontal">
                  <bgColor theme="0" tint="-4.9989318521683403E-2"/>
                </patternFill>
              </fill>
            </x14:dxf>
          </x14:cfRule>
          <xm:sqref>B39:B48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C33ED-CC71-45A6-AC44-9C6D12E9930E}">
  <dimension ref="A1:C8"/>
  <sheetViews>
    <sheetView workbookViewId="0">
      <selection activeCell="A8" sqref="A8"/>
    </sheetView>
  </sheetViews>
  <sheetFormatPr defaultRowHeight="14.5" x14ac:dyDescent="0.35"/>
  <cols>
    <col min="1" max="1" width="63.54296875" customWidth="1"/>
  </cols>
  <sheetData>
    <row r="1" spans="1:3" x14ac:dyDescent="0.35">
      <c r="A1" s="12" t="s">
        <v>2725</v>
      </c>
    </row>
    <row r="2" spans="1:3" x14ac:dyDescent="0.35">
      <c r="A2" t="s">
        <v>2726</v>
      </c>
      <c r="B2" s="12"/>
    </row>
    <row r="3" spans="1:3" x14ac:dyDescent="0.35">
      <c r="A3" t="s">
        <v>2727</v>
      </c>
    </row>
    <row r="4" spans="1:3" x14ac:dyDescent="0.35">
      <c r="A4" s="125" t="s">
        <v>2728</v>
      </c>
      <c r="B4" s="12" t="s">
        <v>2729</v>
      </c>
      <c r="C4" s="12" t="s">
        <v>2730</v>
      </c>
    </row>
    <row r="5" spans="1:3" x14ac:dyDescent="0.35">
      <c r="A5" s="125" t="s">
        <v>2731</v>
      </c>
      <c r="B5" s="12" t="s">
        <v>2732</v>
      </c>
    </row>
    <row r="6" spans="1:3" x14ac:dyDescent="0.35">
      <c r="A6" s="125" t="s">
        <v>2733</v>
      </c>
      <c r="B6" s="12" t="s">
        <v>2734</v>
      </c>
    </row>
    <row r="7" spans="1:3" x14ac:dyDescent="0.35">
      <c r="A7" s="125" t="s">
        <v>2735</v>
      </c>
      <c r="B7" s="12" t="s">
        <v>2736</v>
      </c>
    </row>
    <row r="8" spans="1:3" x14ac:dyDescent="0.35">
      <c r="A8" s="12" t="s">
        <v>2737</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A2A7E-27C6-4F8F-A2B5-2CB8531E7DD0}">
  <dimension ref="A1:L4"/>
  <sheetViews>
    <sheetView workbookViewId="0">
      <selection activeCell="B7" sqref="B7"/>
    </sheetView>
  </sheetViews>
  <sheetFormatPr defaultRowHeight="14.5" x14ac:dyDescent="0.35"/>
  <cols>
    <col min="2" max="2" width="13.54296875" customWidth="1"/>
    <col min="3" max="3" width="19.7265625" customWidth="1"/>
    <col min="4" max="4" width="13.453125" customWidth="1"/>
    <col min="5" max="5" width="24" customWidth="1"/>
    <col min="6" max="6" width="31.1796875" customWidth="1"/>
    <col min="7" max="7" width="19.81640625" customWidth="1"/>
    <col min="8" max="8" width="17.7265625" customWidth="1"/>
    <col min="9" max="9" width="18.1796875" customWidth="1"/>
    <col min="10" max="10" width="19.7265625" customWidth="1"/>
  </cols>
  <sheetData>
    <row r="1" spans="1:12" x14ac:dyDescent="0.35">
      <c r="A1" t="s">
        <v>275</v>
      </c>
      <c r="B1" t="s">
        <v>2738</v>
      </c>
      <c r="C1" s="185" t="s">
        <v>51</v>
      </c>
      <c r="D1" t="s">
        <v>2739</v>
      </c>
      <c r="E1" t="s">
        <v>66</v>
      </c>
      <c r="F1" t="s">
        <v>116</v>
      </c>
      <c r="G1" t="s">
        <v>96</v>
      </c>
      <c r="H1" t="s">
        <v>2740</v>
      </c>
      <c r="I1" t="s">
        <v>2741</v>
      </c>
      <c r="J1" t="s">
        <v>2742</v>
      </c>
      <c r="K1" t="s">
        <v>2743</v>
      </c>
      <c r="L1" t="s">
        <v>2744</v>
      </c>
    </row>
    <row r="2" spans="1:12" x14ac:dyDescent="0.35">
      <c r="A2" t="s">
        <v>2745</v>
      </c>
      <c r="B2" t="s">
        <v>2746</v>
      </c>
      <c r="C2" t="s">
        <v>2747</v>
      </c>
      <c r="D2" t="s">
        <v>2748</v>
      </c>
      <c r="E2" t="s">
        <v>2749</v>
      </c>
      <c r="F2" s="186" t="s">
        <v>2750</v>
      </c>
      <c r="G2" s="186" t="s">
        <v>2751</v>
      </c>
      <c r="H2" t="s">
        <v>2752</v>
      </c>
      <c r="I2" t="s">
        <v>2753</v>
      </c>
      <c r="J2" t="s">
        <v>2754</v>
      </c>
      <c r="K2" t="s">
        <v>2755</v>
      </c>
      <c r="L2" t="s">
        <v>2756</v>
      </c>
    </row>
    <row r="3" spans="1:12" x14ac:dyDescent="0.35">
      <c r="F3" s="190" t="s">
        <v>2757</v>
      </c>
      <c r="G3" t="s">
        <v>2758</v>
      </c>
    </row>
    <row r="4" spans="1:12" x14ac:dyDescent="0.35">
      <c r="G4" s="189" t="s">
        <v>2759</v>
      </c>
    </row>
  </sheetData>
  <hyperlinks>
    <hyperlink ref="F2" r:id="rId1" xr:uid="{DB83CE58-20AC-488F-A15A-901560238D3F}"/>
    <hyperlink ref="G2" r:id="rId2" xr:uid="{B843E86D-69D7-4F1E-807B-54FD1021FEEF}"/>
  </hyperlinks>
  <pageMargins left="0.7" right="0.7" top="0.75" bottom="0.75" header="0.3" footer="0.3"/>
  <pageSetup paperSize="9" orientation="portrait" r:id="rId3"/>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B13AE-F46E-46C6-BB47-D730A05F898B}">
  <dimension ref="A1:B11"/>
  <sheetViews>
    <sheetView workbookViewId="0">
      <selection activeCell="A10" sqref="A10"/>
    </sheetView>
  </sheetViews>
  <sheetFormatPr defaultRowHeight="14.5" x14ac:dyDescent="0.35"/>
  <cols>
    <col min="1" max="1" width="22.26953125" customWidth="1"/>
  </cols>
  <sheetData>
    <row r="1" spans="1:2" x14ac:dyDescent="0.35">
      <c r="A1" s="12" t="s">
        <v>2760</v>
      </c>
    </row>
    <row r="2" spans="1:2" x14ac:dyDescent="0.35">
      <c r="A2" s="12" t="s">
        <v>2761</v>
      </c>
    </row>
    <row r="3" spans="1:2" x14ac:dyDescent="0.35">
      <c r="A3" s="12" t="s">
        <v>2762</v>
      </c>
    </row>
    <row r="4" spans="1:2" x14ac:dyDescent="0.35">
      <c r="A4" s="12" t="s">
        <v>2763</v>
      </c>
    </row>
    <row r="5" spans="1:2" x14ac:dyDescent="0.35">
      <c r="A5" s="12" t="s">
        <v>2764</v>
      </c>
    </row>
    <row r="6" spans="1:2" x14ac:dyDescent="0.35">
      <c r="A6" s="12" t="s">
        <v>2765</v>
      </c>
    </row>
    <row r="7" spans="1:2" x14ac:dyDescent="0.35">
      <c r="A7" s="12" t="s">
        <v>2766</v>
      </c>
    </row>
    <row r="8" spans="1:2" x14ac:dyDescent="0.35">
      <c r="A8" t="s">
        <v>2728</v>
      </c>
      <c r="B8" t="s">
        <v>2729</v>
      </c>
    </row>
    <row r="9" spans="1:2" x14ac:dyDescent="0.35">
      <c r="A9" t="s">
        <v>2731</v>
      </c>
      <c r="B9" t="s">
        <v>2732</v>
      </c>
    </row>
    <row r="10" spans="1:2" x14ac:dyDescent="0.35">
      <c r="A10" t="s">
        <v>2767</v>
      </c>
      <c r="B10" t="s">
        <v>2768</v>
      </c>
    </row>
    <row r="11" spans="1:2" x14ac:dyDescent="0.35">
      <c r="A11" t="s">
        <v>2769</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5C99-DCF2-4CFB-AFEA-B9B5CFF434E7}">
  <dimension ref="A1:HZ16"/>
  <sheetViews>
    <sheetView workbookViewId="0">
      <selection activeCell="Z10" sqref="Z10"/>
    </sheetView>
  </sheetViews>
  <sheetFormatPr defaultRowHeight="14.5" x14ac:dyDescent="0.35"/>
  <cols>
    <col min="1" max="1" width="15.81640625" customWidth="1"/>
    <col min="2" max="2" width="30.54296875" customWidth="1"/>
    <col min="3" max="3" width="13.7265625" customWidth="1"/>
    <col min="4" max="4" width="15.54296875" customWidth="1"/>
    <col min="5" max="5" width="20.54296875" customWidth="1"/>
    <col min="6" max="6" width="17.54296875" customWidth="1"/>
    <col min="7" max="12" width="22.7265625" customWidth="1"/>
    <col min="13" max="14" width="15" style="8" customWidth="1"/>
    <col min="15" max="15" width="14.26953125" style="8" customWidth="1"/>
    <col min="16" max="16" width="9.54296875" customWidth="1"/>
    <col min="17" max="18" width="13.7265625" customWidth="1"/>
    <col min="19" max="19" width="18.1796875" style="2" customWidth="1"/>
    <col min="20" max="20" width="16.81640625" style="2" customWidth="1"/>
    <col min="21" max="21" width="15" style="2" customWidth="1"/>
    <col min="22" max="23" width="12.26953125" style="2" customWidth="1"/>
    <col min="24" max="24" width="17.26953125" style="2" customWidth="1"/>
    <col min="25" max="25" width="12.26953125" style="2" customWidth="1"/>
    <col min="26" max="26" width="18.1796875" style="2" customWidth="1"/>
    <col min="27" max="27" width="30.1796875" style="8" customWidth="1"/>
    <col min="28" max="28" width="18.26953125" style="8" customWidth="1"/>
    <col min="29" max="29" width="24.54296875" style="8" customWidth="1"/>
    <col min="30" max="30" width="11.1796875" style="8" customWidth="1"/>
    <col min="31" max="33" width="14.81640625" style="8" customWidth="1"/>
    <col min="34" max="35" width="12.26953125" style="2" customWidth="1"/>
    <col min="36" max="36" width="16.7265625" style="2" customWidth="1"/>
    <col min="37" max="37" width="12.26953125" style="2" customWidth="1"/>
    <col min="38" max="38" width="13.1796875" style="2" customWidth="1"/>
    <col min="39" max="39" width="15.26953125" style="2" customWidth="1"/>
    <col min="40" max="47" width="12.26953125" style="2" customWidth="1"/>
    <col min="48" max="48" width="15.7265625" style="2" customWidth="1"/>
    <col min="49" max="50" width="12.26953125" style="2" customWidth="1"/>
    <col min="51" max="51" width="9" style="2" customWidth="1"/>
    <col min="52" max="52" width="12.7265625" style="3" customWidth="1"/>
    <col min="53" max="53" width="13.54296875" style="3" customWidth="1"/>
    <col min="54" max="55" width="15.453125" style="3" customWidth="1"/>
    <col min="56" max="56" width="16.26953125" style="2" customWidth="1"/>
    <col min="57" max="66" width="12.26953125" style="2" customWidth="1"/>
    <col min="67" max="67" width="9.7265625" customWidth="1"/>
    <col min="68" max="69" width="10.7265625" customWidth="1"/>
    <col min="70" max="70" width="15" customWidth="1"/>
    <col min="71" max="72" width="12.453125" customWidth="1"/>
    <col min="73" max="77" width="12.26953125" style="2" customWidth="1"/>
    <col min="78" max="87" width="10.7265625" customWidth="1"/>
    <col min="88" max="93" width="12.26953125" style="2" customWidth="1"/>
    <col min="94" max="98" width="10.7265625" customWidth="1"/>
    <col min="99" max="99" width="12.54296875" customWidth="1"/>
    <col min="100" max="100" width="12.453125" customWidth="1"/>
    <col min="103" max="103" width="9.1796875" style="6"/>
    <col min="107" max="121" width="10.26953125" style="7" customWidth="1"/>
    <col min="122" max="122" width="17.1796875" customWidth="1"/>
    <col min="123" max="123" width="15.81640625" customWidth="1"/>
    <col min="124" max="124" width="13.453125" style="8" customWidth="1"/>
    <col min="125" max="125" width="9.1796875" style="8"/>
    <col min="126" max="126" width="16.26953125" style="8" customWidth="1"/>
    <col min="127" max="127" width="11.7265625" style="8" customWidth="1"/>
    <col min="128" max="128" width="12.7265625" style="8" customWidth="1"/>
    <col min="129" max="129" width="10.81640625" style="8" customWidth="1"/>
    <col min="130" max="130" width="19.54296875" style="7" customWidth="1"/>
    <col min="131" max="132" width="10.26953125" style="7" customWidth="1"/>
    <col min="133" max="133" width="20.453125" style="7" customWidth="1"/>
    <col min="134" max="134" width="14.1796875" style="8" customWidth="1"/>
    <col min="135" max="135" width="14.7265625" style="8" customWidth="1"/>
    <col min="136" max="137" width="12.453125" style="8" customWidth="1"/>
    <col min="138" max="138" width="20.26953125" style="8" customWidth="1"/>
    <col min="139" max="140" width="10" style="8" customWidth="1"/>
    <col min="141" max="144" width="10.54296875" style="8" customWidth="1"/>
    <col min="145" max="145" width="10.1796875" style="9" customWidth="1"/>
    <col min="146" max="146" width="18.7265625" style="9" customWidth="1"/>
    <col min="147" max="147" width="14.1796875" style="8" customWidth="1"/>
    <col min="148" max="148" width="13" style="8" customWidth="1"/>
    <col min="149" max="149" width="12.453125" style="8" customWidth="1"/>
    <col min="150" max="150" width="9.7265625" style="8" customWidth="1"/>
    <col min="151" max="152" width="10" style="8" customWidth="1"/>
    <col min="153" max="156" width="10.54296875" style="8" customWidth="1"/>
    <col min="157" max="159" width="20.26953125" style="9" customWidth="1"/>
    <col min="160" max="161" width="20.453125" style="9" customWidth="1"/>
    <col min="162" max="162" width="20" style="9" customWidth="1"/>
    <col min="163" max="163" width="17.26953125" customWidth="1"/>
    <col min="164" max="164" width="18.7265625" customWidth="1"/>
    <col min="165" max="166" width="10.453125" customWidth="1"/>
    <col min="167" max="168" width="11.453125" customWidth="1"/>
    <col min="169" max="173" width="10.453125" customWidth="1"/>
    <col min="174" max="174" width="13.54296875" customWidth="1"/>
    <col min="175" max="176" width="10.453125" customWidth="1"/>
    <col min="177" max="177" width="15.54296875" customWidth="1"/>
    <col min="178" max="178" width="17.81640625" customWidth="1"/>
    <col min="179" max="182" width="10.453125" customWidth="1"/>
    <col min="183" max="183" width="18.1796875" customWidth="1"/>
    <col min="184" max="189" width="10.26953125" style="7" customWidth="1"/>
    <col min="190" max="190" width="12.81640625" customWidth="1"/>
    <col min="194" max="194" width="14.453125" customWidth="1"/>
    <col min="199" max="199" width="13.26953125" customWidth="1"/>
    <col min="206" max="206" width="14.54296875" customWidth="1"/>
    <col min="218" max="218" width="13.26953125" customWidth="1"/>
    <col min="219" max="219" width="12.26953125" customWidth="1"/>
    <col min="220" max="220" width="21.81640625" customWidth="1"/>
    <col min="221" max="221" width="20.26953125" customWidth="1"/>
    <col min="222" max="222" width="16.26953125" customWidth="1"/>
    <col min="224" max="224" width="19" customWidth="1"/>
    <col min="225" max="225" width="16.453125" customWidth="1"/>
  </cols>
  <sheetData>
    <row r="1" spans="1:234" ht="23" x14ac:dyDescent="0.35">
      <c r="M1" s="1"/>
      <c r="N1" s="1"/>
      <c r="O1" s="1"/>
      <c r="P1" s="1"/>
      <c r="Q1" s="1"/>
      <c r="R1" s="1"/>
      <c r="S1" s="1"/>
      <c r="T1" s="1"/>
      <c r="U1" s="1"/>
      <c r="V1" s="1"/>
      <c r="W1" s="1"/>
      <c r="X1" s="1"/>
      <c r="AA1" s="26"/>
      <c r="AB1" s="1"/>
      <c r="AC1" s="1"/>
      <c r="AD1" s="1"/>
      <c r="AE1" s="1"/>
      <c r="AF1" s="1"/>
      <c r="AG1" s="1"/>
      <c r="BG1" s="3"/>
      <c r="BH1" s="3"/>
      <c r="BI1" s="3"/>
      <c r="BJ1" s="3"/>
      <c r="BK1" s="3"/>
      <c r="BO1" s="3"/>
      <c r="BP1" s="2"/>
      <c r="BQ1" s="4"/>
      <c r="BR1" s="5"/>
      <c r="BS1" s="5"/>
      <c r="BT1" s="5"/>
      <c r="BU1" s="3"/>
      <c r="BV1" s="3"/>
      <c r="BZ1" s="3"/>
      <c r="CA1" s="2"/>
      <c r="CB1" s="4"/>
      <c r="CC1" s="4"/>
      <c r="CD1" s="4"/>
      <c r="CE1" s="4"/>
      <c r="CF1" s="4"/>
      <c r="CG1" s="4"/>
      <c r="CH1" s="4"/>
      <c r="CI1" s="4"/>
      <c r="CJ1" s="3"/>
      <c r="CK1" s="3"/>
      <c r="CP1" s="3"/>
      <c r="CQ1" s="3"/>
      <c r="CR1" s="3"/>
      <c r="CS1" s="2"/>
      <c r="CT1" s="4"/>
      <c r="CU1" s="5"/>
      <c r="CV1" s="5"/>
      <c r="ED1" s="27"/>
      <c r="EE1" s="27"/>
      <c r="EF1" s="27"/>
      <c r="EG1" s="27"/>
      <c r="EH1" s="27"/>
      <c r="EI1" s="28"/>
      <c r="EQ1" s="27"/>
      <c r="ER1" s="27"/>
      <c r="ES1" s="27"/>
      <c r="ET1" s="27"/>
      <c r="EU1" s="28"/>
      <c r="GH1" s="29"/>
      <c r="GI1" s="29"/>
      <c r="GK1" s="30"/>
      <c r="GL1" s="30"/>
      <c r="GM1" s="29"/>
      <c r="GN1" s="29"/>
      <c r="GO1" s="29"/>
      <c r="GP1" s="29"/>
    </row>
    <row r="2" spans="1:234" x14ac:dyDescent="0.35">
      <c r="M2" s="1"/>
      <c r="N2" s="1"/>
      <c r="O2" s="1"/>
      <c r="P2" s="1"/>
      <c r="Q2" s="1"/>
      <c r="R2" s="1"/>
      <c r="S2" s="1"/>
      <c r="T2" s="1"/>
      <c r="U2" s="1"/>
      <c r="V2" s="1"/>
      <c r="W2" s="1"/>
      <c r="X2" s="1"/>
      <c r="AA2" s="1"/>
      <c r="AB2" s="1"/>
      <c r="AC2" s="1"/>
      <c r="AD2" s="1"/>
      <c r="AE2" s="1"/>
      <c r="AF2" s="1"/>
      <c r="AG2" s="1"/>
      <c r="BG2" s="3"/>
      <c r="BH2" s="3"/>
      <c r="BI2" s="3"/>
      <c r="BJ2" s="3"/>
      <c r="BK2" s="3"/>
      <c r="BO2" s="3"/>
      <c r="BP2" s="2"/>
      <c r="BQ2" s="4"/>
      <c r="BR2" s="5"/>
      <c r="BS2" s="5"/>
      <c r="BT2" s="5"/>
      <c r="BU2" s="3"/>
      <c r="BV2" s="3"/>
      <c r="BZ2" s="3"/>
      <c r="CA2" s="2"/>
      <c r="CB2" s="4"/>
      <c r="CC2" s="4"/>
      <c r="CD2" s="4"/>
      <c r="CE2" s="4"/>
      <c r="CF2" s="4"/>
      <c r="CG2" s="4"/>
      <c r="CH2" s="4"/>
      <c r="CI2" s="4"/>
      <c r="CJ2" s="3"/>
      <c r="CK2" s="3"/>
      <c r="CP2" s="3"/>
      <c r="CQ2" s="3"/>
      <c r="CR2" s="3"/>
      <c r="CS2" s="2"/>
      <c r="CT2" s="4"/>
      <c r="CU2" s="5"/>
      <c r="CV2" s="5"/>
      <c r="ED2"/>
      <c r="EE2"/>
      <c r="EQ2" t="s">
        <v>14</v>
      </c>
      <c r="ER2"/>
      <c r="GH2" s="10"/>
      <c r="GI2" s="10">
        <v>0.15</v>
      </c>
      <c r="GJ2" s="10">
        <v>0.08</v>
      </c>
      <c r="GK2" s="10">
        <v>0.05</v>
      </c>
      <c r="GL2" s="10">
        <v>0.02</v>
      </c>
      <c r="GN2" s="10"/>
      <c r="GO2" s="10"/>
    </row>
    <row r="3" spans="1:234" s="37" customFormat="1" ht="93" customHeight="1" x14ac:dyDescent="0.35">
      <c r="A3" s="641" t="s">
        <v>2511</v>
      </c>
      <c r="B3" s="641"/>
      <c r="C3" s="641"/>
      <c r="D3" s="641"/>
      <c r="E3" s="641"/>
      <c r="F3" s="641"/>
      <c r="G3" s="641"/>
      <c r="H3" s="642" t="s">
        <v>2770</v>
      </c>
      <c r="I3" s="643"/>
      <c r="J3" s="644"/>
      <c r="K3" s="642" t="s">
        <v>16</v>
      </c>
      <c r="L3" s="643"/>
      <c r="M3" s="645" t="s">
        <v>2771</v>
      </c>
      <c r="N3" s="548"/>
      <c r="O3" s="548"/>
      <c r="P3" s="548"/>
      <c r="Q3" s="548"/>
      <c r="R3" s="548"/>
      <c r="S3" s="548"/>
      <c r="T3" s="548"/>
      <c r="U3" s="548"/>
      <c r="V3" s="548"/>
      <c r="W3" s="548"/>
      <c r="X3" s="548"/>
      <c r="Y3" s="548"/>
      <c r="Z3" s="548"/>
      <c r="AA3" s="548"/>
      <c r="AB3" s="548"/>
      <c r="AC3" s="548"/>
      <c r="AD3" s="548"/>
      <c r="AE3" s="548"/>
      <c r="AF3" s="548"/>
      <c r="AG3" s="548"/>
      <c r="AH3" s="548"/>
      <c r="AI3" s="646"/>
      <c r="AJ3" s="647" t="s">
        <v>2772</v>
      </c>
      <c r="AK3" s="648"/>
      <c r="AL3" s="648"/>
      <c r="AM3" s="648"/>
      <c r="AN3" s="648"/>
      <c r="AO3" s="648"/>
      <c r="AP3" s="648"/>
      <c r="AQ3" s="648"/>
      <c r="AR3" s="648"/>
      <c r="AS3" s="648"/>
      <c r="AT3" s="648"/>
      <c r="AU3" s="648"/>
      <c r="AV3" s="648"/>
      <c r="AW3" s="648"/>
      <c r="AX3" s="648"/>
      <c r="AY3" s="648"/>
      <c r="AZ3" s="648"/>
      <c r="BA3" s="648"/>
      <c r="BB3" s="648"/>
      <c r="BC3" s="648"/>
      <c r="BD3" s="649"/>
      <c r="BE3" s="501" t="s">
        <v>19</v>
      </c>
      <c r="BF3" s="499"/>
      <c r="BG3" s="499"/>
      <c r="BH3" s="499"/>
      <c r="BI3" s="502"/>
      <c r="BJ3" s="650" t="s">
        <v>20</v>
      </c>
      <c r="BK3" s="650"/>
      <c r="BL3" s="650"/>
      <c r="BM3" s="650"/>
      <c r="BN3" s="650"/>
      <c r="BO3" s="650"/>
      <c r="BP3" s="650"/>
      <c r="BQ3" s="650"/>
      <c r="BR3" s="650"/>
      <c r="BS3" s="650"/>
      <c r="BT3" s="651"/>
      <c r="BU3" s="548" t="s">
        <v>21</v>
      </c>
      <c r="BV3" s="548"/>
      <c r="BW3" s="548"/>
      <c r="BX3" s="548"/>
      <c r="BY3" s="548"/>
      <c r="BZ3" s="548"/>
      <c r="CA3" s="548"/>
      <c r="CB3" s="548"/>
      <c r="CC3" s="645" t="s">
        <v>22</v>
      </c>
      <c r="CD3" s="548"/>
      <c r="CE3" s="646"/>
      <c r="CF3" s="645" t="s">
        <v>23</v>
      </c>
      <c r="CG3" s="548"/>
      <c r="CH3" s="548"/>
      <c r="CI3" s="646"/>
      <c r="CJ3" s="645" t="s">
        <v>24</v>
      </c>
      <c r="CK3" s="548"/>
      <c r="CL3" s="548"/>
      <c r="CM3" s="548"/>
      <c r="CN3" s="548"/>
      <c r="CO3" s="548"/>
      <c r="CP3" s="548"/>
      <c r="CQ3" s="548"/>
      <c r="CR3" s="548"/>
      <c r="CS3" s="548"/>
      <c r="CT3" s="548"/>
      <c r="CU3" s="548"/>
      <c r="CV3" s="549"/>
      <c r="CW3" s="639" t="s">
        <v>25</v>
      </c>
      <c r="CX3" s="564"/>
      <c r="CY3" s="564"/>
      <c r="CZ3" s="564"/>
      <c r="DA3" s="564"/>
      <c r="DB3" s="640"/>
      <c r="DC3" s="547" t="s">
        <v>26</v>
      </c>
      <c r="DD3" s="548"/>
      <c r="DE3" s="548"/>
      <c r="DF3" s="548"/>
      <c r="DG3" s="548"/>
      <c r="DH3" s="548"/>
      <c r="DI3" s="548"/>
      <c r="DJ3" s="548"/>
      <c r="DK3" s="548"/>
      <c r="DL3" s="549"/>
      <c r="DM3" s="547" t="s">
        <v>27</v>
      </c>
      <c r="DN3" s="548"/>
      <c r="DO3" s="548"/>
      <c r="DP3" s="564"/>
      <c r="DQ3" s="565"/>
      <c r="DR3" s="653" t="s">
        <v>28</v>
      </c>
      <c r="DS3" s="653"/>
      <c r="DT3" s="653" t="s">
        <v>29</v>
      </c>
      <c r="DU3" s="653"/>
      <c r="DV3" s="653"/>
      <c r="DW3" s="653"/>
      <c r="DX3" s="653"/>
      <c r="DY3" s="653"/>
      <c r="DZ3" s="653"/>
      <c r="EA3" s="653"/>
      <c r="EB3" s="654" t="s">
        <v>30</v>
      </c>
      <c r="EC3" s="655"/>
      <c r="ED3" s="655"/>
      <c r="EE3" s="655"/>
      <c r="EF3" s="655"/>
      <c r="EG3" s="655"/>
      <c r="EH3" s="655"/>
      <c r="EI3" s="655"/>
      <c r="EJ3" s="655"/>
      <c r="EK3" s="655"/>
      <c r="EL3" s="655"/>
      <c r="EM3" s="655"/>
      <c r="EN3" s="656"/>
      <c r="EO3" s="657" t="s">
        <v>31</v>
      </c>
      <c r="EP3" s="657"/>
      <c r="EQ3" s="657"/>
      <c r="ER3" s="658"/>
      <c r="ES3" s="658"/>
      <c r="ET3" s="658"/>
      <c r="EU3" s="658"/>
      <c r="EV3" s="657"/>
      <c r="EW3" s="657"/>
      <c r="EX3" s="657"/>
      <c r="EY3" s="657"/>
      <c r="EZ3" s="657"/>
      <c r="FA3" s="657"/>
      <c r="FB3" s="657"/>
      <c r="FC3" s="657"/>
      <c r="FD3" s="657"/>
      <c r="FE3" s="659" t="s">
        <v>32</v>
      </c>
      <c r="FF3" s="660"/>
      <c r="FG3" s="660"/>
      <c r="FH3" s="660"/>
      <c r="FI3" s="660"/>
      <c r="FJ3" s="660"/>
      <c r="FK3" s="660"/>
      <c r="FL3" s="661"/>
      <c r="FM3" s="657" t="s">
        <v>33</v>
      </c>
      <c r="FN3" s="657"/>
      <c r="FO3" s="657"/>
      <c r="FP3" s="657"/>
      <c r="FQ3" s="657" t="s">
        <v>34</v>
      </c>
      <c r="FR3" s="657"/>
      <c r="FS3" s="657"/>
      <c r="FT3" s="657"/>
      <c r="FU3" s="657"/>
      <c r="FV3" s="657" t="s">
        <v>35</v>
      </c>
      <c r="FW3" s="657"/>
      <c r="FX3" s="657"/>
      <c r="FY3" s="657"/>
      <c r="FZ3" s="657"/>
      <c r="GA3" s="657"/>
      <c r="GB3" s="652" t="s">
        <v>36</v>
      </c>
      <c r="GC3" s="652"/>
      <c r="GD3" s="85" t="s">
        <v>37</v>
      </c>
      <c r="GE3" s="36" t="s">
        <v>189</v>
      </c>
      <c r="GF3" s="36" t="s">
        <v>189</v>
      </c>
      <c r="GG3" s="36" t="s">
        <v>189</v>
      </c>
      <c r="GH3" s="36" t="s">
        <v>188</v>
      </c>
      <c r="GI3" s="675" t="s">
        <v>2773</v>
      </c>
      <c r="GJ3" s="675"/>
      <c r="GK3" s="675"/>
      <c r="GL3" s="675"/>
      <c r="GM3" s="675" t="s">
        <v>2774</v>
      </c>
      <c r="GN3" s="675"/>
      <c r="GO3" s="675"/>
      <c r="GP3" s="675"/>
      <c r="GQ3" s="676" t="s">
        <v>2775</v>
      </c>
      <c r="GR3" s="676"/>
      <c r="GS3" s="676" t="s">
        <v>2776</v>
      </c>
      <c r="GT3" s="676"/>
      <c r="GU3" s="676"/>
      <c r="GV3" s="676"/>
      <c r="GW3" s="676"/>
      <c r="GX3" s="676" t="s">
        <v>43</v>
      </c>
      <c r="GY3" s="676"/>
      <c r="GZ3" s="676"/>
      <c r="HA3" s="676"/>
      <c r="HB3" s="676"/>
      <c r="HC3" s="676" t="s">
        <v>44</v>
      </c>
      <c r="HD3" s="676"/>
      <c r="HE3" s="676"/>
      <c r="HF3" s="676"/>
      <c r="HG3" s="676"/>
      <c r="HH3" s="677"/>
      <c r="HI3" s="677"/>
      <c r="HJ3" s="99" t="s">
        <v>2777</v>
      </c>
      <c r="HK3" s="98" t="s">
        <v>2778</v>
      </c>
      <c r="HL3" s="636" t="s">
        <v>2779</v>
      </c>
      <c r="HM3" s="637"/>
      <c r="HN3" s="636" t="s">
        <v>2780</v>
      </c>
      <c r="HO3" s="638"/>
      <c r="HP3" s="638"/>
      <c r="HQ3" s="637"/>
      <c r="HR3" s="636" t="s">
        <v>2781</v>
      </c>
      <c r="HS3" s="638"/>
      <c r="HT3" s="638"/>
      <c r="HU3" s="637"/>
      <c r="HV3" s="636" t="s">
        <v>2782</v>
      </c>
      <c r="HW3" s="638"/>
      <c r="HX3" s="638"/>
      <c r="HY3" s="637"/>
      <c r="HZ3" s="115"/>
    </row>
    <row r="4" spans="1:234" ht="92.25" customHeight="1" x14ac:dyDescent="0.35">
      <c r="A4" s="662"/>
      <c r="B4" s="662"/>
      <c r="C4" s="662"/>
      <c r="D4" s="662"/>
      <c r="E4" s="662"/>
      <c r="F4" s="662"/>
      <c r="G4" s="663"/>
      <c r="H4" s="11"/>
      <c r="I4" s="11"/>
      <c r="J4" s="101"/>
      <c r="K4" s="664" t="s">
        <v>51</v>
      </c>
      <c r="L4" s="665"/>
      <c r="M4" s="666" t="s">
        <v>2783</v>
      </c>
      <c r="N4" s="666"/>
      <c r="O4" s="666"/>
      <c r="P4" s="666"/>
      <c r="Q4" s="666"/>
      <c r="R4" s="666"/>
      <c r="S4" s="666"/>
      <c r="T4" s="666"/>
      <c r="U4" s="667" t="s">
        <v>2784</v>
      </c>
      <c r="V4" s="668"/>
      <c r="W4" s="668"/>
      <c r="X4" s="668"/>
      <c r="Y4" s="668"/>
      <c r="Z4" s="668"/>
      <c r="AA4" s="669"/>
      <c r="AB4" s="670" t="s">
        <v>54</v>
      </c>
      <c r="AC4" s="671"/>
      <c r="AD4" s="671"/>
      <c r="AE4" s="671"/>
      <c r="AF4" s="671"/>
      <c r="AG4" s="672"/>
      <c r="AH4" s="670" t="s">
        <v>2785</v>
      </c>
      <c r="AI4" s="672"/>
      <c r="AJ4" s="673" t="s">
        <v>2786</v>
      </c>
      <c r="AK4" s="674"/>
      <c r="AL4" s="674"/>
      <c r="AM4" s="674"/>
      <c r="AN4" s="674"/>
      <c r="AO4" s="674"/>
      <c r="AP4" s="674"/>
      <c r="AQ4" s="674"/>
      <c r="AR4" s="674"/>
      <c r="AS4" s="674"/>
      <c r="AT4" s="667" t="s">
        <v>2787</v>
      </c>
      <c r="AU4" s="668"/>
      <c r="AV4" s="668"/>
      <c r="AW4" s="668"/>
      <c r="AX4" s="668"/>
      <c r="AY4" s="668"/>
      <c r="AZ4" s="669"/>
      <c r="BA4" s="670" t="s">
        <v>57</v>
      </c>
      <c r="BB4" s="671"/>
      <c r="BC4" s="671"/>
      <c r="BD4" s="672"/>
      <c r="BE4" s="89"/>
      <c r="BF4" s="89"/>
      <c r="BG4" s="89"/>
      <c r="BH4" s="89"/>
      <c r="BI4" s="90"/>
      <c r="BJ4" s="678" t="s">
        <v>58</v>
      </c>
      <c r="BK4" s="679"/>
      <c r="BL4" s="679"/>
      <c r="BM4" s="679"/>
      <c r="BN4" s="680"/>
      <c r="BO4" s="678" t="s">
        <v>59</v>
      </c>
      <c r="BP4" s="679"/>
      <c r="BQ4" s="679"/>
      <c r="BR4" s="679"/>
      <c r="BS4" s="679"/>
      <c r="BT4" s="680"/>
      <c r="BU4" s="681" t="s">
        <v>58</v>
      </c>
      <c r="BV4" s="682"/>
      <c r="BW4" s="683" t="s">
        <v>59</v>
      </c>
      <c r="BX4" s="684"/>
      <c r="BY4" s="684"/>
      <c r="BZ4" s="684"/>
      <c r="CA4" s="684"/>
      <c r="CB4" s="685"/>
      <c r="CC4" s="681" t="s">
        <v>60</v>
      </c>
      <c r="CD4" s="682"/>
      <c r="CE4" s="685"/>
      <c r="CF4" s="681" t="s">
        <v>60</v>
      </c>
      <c r="CG4" s="682"/>
      <c r="CH4" s="682"/>
      <c r="CI4" s="686"/>
      <c r="CJ4" s="681" t="s">
        <v>61</v>
      </c>
      <c r="CK4" s="682"/>
      <c r="CL4" s="682"/>
      <c r="CM4" s="682"/>
      <c r="CN4" s="682"/>
      <c r="CO4" s="682"/>
      <c r="CP4" s="683" t="s">
        <v>62</v>
      </c>
      <c r="CQ4" s="684"/>
      <c r="CR4" s="684"/>
      <c r="CS4" s="684"/>
      <c r="CT4" s="684"/>
      <c r="CU4" s="684"/>
      <c r="CV4" s="687"/>
      <c r="CW4" s="688" t="s">
        <v>61</v>
      </c>
      <c r="CX4" s="689"/>
      <c r="CY4" s="689"/>
      <c r="CZ4" s="690" t="s">
        <v>62</v>
      </c>
      <c r="DA4" s="691"/>
      <c r="DB4" s="692"/>
      <c r="DC4" s="556" t="s">
        <v>60</v>
      </c>
      <c r="DD4" s="556"/>
      <c r="DE4" s="556"/>
      <c r="DF4" s="556" t="s">
        <v>63</v>
      </c>
      <c r="DG4" s="556"/>
      <c r="DH4" s="556"/>
      <c r="DI4" s="556"/>
      <c r="DJ4" s="556"/>
      <c r="DK4" s="556"/>
      <c r="DL4" s="607"/>
      <c r="DM4" s="616" t="s">
        <v>60</v>
      </c>
      <c r="DN4" s="617"/>
      <c r="DO4" s="617"/>
      <c r="DP4" s="618" t="s">
        <v>63</v>
      </c>
      <c r="DQ4" s="618"/>
      <c r="DR4" s="694"/>
      <c r="DS4" s="695"/>
      <c r="DT4" s="696"/>
      <c r="DU4" s="697"/>
      <c r="DV4" s="697"/>
      <c r="DW4" s="697"/>
      <c r="DX4" s="697"/>
      <c r="DY4" s="697"/>
      <c r="DZ4" s="697"/>
      <c r="EA4" s="698"/>
      <c r="EB4" s="699" t="s">
        <v>64</v>
      </c>
      <c r="EC4" s="700"/>
      <c r="ED4" s="700"/>
      <c r="EE4" s="701"/>
      <c r="EF4" s="702" t="s">
        <v>2788</v>
      </c>
      <c r="EG4" s="702"/>
      <c r="EH4" s="702"/>
      <c r="EI4" s="702" t="s">
        <v>2789</v>
      </c>
      <c r="EJ4" s="702"/>
      <c r="EK4" s="702"/>
      <c r="EL4" s="702"/>
      <c r="EM4" s="702"/>
      <c r="EN4" s="702"/>
      <c r="EO4" s="712" t="s">
        <v>67</v>
      </c>
      <c r="EP4" s="712"/>
      <c r="EQ4" s="712"/>
      <c r="ER4" s="713" t="s">
        <v>2790</v>
      </c>
      <c r="ES4" s="713"/>
      <c r="ET4" s="713"/>
      <c r="EU4" s="713"/>
      <c r="EV4" s="702" t="s">
        <v>2789</v>
      </c>
      <c r="EW4" s="702"/>
      <c r="EX4" s="702"/>
      <c r="EY4" s="702"/>
      <c r="EZ4" s="702"/>
      <c r="FA4" s="702"/>
      <c r="FB4" s="702" t="s">
        <v>2791</v>
      </c>
      <c r="FC4" s="702"/>
      <c r="FD4" s="702"/>
      <c r="FE4" s="693" t="s">
        <v>68</v>
      </c>
      <c r="FF4" s="693"/>
      <c r="FG4" s="693"/>
      <c r="FH4" s="693"/>
      <c r="FI4" s="693"/>
      <c r="FJ4" s="693"/>
      <c r="FK4" s="693"/>
      <c r="FL4" s="693"/>
      <c r="FM4" s="693" t="s">
        <v>69</v>
      </c>
      <c r="FN4" s="693"/>
      <c r="FO4" s="693"/>
      <c r="FP4" s="693"/>
      <c r="FQ4" s="703"/>
      <c r="FR4" s="704"/>
      <c r="FS4" s="704"/>
      <c r="FT4" s="704"/>
      <c r="FU4" s="705"/>
      <c r="FV4" s="706"/>
      <c r="FW4" s="707"/>
      <c r="FX4" s="707"/>
      <c r="FY4" s="707"/>
      <c r="FZ4" s="707"/>
      <c r="GA4" s="708"/>
      <c r="GI4" s="92"/>
      <c r="GJ4" s="93"/>
      <c r="GK4" s="93"/>
      <c r="GL4" s="94"/>
      <c r="GM4" s="93"/>
      <c r="GN4" s="93"/>
      <c r="GO4" s="93"/>
      <c r="GP4" s="93"/>
      <c r="GQ4" s="40"/>
      <c r="GX4" s="709"/>
      <c r="GY4" s="709"/>
      <c r="GZ4" s="709"/>
      <c r="HA4" s="709"/>
      <c r="HB4" s="709"/>
      <c r="HC4" s="710"/>
      <c r="HD4" s="711"/>
      <c r="HE4" s="711"/>
      <c r="HF4" s="711"/>
      <c r="HG4" s="711"/>
      <c r="HH4" s="711"/>
      <c r="HI4" s="711"/>
      <c r="HJ4" s="96"/>
      <c r="HK4" s="41"/>
      <c r="HL4" s="121"/>
      <c r="HM4" s="122"/>
      <c r="HN4" s="118"/>
      <c r="HO4" s="118"/>
      <c r="HP4" s="121"/>
      <c r="HQ4" s="122"/>
      <c r="HR4" s="121"/>
      <c r="HS4" s="121"/>
      <c r="HT4" s="121"/>
      <c r="HU4" s="121"/>
      <c r="HV4" s="123"/>
      <c r="HW4" s="121"/>
      <c r="HX4" s="121"/>
      <c r="HY4" s="121"/>
    </row>
    <row r="5" spans="1:234" s="79" customFormat="1" ht="159.5" x14ac:dyDescent="0.35">
      <c r="A5" s="87" t="s">
        <v>2792</v>
      </c>
      <c r="B5" s="87" t="s">
        <v>2793</v>
      </c>
      <c r="C5" s="87" t="s">
        <v>2794</v>
      </c>
      <c r="D5" s="88" t="s">
        <v>2795</v>
      </c>
      <c r="E5" s="88" t="s">
        <v>2796</v>
      </c>
      <c r="F5" s="88" t="s">
        <v>2797</v>
      </c>
      <c r="G5" s="13" t="s">
        <v>207</v>
      </c>
      <c r="H5" s="44" t="s">
        <v>2488</v>
      </c>
      <c r="I5" s="19" t="s">
        <v>80</v>
      </c>
      <c r="J5" s="100"/>
      <c r="K5" s="45" t="s">
        <v>82</v>
      </c>
      <c r="L5" s="45" t="s">
        <v>83</v>
      </c>
      <c r="M5" s="80" t="s">
        <v>2798</v>
      </c>
      <c r="N5" s="81" t="s">
        <v>85</v>
      </c>
      <c r="O5" s="82" t="s">
        <v>2799</v>
      </c>
      <c r="P5" s="81" t="s">
        <v>85</v>
      </c>
      <c r="Q5" s="82" t="s">
        <v>2800</v>
      </c>
      <c r="R5" s="83" t="s">
        <v>85</v>
      </c>
      <c r="S5" s="82" t="s">
        <v>2801</v>
      </c>
      <c r="T5" s="84" t="s">
        <v>85</v>
      </c>
      <c r="U5" s="47" t="s">
        <v>2802</v>
      </c>
      <c r="V5" s="48" t="s">
        <v>2803</v>
      </c>
      <c r="W5" s="31" t="s">
        <v>91</v>
      </c>
      <c r="X5" s="46" t="s">
        <v>2804</v>
      </c>
      <c r="Y5" s="34" t="s">
        <v>91</v>
      </c>
      <c r="Z5" s="33" t="s">
        <v>2805</v>
      </c>
      <c r="AA5" s="19" t="s">
        <v>91</v>
      </c>
      <c r="AB5" s="56" t="s">
        <v>2806</v>
      </c>
      <c r="AC5" s="15" t="s">
        <v>91</v>
      </c>
      <c r="AD5" s="15" t="s">
        <v>95</v>
      </c>
      <c r="AE5" s="16" t="s">
        <v>91</v>
      </c>
      <c r="AF5" s="17" t="s">
        <v>96</v>
      </c>
      <c r="AG5" s="16" t="s">
        <v>91</v>
      </c>
      <c r="AH5" s="14" t="s">
        <v>2807</v>
      </c>
      <c r="AI5" s="14" t="s">
        <v>112</v>
      </c>
      <c r="AJ5" s="108" t="s">
        <v>2808</v>
      </c>
      <c r="AK5" s="49" t="s">
        <v>2553</v>
      </c>
      <c r="AL5" s="107" t="s">
        <v>2809</v>
      </c>
      <c r="AM5" s="50" t="s">
        <v>91</v>
      </c>
      <c r="AN5" s="33" t="s">
        <v>2799</v>
      </c>
      <c r="AO5" s="50" t="s">
        <v>91</v>
      </c>
      <c r="AP5" s="33" t="s">
        <v>2800</v>
      </c>
      <c r="AQ5" s="50" t="s">
        <v>91</v>
      </c>
      <c r="AR5" s="109" t="s">
        <v>2801</v>
      </c>
      <c r="AS5" s="50" t="s">
        <v>91</v>
      </c>
      <c r="AT5" s="51" t="s">
        <v>101</v>
      </c>
      <c r="AU5" s="18" t="s">
        <v>91</v>
      </c>
      <c r="AV5" s="52" t="s">
        <v>2802</v>
      </c>
      <c r="AW5" s="52" t="s">
        <v>2810</v>
      </c>
      <c r="AX5" s="33" t="s">
        <v>2803</v>
      </c>
      <c r="AY5" s="52" t="s">
        <v>2811</v>
      </c>
      <c r="AZ5" s="19" t="s">
        <v>91</v>
      </c>
      <c r="BA5" s="33" t="s">
        <v>2804</v>
      </c>
      <c r="BB5" s="19" t="s">
        <v>91</v>
      </c>
      <c r="BC5" s="33" t="s">
        <v>2805</v>
      </c>
      <c r="BD5" s="19" t="s">
        <v>91</v>
      </c>
      <c r="BE5" s="88" t="s">
        <v>108</v>
      </c>
      <c r="BF5" s="88" t="s">
        <v>2812</v>
      </c>
      <c r="BG5" s="87" t="s">
        <v>110</v>
      </c>
      <c r="BH5" s="88" t="s">
        <v>111</v>
      </c>
      <c r="BI5" s="91" t="s">
        <v>112</v>
      </c>
      <c r="BJ5" s="54" t="s">
        <v>2813</v>
      </c>
      <c r="BK5" s="32" t="s">
        <v>96</v>
      </c>
      <c r="BL5" s="33" t="s">
        <v>2814</v>
      </c>
      <c r="BM5" s="19" t="s">
        <v>2815</v>
      </c>
      <c r="BN5" s="53" t="s">
        <v>112</v>
      </c>
      <c r="BO5" s="55" t="s">
        <v>115</v>
      </c>
      <c r="BP5" s="55" t="s">
        <v>96</v>
      </c>
      <c r="BQ5" s="55" t="s">
        <v>116</v>
      </c>
      <c r="BR5" s="56" t="s">
        <v>2806</v>
      </c>
      <c r="BS5" s="63" t="s">
        <v>2816</v>
      </c>
      <c r="BT5" s="32" t="s">
        <v>112</v>
      </c>
      <c r="BU5" s="33" t="s">
        <v>2814</v>
      </c>
      <c r="BV5" s="19" t="s">
        <v>91</v>
      </c>
      <c r="BW5" s="57" t="s">
        <v>2816</v>
      </c>
      <c r="BX5" s="19" t="s">
        <v>91</v>
      </c>
      <c r="BY5" s="33" t="s">
        <v>2817</v>
      </c>
      <c r="BZ5" s="13" t="s">
        <v>91</v>
      </c>
      <c r="CA5" s="20" t="s">
        <v>124</v>
      </c>
      <c r="CB5" s="58" t="s">
        <v>112</v>
      </c>
      <c r="CC5" s="59" t="s">
        <v>2818</v>
      </c>
      <c r="CD5" s="60" t="s">
        <v>2819</v>
      </c>
      <c r="CE5" s="61" t="s">
        <v>112</v>
      </c>
      <c r="CF5" s="60" t="s">
        <v>2820</v>
      </c>
      <c r="CG5" s="60" t="s">
        <v>2821</v>
      </c>
      <c r="CH5" s="60" t="s">
        <v>129</v>
      </c>
      <c r="CI5" s="62" t="s">
        <v>130</v>
      </c>
      <c r="CJ5" s="35" t="s">
        <v>2806</v>
      </c>
      <c r="CK5" s="35" t="s">
        <v>131</v>
      </c>
      <c r="CL5" s="35" t="s">
        <v>132</v>
      </c>
      <c r="CM5" s="35" t="s">
        <v>2822</v>
      </c>
      <c r="CN5" s="19" t="s">
        <v>96</v>
      </c>
      <c r="CO5" s="53" t="s">
        <v>112</v>
      </c>
      <c r="CP5" s="63" t="s">
        <v>2823</v>
      </c>
      <c r="CQ5" s="63" t="s">
        <v>2824</v>
      </c>
      <c r="CR5" s="63" t="s">
        <v>2825</v>
      </c>
      <c r="CS5" s="64" t="s">
        <v>96</v>
      </c>
      <c r="CT5" s="43" t="s">
        <v>116</v>
      </c>
      <c r="CU5" s="54" t="s">
        <v>2813</v>
      </c>
      <c r="CV5" s="43" t="s">
        <v>112</v>
      </c>
      <c r="CW5" s="65" t="s">
        <v>131</v>
      </c>
      <c r="CX5" s="33" t="s">
        <v>132</v>
      </c>
      <c r="CY5" s="33" t="s">
        <v>2822</v>
      </c>
      <c r="CZ5" s="66" t="s">
        <v>2826</v>
      </c>
      <c r="DA5" s="67" t="s">
        <v>2827</v>
      </c>
      <c r="DB5" s="68" t="s">
        <v>2828</v>
      </c>
      <c r="DC5" s="20" t="s">
        <v>2829</v>
      </c>
      <c r="DD5" s="20" t="s">
        <v>2830</v>
      </c>
      <c r="DE5" s="20" t="s">
        <v>144</v>
      </c>
      <c r="DF5" s="22" t="s">
        <v>2831</v>
      </c>
      <c r="DG5" s="69" t="s">
        <v>2832</v>
      </c>
      <c r="DH5" s="69" t="s">
        <v>147</v>
      </c>
      <c r="DI5" s="22" t="s">
        <v>148</v>
      </c>
      <c r="DJ5" s="22" t="s">
        <v>149</v>
      </c>
      <c r="DK5" s="22" t="s">
        <v>2833</v>
      </c>
      <c r="DL5" s="70" t="s">
        <v>112</v>
      </c>
      <c r="DM5" s="21" t="s">
        <v>2829</v>
      </c>
      <c r="DN5" s="22" t="s">
        <v>2830</v>
      </c>
      <c r="DO5" s="22" t="s">
        <v>144</v>
      </c>
      <c r="DP5" s="71" t="s">
        <v>2834</v>
      </c>
      <c r="DQ5" s="72" t="s">
        <v>2832</v>
      </c>
      <c r="DR5" s="38" t="s">
        <v>153</v>
      </c>
      <c r="DS5" s="73" t="s">
        <v>154</v>
      </c>
      <c r="DT5" s="24" t="s">
        <v>155</v>
      </c>
      <c r="DU5" s="24" t="s">
        <v>158</v>
      </c>
      <c r="DV5" s="24" t="s">
        <v>157</v>
      </c>
      <c r="DW5" s="24" t="s">
        <v>158</v>
      </c>
      <c r="DX5" s="24" t="s">
        <v>159</v>
      </c>
      <c r="DY5" s="24" t="s">
        <v>158</v>
      </c>
      <c r="DZ5" s="24" t="s">
        <v>160</v>
      </c>
      <c r="EA5" s="24" t="s">
        <v>158</v>
      </c>
      <c r="EB5" s="25" t="s">
        <v>2835</v>
      </c>
      <c r="EC5" s="74" t="s">
        <v>2836</v>
      </c>
      <c r="ED5" s="13" t="s">
        <v>275</v>
      </c>
      <c r="EE5" s="19" t="s">
        <v>163</v>
      </c>
      <c r="EF5" s="19" t="s">
        <v>164</v>
      </c>
      <c r="EG5" s="19" t="s">
        <v>165</v>
      </c>
      <c r="EH5" s="19" t="s">
        <v>166</v>
      </c>
      <c r="EI5" s="19" t="s">
        <v>167</v>
      </c>
      <c r="EJ5" s="19" t="s">
        <v>166</v>
      </c>
      <c r="EK5" s="19" t="s">
        <v>168</v>
      </c>
      <c r="EL5" s="19" t="s">
        <v>166</v>
      </c>
      <c r="EM5" s="13" t="s">
        <v>169</v>
      </c>
      <c r="EN5" s="19" t="s">
        <v>166</v>
      </c>
      <c r="EO5" s="19" t="s">
        <v>2837</v>
      </c>
      <c r="EP5" s="13" t="s">
        <v>171</v>
      </c>
      <c r="EQ5" s="19" t="s">
        <v>174</v>
      </c>
      <c r="ER5" s="19" t="s">
        <v>164</v>
      </c>
      <c r="ES5" s="19" t="s">
        <v>166</v>
      </c>
      <c r="ET5" s="19" t="s">
        <v>165</v>
      </c>
      <c r="EU5" s="19" t="s">
        <v>166</v>
      </c>
      <c r="EV5" s="19" t="s">
        <v>167</v>
      </c>
      <c r="EW5" s="19" t="s">
        <v>166</v>
      </c>
      <c r="EX5" s="19" t="s">
        <v>168</v>
      </c>
      <c r="EY5" s="19" t="s">
        <v>166</v>
      </c>
      <c r="EZ5" s="13" t="s">
        <v>169</v>
      </c>
      <c r="FA5" s="19" t="s">
        <v>166</v>
      </c>
      <c r="FB5" s="34" t="s">
        <v>2838</v>
      </c>
      <c r="FC5" s="19" t="s">
        <v>91</v>
      </c>
      <c r="FD5" s="35" t="s">
        <v>2839</v>
      </c>
      <c r="FE5" s="35" t="s">
        <v>2836</v>
      </c>
      <c r="FF5" s="75" t="s">
        <v>91</v>
      </c>
      <c r="FG5" s="35" t="s">
        <v>2837</v>
      </c>
      <c r="FH5" s="76" t="s">
        <v>91</v>
      </c>
      <c r="FI5" s="23" t="s">
        <v>173</v>
      </c>
      <c r="FJ5" s="23" t="s">
        <v>2665</v>
      </c>
      <c r="FK5" s="19" t="s">
        <v>158</v>
      </c>
      <c r="FL5" s="19" t="s">
        <v>91</v>
      </c>
      <c r="FM5" s="19" t="s">
        <v>2837</v>
      </c>
      <c r="FN5" s="23" t="s">
        <v>171</v>
      </c>
      <c r="FO5" s="19" t="s">
        <v>158</v>
      </c>
      <c r="FP5" s="19" t="s">
        <v>174</v>
      </c>
      <c r="FQ5" s="19" t="s">
        <v>176</v>
      </c>
      <c r="FR5" s="19" t="s">
        <v>111</v>
      </c>
      <c r="FS5" s="19" t="s">
        <v>177</v>
      </c>
      <c r="FT5" s="19" t="s">
        <v>110</v>
      </c>
      <c r="FU5" s="19" t="s">
        <v>112</v>
      </c>
      <c r="FV5" s="19" t="s">
        <v>178</v>
      </c>
      <c r="FW5" s="19" t="s">
        <v>179</v>
      </c>
      <c r="FX5" s="19" t="s">
        <v>180</v>
      </c>
      <c r="FY5" s="19" t="s">
        <v>181</v>
      </c>
      <c r="FZ5" s="19" t="s">
        <v>182</v>
      </c>
      <c r="GA5" s="19" t="s">
        <v>183</v>
      </c>
      <c r="GB5" s="42" t="s">
        <v>36</v>
      </c>
      <c r="GC5" s="42" t="s">
        <v>184</v>
      </c>
      <c r="GD5" s="42" t="s">
        <v>2489</v>
      </c>
      <c r="GE5" s="42" t="s">
        <v>2840</v>
      </c>
      <c r="GF5" s="42"/>
      <c r="GG5" s="42"/>
      <c r="GH5" s="42"/>
      <c r="GI5" s="95" t="s">
        <v>190</v>
      </c>
      <c r="GJ5" s="95" t="s">
        <v>191</v>
      </c>
      <c r="GK5" s="95" t="s">
        <v>192</v>
      </c>
      <c r="GL5" s="95" t="s">
        <v>193</v>
      </c>
      <c r="GM5" s="95" t="s">
        <v>190</v>
      </c>
      <c r="GN5" s="95" t="s">
        <v>191</v>
      </c>
      <c r="GO5" s="95" t="s">
        <v>192</v>
      </c>
      <c r="GP5" s="95" t="s">
        <v>193</v>
      </c>
      <c r="GQ5" s="39" t="s">
        <v>2841</v>
      </c>
      <c r="GR5" s="39" t="s">
        <v>2842</v>
      </c>
      <c r="GS5" s="39" t="s">
        <v>2841</v>
      </c>
      <c r="GT5" s="39" t="s">
        <v>91</v>
      </c>
      <c r="GU5" s="39" t="s">
        <v>2842</v>
      </c>
      <c r="GV5" s="39" t="s">
        <v>91</v>
      </c>
      <c r="GW5" s="39" t="s">
        <v>2843</v>
      </c>
      <c r="GX5" s="39" t="s">
        <v>2844</v>
      </c>
      <c r="GY5" s="39" t="s">
        <v>2845</v>
      </c>
      <c r="GZ5" s="39" t="s">
        <v>2846</v>
      </c>
      <c r="HA5" s="39" t="s">
        <v>202</v>
      </c>
      <c r="HB5" s="39" t="s">
        <v>202</v>
      </c>
      <c r="HC5" s="39" t="s">
        <v>2844</v>
      </c>
      <c r="HD5" s="39" t="s">
        <v>91</v>
      </c>
      <c r="HE5" s="39" t="s">
        <v>2845</v>
      </c>
      <c r="HF5" s="39" t="s">
        <v>91</v>
      </c>
      <c r="HG5" s="77" t="s">
        <v>2846</v>
      </c>
      <c r="HH5" s="78" t="s">
        <v>91</v>
      </c>
      <c r="HI5" s="77" t="s">
        <v>2847</v>
      </c>
      <c r="HJ5" s="97" t="s">
        <v>2848</v>
      </c>
      <c r="HK5" s="86" t="s">
        <v>523</v>
      </c>
      <c r="HL5" s="116" t="s">
        <v>205</v>
      </c>
      <c r="HM5" s="117" t="s">
        <v>206</v>
      </c>
      <c r="HN5" s="118" t="s">
        <v>205</v>
      </c>
      <c r="HO5" s="118" t="s">
        <v>91</v>
      </c>
      <c r="HP5" s="118" t="s">
        <v>206</v>
      </c>
      <c r="HQ5" s="119" t="s">
        <v>91</v>
      </c>
      <c r="HR5" s="120" t="s">
        <v>208</v>
      </c>
      <c r="HS5" s="116" t="s">
        <v>91</v>
      </c>
      <c r="HT5" s="120" t="s">
        <v>208</v>
      </c>
      <c r="HU5" s="116" t="s">
        <v>91</v>
      </c>
      <c r="HV5" s="124" t="s">
        <v>2849</v>
      </c>
      <c r="HW5" s="120" t="s">
        <v>91</v>
      </c>
      <c r="HX5" s="121"/>
      <c r="HY5" s="121"/>
    </row>
    <row r="6" spans="1:234" x14ac:dyDescent="0.35">
      <c r="CR6" t="s">
        <v>523</v>
      </c>
      <c r="DT6"/>
      <c r="DU6"/>
      <c r="DZ6" s="8"/>
      <c r="EA6" s="8"/>
      <c r="EB6" s="8"/>
      <c r="FG6" s="9"/>
      <c r="FH6" s="9"/>
      <c r="GH6" s="7"/>
    </row>
    <row r="7" spans="1:234" x14ac:dyDescent="0.35">
      <c r="DT7"/>
      <c r="DU7"/>
      <c r="DZ7" s="8"/>
      <c r="EA7" s="8"/>
      <c r="EB7" s="8"/>
      <c r="FG7" s="9"/>
      <c r="FH7" s="9"/>
      <c r="GH7" s="7"/>
    </row>
    <row r="8" spans="1:234" x14ac:dyDescent="0.35">
      <c r="DT8"/>
      <c r="DU8"/>
      <c r="DZ8" s="8"/>
      <c r="EA8" s="8"/>
      <c r="EB8" s="8"/>
      <c r="FG8" s="9"/>
      <c r="FH8" s="9"/>
      <c r="GH8" s="7"/>
    </row>
    <row r="9" spans="1:234" x14ac:dyDescent="0.35">
      <c r="DT9"/>
      <c r="DU9"/>
      <c r="DZ9" s="8"/>
      <c r="EA9" s="8"/>
      <c r="EB9" s="8"/>
      <c r="FG9" s="9"/>
      <c r="FH9" s="9"/>
      <c r="GH9" s="7"/>
    </row>
    <row r="10" spans="1:234" x14ac:dyDescent="0.35">
      <c r="DT10"/>
      <c r="DU10"/>
      <c r="DZ10" s="8"/>
      <c r="EA10" s="8"/>
      <c r="EB10" s="8"/>
      <c r="FG10" s="9"/>
      <c r="FH10" s="9"/>
      <c r="GH10" s="7"/>
    </row>
    <row r="11" spans="1:234" x14ac:dyDescent="0.35">
      <c r="DT11"/>
      <c r="DZ11" s="8"/>
      <c r="FG11" s="9"/>
      <c r="GH11" s="7"/>
    </row>
    <row r="12" spans="1:234" x14ac:dyDescent="0.35">
      <c r="DT12"/>
      <c r="DZ12" s="8"/>
      <c r="FG12" s="9"/>
      <c r="GH12" s="7"/>
    </row>
    <row r="13" spans="1:234" x14ac:dyDescent="0.35">
      <c r="DT13"/>
      <c r="DZ13" s="8"/>
      <c r="FG13" s="9"/>
      <c r="GH13" s="7"/>
    </row>
    <row r="14" spans="1:234" x14ac:dyDescent="0.35">
      <c r="DT14"/>
      <c r="DZ14" s="8"/>
      <c r="FG14" s="9"/>
      <c r="GH14" s="7"/>
    </row>
    <row r="15" spans="1:234" x14ac:dyDescent="0.35">
      <c r="DT15"/>
      <c r="DZ15" s="8"/>
      <c r="FG15" s="9"/>
      <c r="GH15" s="7"/>
    </row>
    <row r="16" spans="1:234" x14ac:dyDescent="0.35">
      <c r="DT16"/>
      <c r="DZ16" s="8"/>
      <c r="FG16" s="9"/>
      <c r="GH16" s="7"/>
    </row>
  </sheetData>
  <mergeCells count="72">
    <mergeCell ref="FQ4:FU4"/>
    <mergeCell ref="FV4:GA4"/>
    <mergeCell ref="GX4:HB4"/>
    <mergeCell ref="HC4:HI4"/>
    <mergeCell ref="EO4:EQ4"/>
    <mergeCell ref="ER4:EU4"/>
    <mergeCell ref="EV4:FA4"/>
    <mergeCell ref="FB4:FD4"/>
    <mergeCell ref="FM4:FP4"/>
    <mergeCell ref="DR4:DS4"/>
    <mergeCell ref="DT4:EA4"/>
    <mergeCell ref="EB4:EE4"/>
    <mergeCell ref="EF4:EH4"/>
    <mergeCell ref="EI4:EN4"/>
    <mergeCell ref="HC3:HI3"/>
    <mergeCell ref="DF4:DL4"/>
    <mergeCell ref="BJ4:BN4"/>
    <mergeCell ref="BO4:BT4"/>
    <mergeCell ref="BU4:BV4"/>
    <mergeCell ref="BW4:CB4"/>
    <mergeCell ref="CC4:CE4"/>
    <mergeCell ref="CF4:CI4"/>
    <mergeCell ref="CJ4:CO4"/>
    <mergeCell ref="CP4:CV4"/>
    <mergeCell ref="CW4:CY4"/>
    <mergeCell ref="CZ4:DB4"/>
    <mergeCell ref="DC4:DE4"/>
    <mergeCell ref="FE4:FL4"/>
    <mergeCell ref="DM4:DO4"/>
    <mergeCell ref="DP4:DQ4"/>
    <mergeCell ref="FV3:GA3"/>
    <mergeCell ref="HN3:HQ3"/>
    <mergeCell ref="A4:G4"/>
    <mergeCell ref="K4:L4"/>
    <mergeCell ref="M4:T4"/>
    <mergeCell ref="U4:AA4"/>
    <mergeCell ref="AB4:AG4"/>
    <mergeCell ref="AH4:AI4"/>
    <mergeCell ref="AJ4:AS4"/>
    <mergeCell ref="AT4:AZ4"/>
    <mergeCell ref="BA4:BD4"/>
    <mergeCell ref="GI3:GL3"/>
    <mergeCell ref="GM3:GP3"/>
    <mergeCell ref="GQ3:GR3"/>
    <mergeCell ref="GS3:GW3"/>
    <mergeCell ref="GX3:HB3"/>
    <mergeCell ref="EO3:FA3"/>
    <mergeCell ref="FB3:FD3"/>
    <mergeCell ref="FE3:FL3"/>
    <mergeCell ref="FM3:FP3"/>
    <mergeCell ref="FQ3:FU3"/>
    <mergeCell ref="DC3:DL3"/>
    <mergeCell ref="DM3:DQ3"/>
    <mergeCell ref="DR3:DS3"/>
    <mergeCell ref="DT3:EA3"/>
    <mergeCell ref="EB3:EN3"/>
    <mergeCell ref="HL3:HM3"/>
    <mergeCell ref="HR3:HU3"/>
    <mergeCell ref="HV3:HY3"/>
    <mergeCell ref="CW3:DB3"/>
    <mergeCell ref="A3:G3"/>
    <mergeCell ref="H3:J3"/>
    <mergeCell ref="K3:L3"/>
    <mergeCell ref="M3:AI3"/>
    <mergeCell ref="AJ3:BD3"/>
    <mergeCell ref="BE3:BI3"/>
    <mergeCell ref="BJ3:BT3"/>
    <mergeCell ref="BU3:CB3"/>
    <mergeCell ref="CC3:CE3"/>
    <mergeCell ref="CF3:CI3"/>
    <mergeCell ref="CJ3:CV3"/>
    <mergeCell ref="GB3:GC3"/>
  </mergeCells>
  <conditionalFormatting sqref="A3">
    <cfRule type="containsText" dxfId="6" priority="5" operator="containsText" text="POS">
      <formula>NOT(ISERROR(SEARCH("POS",A3)))</formula>
    </cfRule>
  </conditionalFormatting>
  <conditionalFormatting sqref="M3:N4 M6:N1048576">
    <cfRule type="containsText" dxfId="4" priority="7" operator="containsText" text="POS">
      <formula>NOT(ISERROR(SEARCH("POS",M3)))</formula>
    </cfRule>
  </conditionalFormatting>
  <conditionalFormatting sqref="AJ4">
    <cfRule type="containsText" dxfId="2" priority="3" operator="containsText" text="POS">
      <formula>NOT(ISERROR(SEARCH("POS",AJ4)))</formula>
    </cfRule>
  </conditionalFormatting>
  <conditionalFormatting sqref="BT1:BT2 BT6:BT1048576 CV6:CV1048576">
    <cfRule type="containsText" dxfId="1" priority="8" operator="containsText" text="x">
      <formula>NOT(ISERROR(SEARCH("x",BT1)))</formula>
    </cfRule>
  </conditionalFormatting>
  <conditionalFormatting sqref="CV1:CV2">
    <cfRule type="containsText" dxfId="0" priority="1" operator="containsText" text="x">
      <formula>NOT(ISERROR(SEARCH("x",CV1)))</formula>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beginsWith" priority="4" operator="beginsWith" id="{1D1BBE66-A9ED-4882-89DB-17014E6E5632}">
            <xm:f>LEFT(A3,LEN("-"))="-"</xm:f>
            <xm:f>"-"</xm:f>
            <x14:dxf>
              <fill>
                <patternFill patternType="lightHorizontal">
                  <bgColor theme="0" tint="-4.9989318521683403E-2"/>
                </patternFill>
              </fill>
            </x14:dxf>
          </x14:cfRule>
          <xm:sqref>A3</xm:sqref>
        </x14:conditionalFormatting>
        <x14:conditionalFormatting xmlns:xm="http://schemas.microsoft.com/office/excel/2006/main">
          <x14:cfRule type="beginsWith" priority="6" operator="beginsWith" id="{130A1000-F118-4EF9-8B28-AE8F45474873}">
            <xm:f>LEFT(M3,LEN("-"))="-"</xm:f>
            <xm:f>"-"</xm:f>
            <x14:dxf>
              <fill>
                <patternFill patternType="lightHorizontal">
                  <bgColor theme="0" tint="-4.9989318521683403E-2"/>
                </patternFill>
              </fill>
            </x14:dxf>
          </x14:cfRule>
          <xm:sqref>M3:N4 M6:N1048576</xm:sqref>
        </x14:conditionalFormatting>
        <x14:conditionalFormatting xmlns:xm="http://schemas.microsoft.com/office/excel/2006/main">
          <x14:cfRule type="beginsWith" priority="2" operator="beginsWith" id="{43DE3A24-62A3-48DD-8E3F-432E401FE9FB}">
            <xm:f>LEFT(AJ4,LEN("-"))="-"</xm:f>
            <xm:f>"-"</xm:f>
            <x14:dxf>
              <fill>
                <patternFill patternType="lightHorizontal">
                  <bgColor theme="0" tint="-4.9989318521683403E-2"/>
                </patternFill>
              </fill>
            </x14:dxf>
          </x14:cfRule>
          <xm:sqref>AJ4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B56CB-655D-4457-963B-8AB94D0A2D60}">
  <dimension ref="A1"/>
  <sheetViews>
    <sheetView workbookViewId="0"/>
  </sheetViews>
  <sheetFormatPr defaultRowHeight="14.5" x14ac:dyDescent="0.35"/>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26CB0-7918-4D7F-A518-BB8AFA53A1DE}">
  <dimension ref="A3:G18"/>
  <sheetViews>
    <sheetView workbookViewId="0">
      <selection activeCell="G4" sqref="G4:G5"/>
    </sheetView>
  </sheetViews>
  <sheetFormatPr defaultRowHeight="14.5" x14ac:dyDescent="0.35"/>
  <sheetData>
    <row r="3" spans="1:7" x14ac:dyDescent="0.35">
      <c r="A3" t="s">
        <v>2850</v>
      </c>
      <c r="B3" t="s">
        <v>2851</v>
      </c>
      <c r="C3" t="s">
        <v>2852</v>
      </c>
      <c r="D3" t="s">
        <v>2853</v>
      </c>
      <c r="E3" t="s">
        <v>2854</v>
      </c>
      <c r="F3" t="s">
        <v>2855</v>
      </c>
    </row>
    <row r="4" spans="1:7" x14ac:dyDescent="0.35">
      <c r="A4">
        <v>1</v>
      </c>
      <c r="B4" t="s">
        <v>2856</v>
      </c>
      <c r="C4" t="s">
        <v>2392</v>
      </c>
      <c r="D4" t="s">
        <v>2393</v>
      </c>
      <c r="E4" t="s">
        <v>1138</v>
      </c>
      <c r="F4" t="s">
        <v>2391</v>
      </c>
      <c r="G4" t="e">
        <f>VLOOKUP(C4,Final_draft!I429,1,FALSE)</f>
        <v>#N/A</v>
      </c>
    </row>
    <row r="5" spans="1:7" x14ac:dyDescent="0.35">
      <c r="A5">
        <v>2</v>
      </c>
      <c r="B5" t="s">
        <v>2857</v>
      </c>
      <c r="C5" t="s">
        <v>2395</v>
      </c>
      <c r="D5" t="s">
        <v>2396</v>
      </c>
      <c r="E5" t="s">
        <v>1138</v>
      </c>
      <c r="F5" t="s">
        <v>2394</v>
      </c>
      <c r="G5" t="e">
        <f>VLOOKUP(C5,Final_draft!I430,1,FALSE)</f>
        <v>#N/A</v>
      </c>
    </row>
    <row r="6" spans="1:7" x14ac:dyDescent="0.35">
      <c r="A6">
        <v>3</v>
      </c>
      <c r="B6" t="s">
        <v>2858</v>
      </c>
      <c r="C6" t="s">
        <v>2399</v>
      </c>
      <c r="D6" t="s">
        <v>2400</v>
      </c>
      <c r="E6" t="s">
        <v>2397</v>
      </c>
      <c r="F6" t="s">
        <v>2398</v>
      </c>
    </row>
    <row r="7" spans="1:7" x14ac:dyDescent="0.35">
      <c r="A7">
        <v>4</v>
      </c>
      <c r="B7" t="s">
        <v>2859</v>
      </c>
      <c r="C7" t="s">
        <v>2402</v>
      </c>
      <c r="D7" t="s">
        <v>2403</v>
      </c>
      <c r="E7" t="s">
        <v>1138</v>
      </c>
      <c r="F7" t="s">
        <v>2860</v>
      </c>
    </row>
    <row r="8" spans="1:7" x14ac:dyDescent="0.35">
      <c r="A8">
        <v>5</v>
      </c>
      <c r="B8" t="s">
        <v>2861</v>
      </c>
      <c r="C8" t="s">
        <v>2405</v>
      </c>
      <c r="D8" t="s">
        <v>2406</v>
      </c>
      <c r="E8" t="s">
        <v>1138</v>
      </c>
      <c r="F8" t="s">
        <v>2404</v>
      </c>
    </row>
    <row r="9" spans="1:7" x14ac:dyDescent="0.35">
      <c r="A9">
        <v>6</v>
      </c>
      <c r="B9" t="s">
        <v>2862</v>
      </c>
      <c r="C9" t="s">
        <v>2409</v>
      </c>
      <c r="D9" t="s">
        <v>2863</v>
      </c>
      <c r="E9" t="s">
        <v>1138</v>
      </c>
      <c r="F9" t="s">
        <v>2408</v>
      </c>
    </row>
    <row r="10" spans="1:7" x14ac:dyDescent="0.35">
      <c r="A10">
        <v>7</v>
      </c>
      <c r="B10" t="s">
        <v>2864</v>
      </c>
      <c r="C10" t="s">
        <v>2413</v>
      </c>
      <c r="D10" t="s">
        <v>2414</v>
      </c>
      <c r="E10" t="s">
        <v>1138</v>
      </c>
      <c r="F10" t="s">
        <v>2412</v>
      </c>
    </row>
    <row r="11" spans="1:7" x14ac:dyDescent="0.35">
      <c r="A11">
        <v>8</v>
      </c>
      <c r="B11" t="s">
        <v>2865</v>
      </c>
      <c r="C11" t="s">
        <v>2416</v>
      </c>
      <c r="D11" t="s">
        <v>2417</v>
      </c>
      <c r="E11" t="s">
        <v>1138</v>
      </c>
      <c r="F11" t="s">
        <v>2415</v>
      </c>
    </row>
    <row r="12" spans="1:7" x14ac:dyDescent="0.35">
      <c r="A12">
        <v>9</v>
      </c>
      <c r="B12" t="s">
        <v>2866</v>
      </c>
      <c r="C12" t="s">
        <v>2867</v>
      </c>
      <c r="D12" t="s">
        <v>2868</v>
      </c>
      <c r="E12" t="s">
        <v>2869</v>
      </c>
      <c r="F12" t="s">
        <v>2870</v>
      </c>
    </row>
    <row r="13" spans="1:7" x14ac:dyDescent="0.35">
      <c r="A13">
        <v>10</v>
      </c>
      <c r="B13" t="s">
        <v>2871</v>
      </c>
      <c r="C13" t="s">
        <v>2420</v>
      </c>
      <c r="D13" t="s">
        <v>2421</v>
      </c>
      <c r="E13" t="s">
        <v>2418</v>
      </c>
      <c r="F13" t="s">
        <v>2419</v>
      </c>
    </row>
    <row r="14" spans="1:7" x14ac:dyDescent="0.35">
      <c r="A14">
        <v>11</v>
      </c>
      <c r="B14" t="s">
        <v>2872</v>
      </c>
      <c r="C14" t="s">
        <v>2423</v>
      </c>
      <c r="D14" t="s">
        <v>2424</v>
      </c>
      <c r="E14" t="s">
        <v>1138</v>
      </c>
      <c r="F14" t="s">
        <v>2422</v>
      </c>
    </row>
    <row r="15" spans="1:7" x14ac:dyDescent="0.35">
      <c r="A15">
        <v>12</v>
      </c>
      <c r="B15" t="s">
        <v>2873</v>
      </c>
      <c r="C15" t="s">
        <v>2874</v>
      </c>
      <c r="D15" t="s">
        <v>2427</v>
      </c>
      <c r="E15" t="s">
        <v>1138</v>
      </c>
      <c r="F15" t="s">
        <v>2425</v>
      </c>
    </row>
    <row r="16" spans="1:7" x14ac:dyDescent="0.35">
      <c r="A16">
        <v>13</v>
      </c>
      <c r="B16" t="s">
        <v>2875</v>
      </c>
      <c r="C16" t="s">
        <v>2430</v>
      </c>
      <c r="D16" t="s">
        <v>2431</v>
      </c>
      <c r="E16" t="s">
        <v>2876</v>
      </c>
      <c r="F16" t="s">
        <v>2877</v>
      </c>
    </row>
    <row r="17" spans="1:6" x14ac:dyDescent="0.35">
      <c r="A17">
        <v>14</v>
      </c>
      <c r="B17" t="s">
        <v>2878</v>
      </c>
      <c r="C17" t="s">
        <v>2434</v>
      </c>
      <c r="D17" t="s">
        <v>2435</v>
      </c>
      <c r="E17" t="s">
        <v>2432</v>
      </c>
      <c r="F17" t="s">
        <v>2433</v>
      </c>
    </row>
    <row r="18" spans="1:6" x14ac:dyDescent="0.35">
      <c r="A18">
        <v>15</v>
      </c>
      <c r="B18" t="s">
        <v>2879</v>
      </c>
      <c r="C18" t="s">
        <v>2438</v>
      </c>
      <c r="D18" t="s">
        <v>2439</v>
      </c>
      <c r="E18" t="s">
        <v>2436</v>
      </c>
      <c r="F18" t="s">
        <v>2880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37cd980-4b91-4634-a4ca-a8aa156f3157" xsi:nil="true"/>
    <lcf76f155ced4ddcb4097134ff3c332f xmlns="a87a02fe-c3f0-41fb-b38d-546c1da3c4b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DF2F63F66A8AC4780ADBB49111794FC" ma:contentTypeVersion="11" ma:contentTypeDescription="Create a new document." ma:contentTypeScope="" ma:versionID="e41a5788ad449766d5b11e4f90a02ebc">
  <xsd:schema xmlns:xsd="http://www.w3.org/2001/XMLSchema" xmlns:xs="http://www.w3.org/2001/XMLSchema" xmlns:p="http://schemas.microsoft.com/office/2006/metadata/properties" xmlns:ns2="a87a02fe-c3f0-41fb-b38d-546c1da3c4b6" xmlns:ns3="a37cd980-4b91-4634-a4ca-a8aa156f3157" targetNamespace="http://schemas.microsoft.com/office/2006/metadata/properties" ma:root="true" ma:fieldsID="7dcf264d33ebcd94b152e49364bfc630" ns2:_="" ns3:_="">
    <xsd:import namespace="a87a02fe-c3f0-41fb-b38d-546c1da3c4b6"/>
    <xsd:import namespace="a37cd980-4b91-4634-a4ca-a8aa156f31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7a02fe-c3f0-41fb-b38d-546c1da3c4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3b4f369-e68d-40dc-b20e-bd2c7c5d9b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7cd980-4b91-4634-a4ca-a8aa156f315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56912aa-7458-4e22-abd1-a33671e21779}" ma:internalName="TaxCatchAll" ma:showField="CatchAllData" ma:web="a37cd980-4b91-4634-a4ca-a8aa156f31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351B402-D80C-4C05-A970-48D8E10D7229}">
  <ds:schemaRefs>
    <ds:schemaRef ds:uri="http://schemas.microsoft.com/sharepoint/v3/contenttype/forms"/>
  </ds:schemaRefs>
</ds:datastoreItem>
</file>

<file path=customXml/itemProps2.xml><?xml version="1.0" encoding="utf-8"?>
<ds:datastoreItem xmlns:ds="http://schemas.openxmlformats.org/officeDocument/2006/customXml" ds:itemID="{C5F09705-2DA4-4025-A50F-78F97E89DA5A}">
  <ds:schemaRefs>
    <ds:schemaRef ds:uri="http://schemas.microsoft.com/office/2006/metadata/properties"/>
    <ds:schemaRef ds:uri="http://schemas.microsoft.com/office/infopath/2007/PartnerControls"/>
    <ds:schemaRef ds:uri="aeb58edc-c13d-4284-86c9-c85822774ba2"/>
    <ds:schemaRef ds:uri="77455539-c9d2-4019-bf5c-ab9124aeeec3"/>
  </ds:schemaRefs>
</ds:datastoreItem>
</file>

<file path=customXml/itemProps3.xml><?xml version="1.0" encoding="utf-8"?>
<ds:datastoreItem xmlns:ds="http://schemas.openxmlformats.org/officeDocument/2006/customXml" ds:itemID="{1B0534B7-7B1F-4F85-B362-B306C5385A31}"/>
</file>

<file path=docMetadata/LabelInfo.xml><?xml version="1.0" encoding="utf-8"?>
<clbl:labelList xmlns:clbl="http://schemas.microsoft.com/office/2020/mipLabelMetadata">
  <clbl:label id="{1ada0a2f-b917-4d51-b0d0-d418a10c8b23}" enabled="1" method="Standard" siteId="{12a3af23-a769-4654-847f-958f3d479f4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Final_draft</vt:lpstr>
      <vt:lpstr>Match with RA_TEMPLATE</vt:lpstr>
      <vt:lpstr>table insert statement</vt:lpstr>
      <vt:lpstr>List of all columns</vt:lpstr>
      <vt:lpstr>Sheet1</vt:lpstr>
      <vt:lpstr>version</vt:lpstr>
      <vt:lpstr>Discussion with Dotmatics</vt:lpstr>
      <vt:lpstr>old with versions</vt:lpstr>
      <vt:lpstr>Sheet3</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Manganelli,Serena,LAUSANNE,Food Safety Research</dc:creator>
  <cp:keywords/>
  <dc:description/>
  <cp:lastModifiedBy>Omer,Elsa,CH-LAUSANNE</cp:lastModifiedBy>
  <cp:revision/>
  <dcterms:created xsi:type="dcterms:W3CDTF">2022-07-06T16:54:53Z</dcterms:created>
  <dcterms:modified xsi:type="dcterms:W3CDTF">2026-01-28T11:17:14Z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ada0a2f-b917-4d51-b0d0-d418a10c8b23_Enabled">
    <vt:lpwstr>true</vt:lpwstr>
  </property>
  <property fmtid="{D5CDD505-2E9C-101B-9397-08002B2CF9AE}" pid="3" name="MSIP_Label_1ada0a2f-b917-4d51-b0d0-d418a10c8b23_SetDate">
    <vt:lpwstr>2022-07-06T16:54:57Z</vt:lpwstr>
  </property>
  <property fmtid="{D5CDD505-2E9C-101B-9397-08002B2CF9AE}" pid="4" name="MSIP_Label_1ada0a2f-b917-4d51-b0d0-d418a10c8b23_Method">
    <vt:lpwstr>Standard</vt:lpwstr>
  </property>
  <property fmtid="{D5CDD505-2E9C-101B-9397-08002B2CF9AE}" pid="5" name="MSIP_Label_1ada0a2f-b917-4d51-b0d0-d418a10c8b23_Name">
    <vt:lpwstr>1ada0a2f-b917-4d51-b0d0-d418a10c8b23</vt:lpwstr>
  </property>
  <property fmtid="{D5CDD505-2E9C-101B-9397-08002B2CF9AE}" pid="6" name="MSIP_Label_1ada0a2f-b917-4d51-b0d0-d418a10c8b23_SiteId">
    <vt:lpwstr>12a3af23-a769-4654-847f-958f3d479f4a</vt:lpwstr>
  </property>
  <property fmtid="{D5CDD505-2E9C-101B-9397-08002B2CF9AE}" pid="7" name="MSIP_Label_1ada0a2f-b917-4d51-b0d0-d418a10c8b23_ActionId">
    <vt:lpwstr>e3ce3362-bd62-4eda-9b7a-db8c65827b02</vt:lpwstr>
  </property>
  <property fmtid="{D5CDD505-2E9C-101B-9397-08002B2CF9AE}" pid="8" name="MSIP_Label_1ada0a2f-b917-4d51-b0d0-d418a10c8b23_ContentBits">
    <vt:lpwstr>0</vt:lpwstr>
  </property>
  <property fmtid="{D5CDD505-2E9C-101B-9397-08002B2CF9AE}" pid="9" name="ContentTypeId">
    <vt:lpwstr>0x010100ADF2F63F66A8AC4780ADBB49111794FC</vt:lpwstr>
  </property>
  <property fmtid="{D5CDD505-2E9C-101B-9397-08002B2CF9AE}" pid="10" name="_dlc_DocIdItemGuid">
    <vt:lpwstr>5406da5d-a36b-429f-98cf-066087e237df</vt:lpwstr>
  </property>
  <property fmtid="{D5CDD505-2E9C-101B-9397-08002B2CF9AE}" pid="11" name="MediaServiceImageTags">
    <vt:lpwstr/>
  </property>
</Properties>
</file>